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Customer view" sheetId="2" state="visible" r:id="rId2"/>
    <sheet xmlns:r="http://schemas.openxmlformats.org/officeDocument/2006/relationships" name="How to use" sheetId="3" state="visible" r:id="rId3"/>
  </sheets>
  <definedNames>
    <definedName name="_xlnm.Print_Titles" localSheetId="0">'Orders'!$4:$4</definedName>
    <definedName name="_xlnm.Print_Area" localSheetId="0">'Orders'!$A$1:$F$44</definedName>
    <definedName name="_xlnm.Print_Titles" localSheetId="1">'Customer view'!$1:$1</definedName>
    <definedName name="_xlnm.Print_Area" localSheetId="1">'Customer view'!$A$1:$D$16</definedName>
  </definedNames>
  <calcPr calcId="124519" fullCalcOnLoad="1"/>
</workbook>
</file>

<file path=xl/styles.xml><?xml version="1.0" encoding="utf-8"?>
<styleSheet xmlns="http://schemas.openxmlformats.org/spreadsheetml/2006/main">
  <numFmts count="2">
    <numFmt numFmtId="164" formatCode="mm/dd/yyyy"/>
    <numFmt numFmtId="165" formatCode="&quot;$&quot;#,##0.00"/>
  </numFmts>
  <fonts count="5">
    <font>
      <name val="Calibri"/>
      <family val="2"/>
      <color theme="1"/>
      <sz val="11"/>
      <scheme val="minor"/>
    </font>
    <font>
      <i val="1"/>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0" pivotButton="0" quotePrefix="0" xfId="0"/>
    <xf numFmtId="164" fontId="0" fillId="3" borderId="0" pivotButton="0" quotePrefix="0" xfId="0"/>
    <xf numFmtId="165" fontId="0" fillId="3" borderId="0" pivotButton="0" quotePrefix="0" xfId="0"/>
    <xf numFmtId="0" fontId="0" fillId="4" borderId="0" applyAlignment="1" pivotButton="0" quotePrefix="0" xfId="0">
      <alignment horizontal="right"/>
    </xf>
    <xf numFmtId="0" fontId="3" fillId="0" borderId="0" pivotButton="0" quotePrefix="0" xfId="0"/>
    <xf numFmtId="165" fontId="0" fillId="4" borderId="0" applyAlignment="1" pivotButton="0" quotePrefix="0" xfId="0">
      <alignment horizontal="right"/>
    </xf>
    <xf numFmtId="0" fontId="2" fillId="2" borderId="0" pivotButton="0" quotePrefix="0" xfId="0"/>
    <xf numFmtId="0" fontId="0" fillId="4" borderId="0" applyAlignment="1" pivotButton="0" quotePrefix="0" xfId="0">
      <alignment horizontal="left"/>
    </xf>
    <xf numFmtId="164" fontId="0" fillId="4" borderId="0" applyAlignment="1" pivotButton="0" quotePrefix="0" xfId="0">
      <alignment horizontal="left"/>
    </xf>
    <xf numFmtId="0" fontId="0" fillId="4" borderId="0" pivotButton="0" quotePrefix="0" xfId="0"/>
    <xf numFmtId="165" fontId="0" fillId="4"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04"/>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2" customWidth="1" min="3" max="3"/>
    <col width="24" customWidth="1" min="4" max="4"/>
    <col width="12" customWidth="1" min="5" max="5"/>
    <col width="12" customWidth="1" min="6" max="6"/>
  </cols>
  <sheetData>
    <row r="1">
      <c r="A1" s="1" t="inlineStr">
        <is>
          <t>Fictional shop orders. Yellow cells are yours to change. Column F is a helper that numbers the rows for the customer picked on the Customer view tab.</t>
        </is>
      </c>
    </row>
    <row r="4" ht="34" customHeight="1">
      <c r="A4" s="2" t="inlineStr">
        <is>
          <t>Order #</t>
        </is>
      </c>
      <c r="B4" s="2" t="inlineStr">
        <is>
          <t>Customer</t>
        </is>
      </c>
      <c r="C4" s="2" t="inlineStr">
        <is>
          <t>Order date</t>
        </is>
      </c>
      <c r="D4" s="2" t="inlineStr">
        <is>
          <t>Item</t>
        </is>
      </c>
      <c r="E4" s="2" t="inlineStr">
        <is>
          <t>Amount</t>
        </is>
      </c>
      <c r="F4" s="2" t="inlineStr">
        <is>
          <t>Match no. (helper)</t>
        </is>
      </c>
    </row>
    <row r="5">
      <c r="A5" s="3" t="n">
        <v>5001</v>
      </c>
      <c r="B5" s="3" t="inlineStr">
        <is>
          <t>Hugo Park</t>
        </is>
      </c>
      <c r="C5" s="4" t="n">
        <v>46205</v>
      </c>
      <c r="D5" s="3" t="inlineStr">
        <is>
          <t>Cedar candle</t>
        </is>
      </c>
      <c r="E5" s="5" t="n">
        <v>36</v>
      </c>
      <c r="F5" s="6">
        <f>IF(AND('Customer view'!$B$1&lt;&gt;"",B5='Customer view'!$B$1),COUNTIF($B$5:B5,'Customer view'!$B$1),"")</f>
        <v/>
      </c>
    </row>
    <row r="6">
      <c r="A6" s="3" t="n">
        <v>5002</v>
      </c>
      <c r="B6" s="3" t="inlineStr">
        <is>
          <t>Felix Ode</t>
        </is>
      </c>
      <c r="C6" s="4" t="n">
        <v>46207</v>
      </c>
      <c r="D6" s="3" t="inlineStr">
        <is>
          <t>Oat soap bar</t>
        </is>
      </c>
      <c r="E6" s="5" t="n">
        <v>8</v>
      </c>
      <c r="F6" s="6">
        <f>IF(AND('Customer view'!$B$1&lt;&gt;"",B6='Customer view'!$B$1),COUNTIF($B$5:B6,'Customer view'!$B$1),"")</f>
        <v/>
      </c>
    </row>
    <row r="7">
      <c r="A7" s="3" t="n">
        <v>5003</v>
      </c>
      <c r="B7" s="3" t="inlineStr">
        <is>
          <t>Elena Marsh</t>
        </is>
      </c>
      <c r="C7" s="4" t="n">
        <v>46208</v>
      </c>
      <c r="D7" s="3" t="inlineStr">
        <is>
          <t>Gift tag set</t>
        </is>
      </c>
      <c r="E7" s="5" t="n">
        <v>4.5</v>
      </c>
      <c r="F7" s="6">
        <f>IF(AND('Customer view'!$B$1&lt;&gt;"",B7='Customer view'!$B$1),COUNTIF($B$5:B7,'Customer view'!$B$1),"")</f>
        <v/>
      </c>
    </row>
    <row r="8">
      <c r="A8" s="3" t="n">
        <v>5004</v>
      </c>
      <c r="B8" s="3" t="inlineStr">
        <is>
          <t>Dev Kapoor</t>
        </is>
      </c>
      <c r="C8" s="4" t="n">
        <v>46208</v>
      </c>
      <c r="D8" s="3" t="inlineStr">
        <is>
          <t>Soap trio</t>
        </is>
      </c>
      <c r="E8" s="5" t="n">
        <v>44</v>
      </c>
      <c r="F8" s="6">
        <f>IF(AND('Customer view'!$B$1&lt;&gt;"",B8='Customer view'!$B$1),COUNTIF($B$5:B8,'Customer view'!$B$1),"")</f>
        <v/>
      </c>
    </row>
    <row r="9">
      <c r="A9" s="3" t="n">
        <v>5005</v>
      </c>
      <c r="B9" s="3" t="inlineStr">
        <is>
          <t>Ben Tran</t>
        </is>
      </c>
      <c r="C9" s="4" t="n">
        <v>46209</v>
      </c>
      <c r="D9" s="3" t="inlineStr">
        <is>
          <t>Brass hoops</t>
        </is>
      </c>
      <c r="E9" s="5" t="n">
        <v>72</v>
      </c>
      <c r="F9" s="6">
        <f>IF(AND('Customer view'!$B$1&lt;&gt;"",B9='Customer view'!$B$1),COUNTIF($B$5:B9,'Customer view'!$B$1),"")</f>
        <v/>
      </c>
    </row>
    <row r="10">
      <c r="A10" s="3" t="n">
        <v>5006</v>
      </c>
      <c r="B10" s="3" t="inlineStr">
        <is>
          <t>Dev Kapoor</t>
        </is>
      </c>
      <c r="C10" s="4" t="n">
        <v>46212</v>
      </c>
      <c r="D10" s="3" t="inlineStr">
        <is>
          <t>Gift tag set</t>
        </is>
      </c>
      <c r="E10" s="5" t="n">
        <v>13.5</v>
      </c>
      <c r="F10" s="6">
        <f>IF(AND('Customer view'!$B$1&lt;&gt;"",B10='Customer view'!$B$1),COUNTIF($B$5:B10,'Customer view'!$B$1),"")</f>
        <v/>
      </c>
    </row>
    <row r="11">
      <c r="A11" s="3" t="n">
        <v>5007</v>
      </c>
      <c r="B11" s="3" t="inlineStr">
        <is>
          <t>Cora Lind</t>
        </is>
      </c>
      <c r="C11" s="4" t="n">
        <v>46215</v>
      </c>
      <c r="D11" s="3" t="inlineStr">
        <is>
          <t>Gift tag set</t>
        </is>
      </c>
      <c r="E11" s="5" t="n">
        <v>9</v>
      </c>
      <c r="F11" s="6">
        <f>IF(AND('Customer view'!$B$1&lt;&gt;"",B11='Customer view'!$B$1),COUNTIF($B$5:B11,'Customer view'!$B$1),"")</f>
        <v/>
      </c>
    </row>
    <row r="12">
      <c r="A12" s="3" t="n">
        <v>5008</v>
      </c>
      <c r="B12" s="3" t="inlineStr">
        <is>
          <t>Cora Lind</t>
        </is>
      </c>
      <c r="C12" s="4" t="n">
        <v>46215</v>
      </c>
      <c r="D12" s="3" t="inlineStr">
        <is>
          <t>Lavender candle</t>
        </is>
      </c>
      <c r="E12" s="5" t="n">
        <v>18</v>
      </c>
      <c r="F12" s="6">
        <f>IF(AND('Customer view'!$B$1&lt;&gt;"",B12='Customer view'!$B$1),COUNTIF($B$5:B12,'Customer view'!$B$1),"")</f>
        <v/>
      </c>
    </row>
    <row r="13">
      <c r="A13" s="3" t="n">
        <v>5009</v>
      </c>
      <c r="B13" s="3" t="inlineStr">
        <is>
          <t>Grace Hale</t>
        </is>
      </c>
      <c r="C13" s="4" t="n">
        <v>46217</v>
      </c>
      <c r="D13" s="3" t="inlineStr">
        <is>
          <t>Kraft mailer box</t>
        </is>
      </c>
      <c r="E13" s="5" t="n">
        <v>6.5</v>
      </c>
      <c r="F13" s="6">
        <f>IF(AND('Customer view'!$B$1&lt;&gt;"",B13='Customer view'!$B$1),COUNTIF($B$5:B13,'Customer view'!$B$1),"")</f>
        <v/>
      </c>
    </row>
    <row r="14">
      <c r="A14" s="3" t="n">
        <v>5010</v>
      </c>
      <c r="B14" s="3" t="inlineStr">
        <is>
          <t>Alma Reyes</t>
        </is>
      </c>
      <c r="C14" s="4" t="n">
        <v>46219</v>
      </c>
      <c r="D14" s="3" t="inlineStr">
        <is>
          <t>Cedar candle</t>
        </is>
      </c>
      <c r="E14" s="5" t="n">
        <v>36</v>
      </c>
      <c r="F14" s="6">
        <f>IF(AND('Customer view'!$B$1&lt;&gt;"",B14='Customer view'!$B$1),COUNTIF($B$5:B14,'Customer view'!$B$1),"")</f>
        <v/>
      </c>
    </row>
    <row r="15">
      <c r="A15" s="3" t="n">
        <v>5011</v>
      </c>
      <c r="B15" s="3" t="inlineStr">
        <is>
          <t>Alma Reyes</t>
        </is>
      </c>
      <c r="C15" s="4" t="n">
        <v>46222</v>
      </c>
      <c r="D15" s="3" t="inlineStr">
        <is>
          <t>Brass hoops</t>
        </is>
      </c>
      <c r="E15" s="5" t="n">
        <v>24</v>
      </c>
      <c r="F15" s="6">
        <f>IF(AND('Customer view'!$B$1&lt;&gt;"",B15='Customer view'!$B$1),COUNTIF($B$5:B15,'Customer view'!$B$1),"")</f>
        <v/>
      </c>
    </row>
    <row r="16">
      <c r="A16" s="3" t="n">
        <v>5012</v>
      </c>
      <c r="B16" s="3" t="inlineStr">
        <is>
          <t>Alma Reyes</t>
        </is>
      </c>
      <c r="C16" s="4" t="n">
        <v>46223</v>
      </c>
      <c r="D16" s="3" t="inlineStr">
        <is>
          <t>Cedar candle</t>
        </is>
      </c>
      <c r="E16" s="5" t="n">
        <v>54</v>
      </c>
      <c r="F16" s="6">
        <f>IF(AND('Customer view'!$B$1&lt;&gt;"",B16='Customer view'!$B$1),COUNTIF($B$5:B16,'Customer view'!$B$1),"")</f>
        <v/>
      </c>
    </row>
    <row r="17">
      <c r="A17" s="3" t="n">
        <v>5013</v>
      </c>
      <c r="B17" s="3" t="inlineStr">
        <is>
          <t>Alma Reyes</t>
        </is>
      </c>
      <c r="C17" s="4" t="n">
        <v>46226</v>
      </c>
      <c r="D17" s="3" t="inlineStr">
        <is>
          <t>Birthday card</t>
        </is>
      </c>
      <c r="E17" s="5" t="n">
        <v>6</v>
      </c>
      <c r="F17" s="6">
        <f>IF(AND('Customer view'!$B$1&lt;&gt;"",B17='Customer view'!$B$1),COUNTIF($B$5:B17,'Customer view'!$B$1),"")</f>
        <v/>
      </c>
    </row>
    <row r="18">
      <c r="A18" s="3" t="n">
        <v>5014</v>
      </c>
      <c r="B18" s="3" t="inlineStr">
        <is>
          <t>Cora Lind</t>
        </is>
      </c>
      <c r="C18" s="4" t="n">
        <v>46228</v>
      </c>
      <c r="D18" s="3" t="inlineStr">
        <is>
          <t>Gift tag set</t>
        </is>
      </c>
      <c r="E18" s="5" t="n">
        <v>13.5</v>
      </c>
      <c r="F18" s="6">
        <f>IF(AND('Customer view'!$B$1&lt;&gt;"",B18='Customer view'!$B$1),COUNTIF($B$5:B18,'Customer view'!$B$1),"")</f>
        <v/>
      </c>
    </row>
    <row r="19">
      <c r="A19" s="3" t="n">
        <v>5015</v>
      </c>
      <c r="B19" s="3" t="inlineStr">
        <is>
          <t>Iris Wong</t>
        </is>
      </c>
      <c r="C19" s="4" t="n">
        <v>46231</v>
      </c>
      <c r="D19" s="3" t="inlineStr">
        <is>
          <t>Cedar candle</t>
        </is>
      </c>
      <c r="E19" s="5" t="n">
        <v>54</v>
      </c>
      <c r="F19" s="6">
        <f>IF(AND('Customer view'!$B$1&lt;&gt;"",B19='Customer view'!$B$1),COUNTIF($B$5:B19,'Customer view'!$B$1),"")</f>
        <v/>
      </c>
    </row>
    <row r="20">
      <c r="A20" s="3" t="n">
        <v>5016</v>
      </c>
      <c r="B20" s="3" t="inlineStr">
        <is>
          <t>Elena Marsh</t>
        </is>
      </c>
      <c r="C20" s="4" t="n">
        <v>46234</v>
      </c>
      <c r="D20" s="3" t="inlineStr">
        <is>
          <t>Soap trio</t>
        </is>
      </c>
      <c r="E20" s="5" t="n">
        <v>44</v>
      </c>
      <c r="F20" s="6">
        <f>IF(AND('Customer view'!$B$1&lt;&gt;"",B20='Customer view'!$B$1),COUNTIF($B$5:B20,'Customer view'!$B$1),"")</f>
        <v/>
      </c>
    </row>
    <row r="21">
      <c r="A21" s="3" t="n">
        <v>5017</v>
      </c>
      <c r="B21" s="3" t="inlineStr">
        <is>
          <t>Cora Lind</t>
        </is>
      </c>
      <c r="C21" s="4" t="n">
        <v>46237</v>
      </c>
      <c r="D21" s="3" t="inlineStr">
        <is>
          <t>Kraft mailer box</t>
        </is>
      </c>
      <c r="E21" s="5" t="n">
        <v>6.5</v>
      </c>
      <c r="F21" s="6">
        <f>IF(AND('Customer view'!$B$1&lt;&gt;"",B21='Customer view'!$B$1),COUNTIF($B$5:B21,'Customer view'!$B$1),"")</f>
        <v/>
      </c>
    </row>
    <row r="22">
      <c r="A22" s="3" t="n">
        <v>5018</v>
      </c>
      <c r="B22" s="3" t="inlineStr">
        <is>
          <t>Elena Marsh</t>
        </is>
      </c>
      <c r="C22" s="4" t="n">
        <v>46238</v>
      </c>
      <c r="D22" s="3" t="inlineStr">
        <is>
          <t>Brass hoops</t>
        </is>
      </c>
      <c r="E22" s="5" t="n">
        <v>24</v>
      </c>
      <c r="F22" s="6">
        <f>IF(AND('Customer view'!$B$1&lt;&gt;"",B22='Customer view'!$B$1),COUNTIF($B$5:B22,'Customer view'!$B$1),"")</f>
        <v/>
      </c>
    </row>
    <row r="23">
      <c r="A23" s="3" t="n">
        <v>5019</v>
      </c>
      <c r="B23" s="3" t="inlineStr">
        <is>
          <t>Ben Tran</t>
        </is>
      </c>
      <c r="C23" s="4" t="n">
        <v>46239</v>
      </c>
      <c r="D23" s="3" t="inlineStr">
        <is>
          <t>Gift tag set</t>
        </is>
      </c>
      <c r="E23" s="5" t="n">
        <v>4.5</v>
      </c>
      <c r="F23" s="6">
        <f>IF(AND('Customer view'!$B$1&lt;&gt;"",B23='Customer view'!$B$1),COUNTIF($B$5:B23,'Customer view'!$B$1),"")</f>
        <v/>
      </c>
    </row>
    <row r="24">
      <c r="A24" s="3" t="n">
        <v>5020</v>
      </c>
      <c r="B24" s="3" t="inlineStr">
        <is>
          <t>Alma Reyes</t>
        </is>
      </c>
      <c r="C24" s="4" t="n">
        <v>46242</v>
      </c>
      <c r="D24" s="3" t="inlineStr">
        <is>
          <t>Birthday card</t>
        </is>
      </c>
      <c r="E24" s="5" t="n">
        <v>6</v>
      </c>
      <c r="F24" s="6">
        <f>IF(AND('Customer view'!$B$1&lt;&gt;"",B24='Customer view'!$B$1),COUNTIF($B$5:B24,'Customer view'!$B$1),"")</f>
        <v/>
      </c>
    </row>
    <row r="25">
      <c r="A25" s="3" t="n">
        <v>5021</v>
      </c>
      <c r="B25" s="3" t="inlineStr">
        <is>
          <t>Ben Tran</t>
        </is>
      </c>
      <c r="C25" s="4" t="n">
        <v>46243</v>
      </c>
      <c r="D25" s="3" t="inlineStr">
        <is>
          <t>Lavender candle</t>
        </is>
      </c>
      <c r="E25" s="5" t="n">
        <v>36</v>
      </c>
      <c r="F25" s="6">
        <f>IF(AND('Customer view'!$B$1&lt;&gt;"",B25='Customer view'!$B$1),COUNTIF($B$5:B25,'Customer view'!$B$1),"")</f>
        <v/>
      </c>
    </row>
    <row r="26">
      <c r="A26" s="3" t="n">
        <v>5022</v>
      </c>
      <c r="B26" s="3" t="inlineStr">
        <is>
          <t>Dev Kapoor</t>
        </is>
      </c>
      <c r="C26" s="4" t="n">
        <v>46245</v>
      </c>
      <c r="D26" s="3" t="inlineStr">
        <is>
          <t>Lavender candle</t>
        </is>
      </c>
      <c r="E26" s="5" t="n">
        <v>54</v>
      </c>
      <c r="F26" s="6">
        <f>IF(AND('Customer view'!$B$1&lt;&gt;"",B26='Customer view'!$B$1),COUNTIF($B$5:B26,'Customer view'!$B$1),"")</f>
        <v/>
      </c>
    </row>
    <row r="27">
      <c r="A27" s="3" t="n">
        <v>5023</v>
      </c>
      <c r="B27" s="3" t="inlineStr">
        <is>
          <t>Cora Lind</t>
        </is>
      </c>
      <c r="C27" s="4" t="n">
        <v>46248</v>
      </c>
      <c r="D27" s="3" t="inlineStr">
        <is>
          <t>Lavender candle</t>
        </is>
      </c>
      <c r="E27" s="5" t="n">
        <v>18</v>
      </c>
      <c r="F27" s="6">
        <f>IF(AND('Customer view'!$B$1&lt;&gt;"",B27='Customer view'!$B$1),COUNTIF($B$5:B27,'Customer view'!$B$1),"")</f>
        <v/>
      </c>
    </row>
    <row r="28">
      <c r="A28" s="3" t="n">
        <v>5024</v>
      </c>
      <c r="B28" s="3" t="inlineStr">
        <is>
          <t>Alma Reyes</t>
        </is>
      </c>
      <c r="C28" s="4" t="n">
        <v>46250</v>
      </c>
      <c r="D28" s="3" t="inlineStr">
        <is>
          <t>Kraft mailer box</t>
        </is>
      </c>
      <c r="E28" s="5" t="n">
        <v>6.5</v>
      </c>
      <c r="F28" s="6">
        <f>IF(AND('Customer view'!$B$1&lt;&gt;"",B28='Customer view'!$B$1),COUNTIF($B$5:B28,'Customer view'!$B$1),"")</f>
        <v/>
      </c>
    </row>
    <row r="29">
      <c r="A29" s="3" t="n">
        <v>5025</v>
      </c>
      <c r="B29" s="3" t="inlineStr">
        <is>
          <t>Elena Marsh</t>
        </is>
      </c>
      <c r="C29" s="4" t="n">
        <v>46251</v>
      </c>
      <c r="D29" s="3" t="inlineStr">
        <is>
          <t>Kraft mailer box</t>
        </is>
      </c>
      <c r="E29" s="5" t="n">
        <v>3.25</v>
      </c>
      <c r="F29" s="6">
        <f>IF(AND('Customer view'!$B$1&lt;&gt;"",B29='Customer view'!$B$1),COUNTIF($B$5:B29,'Customer view'!$B$1),"")</f>
        <v/>
      </c>
    </row>
    <row r="30">
      <c r="A30" s="3" t="n">
        <v>5026</v>
      </c>
      <c r="B30" s="3" t="inlineStr">
        <is>
          <t>Dev Kapoor</t>
        </is>
      </c>
      <c r="C30" s="4" t="n">
        <v>46252</v>
      </c>
      <c r="D30" s="3" t="inlineStr">
        <is>
          <t>Soap trio</t>
        </is>
      </c>
      <c r="E30" s="5" t="n">
        <v>22</v>
      </c>
      <c r="F30" s="6">
        <f>IF(AND('Customer view'!$B$1&lt;&gt;"",B30='Customer view'!$B$1),COUNTIF($B$5:B30,'Customer view'!$B$1),"")</f>
        <v/>
      </c>
    </row>
    <row r="31">
      <c r="A31" s="3" t="n">
        <v>5027</v>
      </c>
      <c r="B31" s="3" t="inlineStr">
        <is>
          <t>Alma Reyes</t>
        </is>
      </c>
      <c r="C31" s="4" t="n">
        <v>46255</v>
      </c>
      <c r="D31" s="3" t="inlineStr">
        <is>
          <t>Gift tag set</t>
        </is>
      </c>
      <c r="E31" s="5" t="n">
        <v>4.5</v>
      </c>
      <c r="F31" s="6">
        <f>IF(AND('Customer view'!$B$1&lt;&gt;"",B31='Customer view'!$B$1),COUNTIF($B$5:B31,'Customer view'!$B$1),"")</f>
        <v/>
      </c>
    </row>
    <row r="32">
      <c r="A32" s="3" t="n">
        <v>5028</v>
      </c>
      <c r="B32" s="3" t="inlineStr">
        <is>
          <t>Felix Ode</t>
        </is>
      </c>
      <c r="C32" s="4" t="n">
        <v>46256</v>
      </c>
      <c r="D32" s="3" t="inlineStr">
        <is>
          <t>Soap trio</t>
        </is>
      </c>
      <c r="E32" s="5" t="n">
        <v>66</v>
      </c>
      <c r="F32" s="6">
        <f>IF(AND('Customer view'!$B$1&lt;&gt;"",B32='Customer view'!$B$1),COUNTIF($B$5:B32,'Customer view'!$B$1),"")</f>
        <v/>
      </c>
    </row>
    <row r="33">
      <c r="A33" s="3" t="n">
        <v>5029</v>
      </c>
      <c r="B33" s="3" t="inlineStr">
        <is>
          <t>Alma Reyes</t>
        </is>
      </c>
      <c r="C33" s="4" t="n">
        <v>46256</v>
      </c>
      <c r="D33" s="3" t="inlineStr">
        <is>
          <t>Brass hoops</t>
        </is>
      </c>
      <c r="E33" s="5" t="n">
        <v>72</v>
      </c>
      <c r="F33" s="6">
        <f>IF(AND('Customer view'!$B$1&lt;&gt;"",B33='Customer view'!$B$1),COUNTIF($B$5:B33,'Customer view'!$B$1),"")</f>
        <v/>
      </c>
    </row>
    <row r="34">
      <c r="A34" s="3" t="n">
        <v>5030</v>
      </c>
      <c r="B34" s="3" t="inlineStr">
        <is>
          <t>Ben Tran</t>
        </is>
      </c>
      <c r="C34" s="4" t="n">
        <v>46256</v>
      </c>
      <c r="D34" s="3" t="inlineStr">
        <is>
          <t>Soap trio</t>
        </is>
      </c>
      <c r="E34" s="5" t="n">
        <v>22</v>
      </c>
      <c r="F34" s="6">
        <f>IF(AND('Customer view'!$B$1&lt;&gt;"",B34='Customer view'!$B$1),COUNTIF($B$5:B34,'Customer view'!$B$1),"")</f>
        <v/>
      </c>
    </row>
    <row r="35">
      <c r="A35" s="3" t="n">
        <v>5031</v>
      </c>
      <c r="B35" s="3" t="inlineStr">
        <is>
          <t>Alma Reyes</t>
        </is>
      </c>
      <c r="C35" s="4" t="n">
        <v>46257</v>
      </c>
      <c r="D35" s="3" t="inlineStr">
        <is>
          <t>Cedar candle</t>
        </is>
      </c>
      <c r="E35" s="5" t="n">
        <v>18</v>
      </c>
      <c r="F35" s="6">
        <f>IF(AND('Customer view'!$B$1&lt;&gt;"",B35='Customer view'!$B$1),COUNTIF($B$5:B35,'Customer view'!$B$1),"")</f>
        <v/>
      </c>
    </row>
    <row r="36">
      <c r="A36" s="3" t="n">
        <v>5032</v>
      </c>
      <c r="B36" s="3" t="inlineStr">
        <is>
          <t>Alma Reyes</t>
        </is>
      </c>
      <c r="C36" s="4" t="n">
        <v>46258</v>
      </c>
      <c r="D36" s="3" t="inlineStr">
        <is>
          <t>Gift tag set</t>
        </is>
      </c>
      <c r="E36" s="5" t="n">
        <v>4.5</v>
      </c>
      <c r="F36" s="6">
        <f>IF(AND('Customer view'!$B$1&lt;&gt;"",B36='Customer view'!$B$1),COUNTIF($B$5:B36,'Customer view'!$B$1),"")</f>
        <v/>
      </c>
    </row>
    <row r="37">
      <c r="A37" s="3" t="n">
        <v>5033</v>
      </c>
      <c r="B37" s="3" t="inlineStr">
        <is>
          <t>Cora Lind</t>
        </is>
      </c>
      <c r="C37" s="4" t="n">
        <v>46260</v>
      </c>
      <c r="D37" s="3" t="inlineStr">
        <is>
          <t>Kraft mailer box</t>
        </is>
      </c>
      <c r="E37" s="5" t="n">
        <v>3.25</v>
      </c>
      <c r="F37" s="6">
        <f>IF(AND('Customer view'!$B$1&lt;&gt;"",B37='Customer view'!$B$1),COUNTIF($B$5:B37,'Customer view'!$B$1),"")</f>
        <v/>
      </c>
    </row>
    <row r="38">
      <c r="A38" s="3" t="n">
        <v>5034</v>
      </c>
      <c r="B38" s="3" t="inlineStr">
        <is>
          <t>Dev Kapoor</t>
        </is>
      </c>
      <c r="C38" s="4" t="n">
        <v>46261</v>
      </c>
      <c r="D38" s="3" t="inlineStr">
        <is>
          <t>Kraft mailer box</t>
        </is>
      </c>
      <c r="E38" s="5" t="n">
        <v>9.75</v>
      </c>
      <c r="F38" s="6">
        <f>IF(AND('Customer view'!$B$1&lt;&gt;"",B38='Customer view'!$B$1),COUNTIF($B$5:B38,'Customer view'!$B$1),"")</f>
        <v/>
      </c>
    </row>
    <row r="39">
      <c r="A39" s="3" t="n">
        <v>5035</v>
      </c>
      <c r="B39" s="3" t="inlineStr">
        <is>
          <t>Alma Reyes</t>
        </is>
      </c>
      <c r="C39" s="4" t="n">
        <v>46263</v>
      </c>
      <c r="D39" s="3" t="inlineStr">
        <is>
          <t>Brass hoops</t>
        </is>
      </c>
      <c r="E39" s="5" t="n">
        <v>24</v>
      </c>
      <c r="F39" s="6">
        <f>IF(AND('Customer view'!$B$1&lt;&gt;"",B39='Customer view'!$B$1),COUNTIF($B$5:B39,'Customer view'!$B$1),"")</f>
        <v/>
      </c>
    </row>
    <row r="40">
      <c r="A40" s="3" t="n">
        <v>5036</v>
      </c>
      <c r="B40" s="3" t="inlineStr">
        <is>
          <t>Ben Tran</t>
        </is>
      </c>
      <c r="C40" s="4" t="n">
        <v>46264</v>
      </c>
      <c r="D40" s="3" t="inlineStr">
        <is>
          <t>Gift tag set</t>
        </is>
      </c>
      <c r="E40" s="5" t="n">
        <v>13.5</v>
      </c>
      <c r="F40" s="6">
        <f>IF(AND('Customer view'!$B$1&lt;&gt;"",B40='Customer view'!$B$1),COUNTIF($B$5:B40,'Customer view'!$B$1),"")</f>
        <v/>
      </c>
    </row>
    <row r="41">
      <c r="A41" s="3" t="n">
        <v>5037</v>
      </c>
      <c r="B41" s="3" t="inlineStr">
        <is>
          <t>Ben Tran</t>
        </is>
      </c>
      <c r="C41" s="4" t="n">
        <v>46266</v>
      </c>
      <c r="D41" s="3" t="inlineStr">
        <is>
          <t>Oat soap bar</t>
        </is>
      </c>
      <c r="E41" s="5" t="n">
        <v>8</v>
      </c>
      <c r="F41" s="6">
        <f>IF(AND('Customer view'!$B$1&lt;&gt;"",B41='Customer view'!$B$1),COUNTIF($B$5:B41,'Customer view'!$B$1),"")</f>
        <v/>
      </c>
    </row>
    <row r="42">
      <c r="A42" s="3" t="n">
        <v>5038</v>
      </c>
      <c r="B42" s="3" t="inlineStr">
        <is>
          <t>Alma Reyes</t>
        </is>
      </c>
      <c r="C42" s="4" t="n">
        <v>46267</v>
      </c>
      <c r="D42" s="3" t="inlineStr">
        <is>
          <t>Kraft mailer box</t>
        </is>
      </c>
      <c r="E42" s="5" t="n">
        <v>3.25</v>
      </c>
      <c r="F42" s="6">
        <f>IF(AND('Customer view'!$B$1&lt;&gt;"",B42='Customer view'!$B$1),COUNTIF($B$5:B42,'Customer view'!$B$1),"")</f>
        <v/>
      </c>
    </row>
    <row r="43">
      <c r="A43" s="3" t="n">
        <v>5039</v>
      </c>
      <c r="B43" s="3" t="inlineStr">
        <is>
          <t>Ben Tran</t>
        </is>
      </c>
      <c r="C43" s="4" t="n">
        <v>46267</v>
      </c>
      <c r="D43" s="3" t="inlineStr">
        <is>
          <t>Soap trio</t>
        </is>
      </c>
      <c r="E43" s="5" t="n">
        <v>22</v>
      </c>
      <c r="F43" s="6">
        <f>IF(AND('Customer view'!$B$1&lt;&gt;"",B43='Customer view'!$B$1),COUNTIF($B$5:B43,'Customer view'!$B$1),"")</f>
        <v/>
      </c>
    </row>
    <row r="44">
      <c r="A44" s="3" t="n">
        <v>5040</v>
      </c>
      <c r="B44" s="3" t="inlineStr">
        <is>
          <t>Felix Ode</t>
        </is>
      </c>
      <c r="C44" s="4" t="n">
        <v>46268</v>
      </c>
      <c r="D44" s="3" t="inlineStr">
        <is>
          <t>Brass hoops</t>
        </is>
      </c>
      <c r="E44" s="5" t="n">
        <v>48</v>
      </c>
      <c r="F44" s="6">
        <f>IF(AND('Customer view'!$B$1&lt;&gt;"",B44='Customer view'!$B$1),COUNTIF($B$5:B44,'Customer view'!$B$1),"")</f>
        <v/>
      </c>
    </row>
    <row r="45">
      <c r="A45" s="3" t="n"/>
      <c r="B45" s="3" t="n"/>
      <c r="C45" s="4" t="n"/>
      <c r="D45" s="3" t="n"/>
      <c r="E45" s="5" t="n"/>
      <c r="F45" s="6">
        <f>IF(AND('Customer view'!$B$1&lt;&gt;"",B45='Customer view'!$B$1),COUNTIF($B$5:B45,'Customer view'!$B$1),"")</f>
        <v/>
      </c>
    </row>
    <row r="46">
      <c r="A46" s="3" t="n"/>
      <c r="B46" s="3" t="n"/>
      <c r="C46" s="4" t="n"/>
      <c r="D46" s="3" t="n"/>
      <c r="E46" s="5" t="n"/>
      <c r="F46" s="6">
        <f>IF(AND('Customer view'!$B$1&lt;&gt;"",B46='Customer view'!$B$1),COUNTIF($B$5:B46,'Customer view'!$B$1),"")</f>
        <v/>
      </c>
    </row>
    <row r="47">
      <c r="A47" s="3" t="n"/>
      <c r="B47" s="3" t="n"/>
      <c r="C47" s="4" t="n"/>
      <c r="D47" s="3" t="n"/>
      <c r="E47" s="5" t="n"/>
      <c r="F47" s="6">
        <f>IF(AND('Customer view'!$B$1&lt;&gt;"",B47='Customer view'!$B$1),COUNTIF($B$5:B47,'Customer view'!$B$1),"")</f>
        <v/>
      </c>
    </row>
    <row r="48">
      <c r="A48" s="3" t="n"/>
      <c r="B48" s="3" t="n"/>
      <c r="C48" s="4" t="n"/>
      <c r="D48" s="3" t="n"/>
      <c r="E48" s="5" t="n"/>
      <c r="F48" s="6">
        <f>IF(AND('Customer view'!$B$1&lt;&gt;"",B48='Customer view'!$B$1),COUNTIF($B$5:B48,'Customer view'!$B$1),"")</f>
        <v/>
      </c>
    </row>
    <row r="49">
      <c r="A49" s="3" t="n"/>
      <c r="B49" s="3" t="n"/>
      <c r="C49" s="4" t="n"/>
      <c r="D49" s="3" t="n"/>
      <c r="E49" s="5" t="n"/>
      <c r="F49" s="6">
        <f>IF(AND('Customer view'!$B$1&lt;&gt;"",B49='Customer view'!$B$1),COUNTIF($B$5:B49,'Customer view'!$B$1),"")</f>
        <v/>
      </c>
    </row>
    <row r="50">
      <c r="A50" s="3" t="n"/>
      <c r="B50" s="3" t="n"/>
      <c r="C50" s="4" t="n"/>
      <c r="D50" s="3" t="n"/>
      <c r="E50" s="5" t="n"/>
      <c r="F50" s="6">
        <f>IF(AND('Customer view'!$B$1&lt;&gt;"",B50='Customer view'!$B$1),COUNTIF($B$5:B50,'Customer view'!$B$1),"")</f>
        <v/>
      </c>
    </row>
    <row r="51">
      <c r="A51" s="3" t="n"/>
      <c r="B51" s="3" t="n"/>
      <c r="C51" s="4" t="n"/>
      <c r="D51" s="3" t="n"/>
      <c r="E51" s="5" t="n"/>
      <c r="F51" s="6">
        <f>IF(AND('Customer view'!$B$1&lt;&gt;"",B51='Customer view'!$B$1),COUNTIF($B$5:B51,'Customer view'!$B$1),"")</f>
        <v/>
      </c>
    </row>
    <row r="52">
      <c r="A52" s="3" t="n"/>
      <c r="B52" s="3" t="n"/>
      <c r="C52" s="4" t="n"/>
      <c r="D52" s="3" t="n"/>
      <c r="E52" s="5" t="n"/>
      <c r="F52" s="6">
        <f>IF(AND('Customer view'!$B$1&lt;&gt;"",B52='Customer view'!$B$1),COUNTIF($B$5:B52,'Customer view'!$B$1),"")</f>
        <v/>
      </c>
    </row>
    <row r="53">
      <c r="A53" s="3" t="n"/>
      <c r="B53" s="3" t="n"/>
      <c r="C53" s="4" t="n"/>
      <c r="D53" s="3" t="n"/>
      <c r="E53" s="5" t="n"/>
      <c r="F53" s="6">
        <f>IF(AND('Customer view'!$B$1&lt;&gt;"",B53='Customer view'!$B$1),COUNTIF($B$5:B53,'Customer view'!$B$1),"")</f>
        <v/>
      </c>
    </row>
    <row r="54">
      <c r="A54" s="3" t="n"/>
      <c r="B54" s="3" t="n"/>
      <c r="C54" s="4" t="n"/>
      <c r="D54" s="3" t="n"/>
      <c r="E54" s="5" t="n"/>
      <c r="F54" s="6">
        <f>IF(AND('Customer view'!$B$1&lt;&gt;"",B54='Customer view'!$B$1),COUNTIF($B$5:B54,'Customer view'!$B$1),"")</f>
        <v/>
      </c>
    </row>
    <row r="55">
      <c r="A55" s="3" t="n"/>
      <c r="B55" s="3" t="n"/>
      <c r="C55" s="4" t="n"/>
      <c r="D55" s="3" t="n"/>
      <c r="E55" s="5" t="n"/>
      <c r="F55" s="6">
        <f>IF(AND('Customer view'!$B$1&lt;&gt;"",B55='Customer view'!$B$1),COUNTIF($B$5:B55,'Customer view'!$B$1),"")</f>
        <v/>
      </c>
    </row>
    <row r="56">
      <c r="A56" s="3" t="n"/>
      <c r="B56" s="3" t="n"/>
      <c r="C56" s="4" t="n"/>
      <c r="D56" s="3" t="n"/>
      <c r="E56" s="5" t="n"/>
      <c r="F56" s="6">
        <f>IF(AND('Customer view'!$B$1&lt;&gt;"",B56='Customer view'!$B$1),COUNTIF($B$5:B56,'Customer view'!$B$1),"")</f>
        <v/>
      </c>
    </row>
    <row r="57">
      <c r="A57" s="3" t="n"/>
      <c r="B57" s="3" t="n"/>
      <c r="C57" s="4" t="n"/>
      <c r="D57" s="3" t="n"/>
      <c r="E57" s="5" t="n"/>
      <c r="F57" s="6">
        <f>IF(AND('Customer view'!$B$1&lt;&gt;"",B57='Customer view'!$B$1),COUNTIF($B$5:B57,'Customer view'!$B$1),"")</f>
        <v/>
      </c>
    </row>
    <row r="58">
      <c r="A58" s="3" t="n"/>
      <c r="B58" s="3" t="n"/>
      <c r="C58" s="4" t="n"/>
      <c r="D58" s="3" t="n"/>
      <c r="E58" s="5" t="n"/>
      <c r="F58" s="6">
        <f>IF(AND('Customer view'!$B$1&lt;&gt;"",B58='Customer view'!$B$1),COUNTIF($B$5:B58,'Customer view'!$B$1),"")</f>
        <v/>
      </c>
    </row>
    <row r="59">
      <c r="A59" s="3" t="n"/>
      <c r="B59" s="3" t="n"/>
      <c r="C59" s="4" t="n"/>
      <c r="D59" s="3" t="n"/>
      <c r="E59" s="5" t="n"/>
      <c r="F59" s="6">
        <f>IF(AND('Customer view'!$B$1&lt;&gt;"",B59='Customer view'!$B$1),COUNTIF($B$5:B59,'Customer view'!$B$1),"")</f>
        <v/>
      </c>
    </row>
    <row r="60">
      <c r="A60" s="3" t="n"/>
      <c r="B60" s="3" t="n"/>
      <c r="C60" s="4" t="n"/>
      <c r="D60" s="3" t="n"/>
      <c r="E60" s="5" t="n"/>
      <c r="F60" s="6">
        <f>IF(AND('Customer view'!$B$1&lt;&gt;"",B60='Customer view'!$B$1),COUNTIF($B$5:B60,'Customer view'!$B$1),"")</f>
        <v/>
      </c>
    </row>
    <row r="61">
      <c r="A61" s="3" t="n"/>
      <c r="B61" s="3" t="n"/>
      <c r="C61" s="4" t="n"/>
      <c r="D61" s="3" t="n"/>
      <c r="E61" s="5" t="n"/>
      <c r="F61" s="6">
        <f>IF(AND('Customer view'!$B$1&lt;&gt;"",B61='Customer view'!$B$1),COUNTIF($B$5:B61,'Customer view'!$B$1),"")</f>
        <v/>
      </c>
    </row>
    <row r="62">
      <c r="A62" s="3" t="n"/>
      <c r="B62" s="3" t="n"/>
      <c r="C62" s="4" t="n"/>
      <c r="D62" s="3" t="n"/>
      <c r="E62" s="5" t="n"/>
      <c r="F62" s="6">
        <f>IF(AND('Customer view'!$B$1&lt;&gt;"",B62='Customer view'!$B$1),COUNTIF($B$5:B62,'Customer view'!$B$1),"")</f>
        <v/>
      </c>
    </row>
    <row r="63">
      <c r="A63" s="3" t="n"/>
      <c r="B63" s="3" t="n"/>
      <c r="C63" s="4" t="n"/>
      <c r="D63" s="3" t="n"/>
      <c r="E63" s="5" t="n"/>
      <c r="F63" s="6">
        <f>IF(AND('Customer view'!$B$1&lt;&gt;"",B63='Customer view'!$B$1),COUNTIF($B$5:B63,'Customer view'!$B$1),"")</f>
        <v/>
      </c>
    </row>
    <row r="64">
      <c r="A64" s="3" t="n"/>
      <c r="B64" s="3" t="n"/>
      <c r="C64" s="4" t="n"/>
      <c r="D64" s="3" t="n"/>
      <c r="E64" s="5" t="n"/>
      <c r="F64" s="6">
        <f>IF(AND('Customer view'!$B$1&lt;&gt;"",B64='Customer view'!$B$1),COUNTIF($B$5:B64,'Customer view'!$B$1),"")</f>
        <v/>
      </c>
    </row>
    <row r="65">
      <c r="A65" s="3" t="n"/>
      <c r="B65" s="3" t="n"/>
      <c r="C65" s="4" t="n"/>
      <c r="D65" s="3" t="n"/>
      <c r="E65" s="5" t="n"/>
      <c r="F65" s="6">
        <f>IF(AND('Customer view'!$B$1&lt;&gt;"",B65='Customer view'!$B$1),COUNTIF($B$5:B65,'Customer view'!$B$1),"")</f>
        <v/>
      </c>
    </row>
    <row r="66">
      <c r="A66" s="3" t="n"/>
      <c r="B66" s="3" t="n"/>
      <c r="C66" s="4" t="n"/>
      <c r="D66" s="3" t="n"/>
      <c r="E66" s="5" t="n"/>
      <c r="F66" s="6">
        <f>IF(AND('Customer view'!$B$1&lt;&gt;"",B66='Customer view'!$B$1),COUNTIF($B$5:B66,'Customer view'!$B$1),"")</f>
        <v/>
      </c>
    </row>
    <row r="67">
      <c r="A67" s="3" t="n"/>
      <c r="B67" s="3" t="n"/>
      <c r="C67" s="4" t="n"/>
      <c r="D67" s="3" t="n"/>
      <c r="E67" s="5" t="n"/>
      <c r="F67" s="6">
        <f>IF(AND('Customer view'!$B$1&lt;&gt;"",B67='Customer view'!$B$1),COUNTIF($B$5:B67,'Customer view'!$B$1),"")</f>
        <v/>
      </c>
    </row>
    <row r="68">
      <c r="A68" s="3" t="n"/>
      <c r="B68" s="3" t="n"/>
      <c r="C68" s="4" t="n"/>
      <c r="D68" s="3" t="n"/>
      <c r="E68" s="5" t="n"/>
      <c r="F68" s="6">
        <f>IF(AND('Customer view'!$B$1&lt;&gt;"",B68='Customer view'!$B$1),COUNTIF($B$5:B68,'Customer view'!$B$1),"")</f>
        <v/>
      </c>
    </row>
    <row r="69">
      <c r="A69" s="3" t="n"/>
      <c r="B69" s="3" t="n"/>
      <c r="C69" s="4" t="n"/>
      <c r="D69" s="3" t="n"/>
      <c r="E69" s="5" t="n"/>
      <c r="F69" s="6">
        <f>IF(AND('Customer view'!$B$1&lt;&gt;"",B69='Customer view'!$B$1),COUNTIF($B$5:B69,'Customer view'!$B$1),"")</f>
        <v/>
      </c>
    </row>
    <row r="70">
      <c r="A70" s="3" t="n"/>
      <c r="B70" s="3" t="n"/>
      <c r="C70" s="4" t="n"/>
      <c r="D70" s="3" t="n"/>
      <c r="E70" s="5" t="n"/>
      <c r="F70" s="6">
        <f>IF(AND('Customer view'!$B$1&lt;&gt;"",B70='Customer view'!$B$1),COUNTIF($B$5:B70,'Customer view'!$B$1),"")</f>
        <v/>
      </c>
    </row>
    <row r="71">
      <c r="A71" s="3" t="n"/>
      <c r="B71" s="3" t="n"/>
      <c r="C71" s="4" t="n"/>
      <c r="D71" s="3" t="n"/>
      <c r="E71" s="5" t="n"/>
      <c r="F71" s="6">
        <f>IF(AND('Customer view'!$B$1&lt;&gt;"",B71='Customer view'!$B$1),COUNTIF($B$5:B71,'Customer view'!$B$1),"")</f>
        <v/>
      </c>
    </row>
    <row r="72">
      <c r="A72" s="3" t="n"/>
      <c r="B72" s="3" t="n"/>
      <c r="C72" s="4" t="n"/>
      <c r="D72" s="3" t="n"/>
      <c r="E72" s="5" t="n"/>
      <c r="F72" s="6">
        <f>IF(AND('Customer view'!$B$1&lt;&gt;"",B72='Customer view'!$B$1),COUNTIF($B$5:B72,'Customer view'!$B$1),"")</f>
        <v/>
      </c>
    </row>
    <row r="73">
      <c r="A73" s="3" t="n"/>
      <c r="B73" s="3" t="n"/>
      <c r="C73" s="4" t="n"/>
      <c r="D73" s="3" t="n"/>
      <c r="E73" s="5" t="n"/>
      <c r="F73" s="6">
        <f>IF(AND('Customer view'!$B$1&lt;&gt;"",B73='Customer view'!$B$1),COUNTIF($B$5:B73,'Customer view'!$B$1),"")</f>
        <v/>
      </c>
    </row>
    <row r="74">
      <c r="A74" s="3" t="n"/>
      <c r="B74" s="3" t="n"/>
      <c r="C74" s="4" t="n"/>
      <c r="D74" s="3" t="n"/>
      <c r="E74" s="5" t="n"/>
      <c r="F74" s="6">
        <f>IF(AND('Customer view'!$B$1&lt;&gt;"",B74='Customer view'!$B$1),COUNTIF($B$5:B74,'Customer view'!$B$1),"")</f>
        <v/>
      </c>
    </row>
    <row r="75">
      <c r="A75" s="3" t="n"/>
      <c r="B75" s="3" t="n"/>
      <c r="C75" s="4" t="n"/>
      <c r="D75" s="3" t="n"/>
      <c r="E75" s="5" t="n"/>
      <c r="F75" s="6">
        <f>IF(AND('Customer view'!$B$1&lt;&gt;"",B75='Customer view'!$B$1),COUNTIF($B$5:B75,'Customer view'!$B$1),"")</f>
        <v/>
      </c>
    </row>
    <row r="76">
      <c r="A76" s="3" t="n"/>
      <c r="B76" s="3" t="n"/>
      <c r="C76" s="4" t="n"/>
      <c r="D76" s="3" t="n"/>
      <c r="E76" s="5" t="n"/>
      <c r="F76" s="6">
        <f>IF(AND('Customer view'!$B$1&lt;&gt;"",B76='Customer view'!$B$1),COUNTIF($B$5:B76,'Customer view'!$B$1),"")</f>
        <v/>
      </c>
    </row>
    <row r="77">
      <c r="A77" s="3" t="n"/>
      <c r="B77" s="3" t="n"/>
      <c r="C77" s="4" t="n"/>
      <c r="D77" s="3" t="n"/>
      <c r="E77" s="5" t="n"/>
      <c r="F77" s="6">
        <f>IF(AND('Customer view'!$B$1&lt;&gt;"",B77='Customer view'!$B$1),COUNTIF($B$5:B77,'Customer view'!$B$1),"")</f>
        <v/>
      </c>
    </row>
    <row r="78">
      <c r="A78" s="3" t="n"/>
      <c r="B78" s="3" t="n"/>
      <c r="C78" s="4" t="n"/>
      <c r="D78" s="3" t="n"/>
      <c r="E78" s="5" t="n"/>
      <c r="F78" s="6">
        <f>IF(AND('Customer view'!$B$1&lt;&gt;"",B78='Customer view'!$B$1),COUNTIF($B$5:B78,'Customer view'!$B$1),"")</f>
        <v/>
      </c>
    </row>
    <row r="79">
      <c r="A79" s="3" t="n"/>
      <c r="B79" s="3" t="n"/>
      <c r="C79" s="4" t="n"/>
      <c r="D79" s="3" t="n"/>
      <c r="E79" s="5" t="n"/>
      <c r="F79" s="6">
        <f>IF(AND('Customer view'!$B$1&lt;&gt;"",B79='Customer view'!$B$1),COUNTIF($B$5:B79,'Customer view'!$B$1),"")</f>
        <v/>
      </c>
    </row>
    <row r="80">
      <c r="A80" s="3" t="n"/>
      <c r="B80" s="3" t="n"/>
      <c r="C80" s="4" t="n"/>
      <c r="D80" s="3" t="n"/>
      <c r="E80" s="5" t="n"/>
      <c r="F80" s="6">
        <f>IF(AND('Customer view'!$B$1&lt;&gt;"",B80='Customer view'!$B$1),COUNTIF($B$5:B80,'Customer view'!$B$1),"")</f>
        <v/>
      </c>
    </row>
    <row r="81">
      <c r="A81" s="3" t="n"/>
      <c r="B81" s="3" t="n"/>
      <c r="C81" s="4" t="n"/>
      <c r="D81" s="3" t="n"/>
      <c r="E81" s="5" t="n"/>
      <c r="F81" s="6">
        <f>IF(AND('Customer view'!$B$1&lt;&gt;"",B81='Customer view'!$B$1),COUNTIF($B$5:B81,'Customer view'!$B$1),"")</f>
        <v/>
      </c>
    </row>
    <row r="82">
      <c r="A82" s="3" t="n"/>
      <c r="B82" s="3" t="n"/>
      <c r="C82" s="4" t="n"/>
      <c r="D82" s="3" t="n"/>
      <c r="E82" s="5" t="n"/>
      <c r="F82" s="6">
        <f>IF(AND('Customer view'!$B$1&lt;&gt;"",B82='Customer view'!$B$1),COUNTIF($B$5:B82,'Customer view'!$B$1),"")</f>
        <v/>
      </c>
    </row>
    <row r="83">
      <c r="A83" s="3" t="n"/>
      <c r="B83" s="3" t="n"/>
      <c r="C83" s="4" t="n"/>
      <c r="D83" s="3" t="n"/>
      <c r="E83" s="5" t="n"/>
      <c r="F83" s="6">
        <f>IF(AND('Customer view'!$B$1&lt;&gt;"",B83='Customer view'!$B$1),COUNTIF($B$5:B83,'Customer view'!$B$1),"")</f>
        <v/>
      </c>
    </row>
    <row r="84">
      <c r="A84" s="3" t="n"/>
      <c r="B84" s="3" t="n"/>
      <c r="C84" s="4" t="n"/>
      <c r="D84" s="3" t="n"/>
      <c r="E84" s="5" t="n"/>
      <c r="F84" s="6">
        <f>IF(AND('Customer view'!$B$1&lt;&gt;"",B84='Customer view'!$B$1),COUNTIF($B$5:B84,'Customer view'!$B$1),"")</f>
        <v/>
      </c>
    </row>
    <row r="85">
      <c r="A85" s="3" t="n"/>
      <c r="B85" s="3" t="n"/>
      <c r="C85" s="4" t="n"/>
      <c r="D85" s="3" t="n"/>
      <c r="E85" s="5" t="n"/>
      <c r="F85" s="6">
        <f>IF(AND('Customer view'!$B$1&lt;&gt;"",B85='Customer view'!$B$1),COUNTIF($B$5:B85,'Customer view'!$B$1),"")</f>
        <v/>
      </c>
    </row>
    <row r="86">
      <c r="A86" s="3" t="n"/>
      <c r="B86" s="3" t="n"/>
      <c r="C86" s="4" t="n"/>
      <c r="D86" s="3" t="n"/>
      <c r="E86" s="5" t="n"/>
      <c r="F86" s="6">
        <f>IF(AND('Customer view'!$B$1&lt;&gt;"",B86='Customer view'!$B$1),COUNTIF($B$5:B86,'Customer view'!$B$1),"")</f>
        <v/>
      </c>
    </row>
    <row r="87">
      <c r="A87" s="3" t="n"/>
      <c r="B87" s="3" t="n"/>
      <c r="C87" s="4" t="n"/>
      <c r="D87" s="3" t="n"/>
      <c r="E87" s="5" t="n"/>
      <c r="F87" s="6">
        <f>IF(AND('Customer view'!$B$1&lt;&gt;"",B87='Customer view'!$B$1),COUNTIF($B$5:B87,'Customer view'!$B$1),"")</f>
        <v/>
      </c>
    </row>
    <row r="88">
      <c r="A88" s="3" t="n"/>
      <c r="B88" s="3" t="n"/>
      <c r="C88" s="4" t="n"/>
      <c r="D88" s="3" t="n"/>
      <c r="E88" s="5" t="n"/>
      <c r="F88" s="6">
        <f>IF(AND('Customer view'!$B$1&lt;&gt;"",B88='Customer view'!$B$1),COUNTIF($B$5:B88,'Customer view'!$B$1),"")</f>
        <v/>
      </c>
    </row>
    <row r="89">
      <c r="A89" s="3" t="n"/>
      <c r="B89" s="3" t="n"/>
      <c r="C89" s="4" t="n"/>
      <c r="D89" s="3" t="n"/>
      <c r="E89" s="5" t="n"/>
      <c r="F89" s="6">
        <f>IF(AND('Customer view'!$B$1&lt;&gt;"",B89='Customer view'!$B$1),COUNTIF($B$5:B89,'Customer view'!$B$1),"")</f>
        <v/>
      </c>
    </row>
    <row r="90">
      <c r="A90" s="3" t="n"/>
      <c r="B90" s="3" t="n"/>
      <c r="C90" s="4" t="n"/>
      <c r="D90" s="3" t="n"/>
      <c r="E90" s="5" t="n"/>
      <c r="F90" s="6">
        <f>IF(AND('Customer view'!$B$1&lt;&gt;"",B90='Customer view'!$B$1),COUNTIF($B$5:B90,'Customer view'!$B$1),"")</f>
        <v/>
      </c>
    </row>
    <row r="91">
      <c r="A91" s="3" t="n"/>
      <c r="B91" s="3" t="n"/>
      <c r="C91" s="4" t="n"/>
      <c r="D91" s="3" t="n"/>
      <c r="E91" s="5" t="n"/>
      <c r="F91" s="6">
        <f>IF(AND('Customer view'!$B$1&lt;&gt;"",B91='Customer view'!$B$1),COUNTIF($B$5:B91,'Customer view'!$B$1),"")</f>
        <v/>
      </c>
    </row>
    <row r="92">
      <c r="A92" s="3" t="n"/>
      <c r="B92" s="3" t="n"/>
      <c r="C92" s="4" t="n"/>
      <c r="D92" s="3" t="n"/>
      <c r="E92" s="5" t="n"/>
      <c r="F92" s="6">
        <f>IF(AND('Customer view'!$B$1&lt;&gt;"",B92='Customer view'!$B$1),COUNTIF($B$5:B92,'Customer view'!$B$1),"")</f>
        <v/>
      </c>
    </row>
    <row r="93">
      <c r="A93" s="3" t="n"/>
      <c r="B93" s="3" t="n"/>
      <c r="C93" s="4" t="n"/>
      <c r="D93" s="3" t="n"/>
      <c r="E93" s="5" t="n"/>
      <c r="F93" s="6">
        <f>IF(AND('Customer view'!$B$1&lt;&gt;"",B93='Customer view'!$B$1),COUNTIF($B$5:B93,'Customer view'!$B$1),"")</f>
        <v/>
      </c>
    </row>
    <row r="94">
      <c r="A94" s="3" t="n"/>
      <c r="B94" s="3" t="n"/>
      <c r="C94" s="4" t="n"/>
      <c r="D94" s="3" t="n"/>
      <c r="E94" s="5" t="n"/>
      <c r="F94" s="6">
        <f>IF(AND('Customer view'!$B$1&lt;&gt;"",B94='Customer view'!$B$1),COUNTIF($B$5:B94,'Customer view'!$B$1),"")</f>
        <v/>
      </c>
    </row>
    <row r="95">
      <c r="A95" s="3" t="n"/>
      <c r="B95" s="3" t="n"/>
      <c r="C95" s="4" t="n"/>
      <c r="D95" s="3" t="n"/>
      <c r="E95" s="5" t="n"/>
      <c r="F95" s="6">
        <f>IF(AND('Customer view'!$B$1&lt;&gt;"",B95='Customer view'!$B$1),COUNTIF($B$5:B95,'Customer view'!$B$1),"")</f>
        <v/>
      </c>
    </row>
    <row r="96">
      <c r="A96" s="3" t="n"/>
      <c r="B96" s="3" t="n"/>
      <c r="C96" s="4" t="n"/>
      <c r="D96" s="3" t="n"/>
      <c r="E96" s="5" t="n"/>
      <c r="F96" s="6">
        <f>IF(AND('Customer view'!$B$1&lt;&gt;"",B96='Customer view'!$B$1),COUNTIF($B$5:B96,'Customer view'!$B$1),"")</f>
        <v/>
      </c>
    </row>
    <row r="97">
      <c r="A97" s="3" t="n"/>
      <c r="B97" s="3" t="n"/>
      <c r="C97" s="4" t="n"/>
      <c r="D97" s="3" t="n"/>
      <c r="E97" s="5" t="n"/>
      <c r="F97" s="6">
        <f>IF(AND('Customer view'!$B$1&lt;&gt;"",B97='Customer view'!$B$1),COUNTIF($B$5:B97,'Customer view'!$B$1),"")</f>
        <v/>
      </c>
    </row>
    <row r="98">
      <c r="A98" s="3" t="n"/>
      <c r="B98" s="3" t="n"/>
      <c r="C98" s="4" t="n"/>
      <c r="D98" s="3" t="n"/>
      <c r="E98" s="5" t="n"/>
      <c r="F98" s="6">
        <f>IF(AND('Customer view'!$B$1&lt;&gt;"",B98='Customer view'!$B$1),COUNTIF($B$5:B98,'Customer view'!$B$1),"")</f>
        <v/>
      </c>
    </row>
    <row r="99">
      <c r="A99" s="3" t="n"/>
      <c r="B99" s="3" t="n"/>
      <c r="C99" s="4" t="n"/>
      <c r="D99" s="3" t="n"/>
      <c r="E99" s="5" t="n"/>
      <c r="F99" s="6">
        <f>IF(AND('Customer view'!$B$1&lt;&gt;"",B99='Customer view'!$B$1),COUNTIF($B$5:B99,'Customer view'!$B$1),"")</f>
        <v/>
      </c>
    </row>
    <row r="100">
      <c r="A100" s="3" t="n"/>
      <c r="B100" s="3" t="n"/>
      <c r="C100" s="4" t="n"/>
      <c r="D100" s="3" t="n"/>
      <c r="E100" s="5" t="n"/>
      <c r="F100" s="6">
        <f>IF(AND('Customer view'!$B$1&lt;&gt;"",B100='Customer view'!$B$1),COUNTIF($B$5:B100,'Customer view'!$B$1),"")</f>
        <v/>
      </c>
    </row>
    <row r="101">
      <c r="A101" s="3" t="n"/>
      <c r="B101" s="3" t="n"/>
      <c r="C101" s="4" t="n"/>
      <c r="D101" s="3" t="n"/>
      <c r="E101" s="5" t="n"/>
      <c r="F101" s="6">
        <f>IF(AND('Customer view'!$B$1&lt;&gt;"",B101='Customer view'!$B$1),COUNTIF($B$5:B101,'Customer view'!$B$1),"")</f>
        <v/>
      </c>
    </row>
    <row r="102">
      <c r="A102" s="3" t="n"/>
      <c r="B102" s="3" t="n"/>
      <c r="C102" s="4" t="n"/>
      <c r="D102" s="3" t="n"/>
      <c r="E102" s="5" t="n"/>
      <c r="F102" s="6">
        <f>IF(AND('Customer view'!$B$1&lt;&gt;"",B102='Customer view'!$B$1),COUNTIF($B$5:B102,'Customer view'!$B$1),"")</f>
        <v/>
      </c>
    </row>
    <row r="103">
      <c r="A103" s="3" t="n"/>
      <c r="B103" s="3" t="n"/>
      <c r="C103" s="4" t="n"/>
      <c r="D103" s="3" t="n"/>
      <c r="E103" s="5" t="n"/>
      <c r="F103" s="6">
        <f>IF(AND('Customer view'!$B$1&lt;&gt;"",B103='Customer view'!$B$1),COUNTIF($B$5:B103,'Customer view'!$B$1),"")</f>
        <v/>
      </c>
    </row>
    <row r="104">
      <c r="A104" s="3" t="n"/>
      <c r="B104" s="3" t="n"/>
      <c r="C104" s="4" t="n"/>
      <c r="D104" s="3" t="n"/>
      <c r="E104" s="5" t="n"/>
      <c r="F104" s="6">
        <f>IF(AND('Customer view'!$B$1&lt;&gt;"",B104='Customer view'!$B$1),COUNTIF($B$5:B104,'Customer view'!$B$1),"")</f>
        <v/>
      </c>
    </row>
  </sheetData>
  <conditionalFormatting sqref="A5:F104">
    <cfRule type="expression" priority="1" dxfId="0">
      <formula>ISNUMBER($F5)</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H24"/>
  <sheetViews>
    <sheetView workbookViewId="0">
      <selection activeCell="A1" sqref="A1"/>
    </sheetView>
  </sheetViews>
  <sheetFormatPr baseColWidth="8" defaultRowHeight="15"/>
  <cols>
    <col width="20" customWidth="1" min="1" max="1"/>
    <col width="14" customWidth="1" min="2" max="2"/>
    <col width="34" customWidth="1" min="3" max="3"/>
    <col width="16" customWidth="1" min="4" max="4"/>
    <col width="3" customWidth="1" min="5" max="5"/>
    <col width="3" customWidth="1" min="6" max="6"/>
    <col width="3" customWidth="1" min="7" max="7"/>
    <col width="24" customWidth="1" min="8" max="8"/>
  </cols>
  <sheetData>
    <row r="1">
      <c r="A1" s="7" t="inlineStr">
        <is>
          <t>Customer (pick one)</t>
        </is>
      </c>
      <c r="B1" s="3" t="inlineStr">
        <is>
          <t>Alma Reyes</t>
        </is>
      </c>
      <c r="C1" s="7" t="inlineStr">
        <is>
          <t>Rows listed below (room for 12)</t>
        </is>
      </c>
      <c r="D1" s="6">
        <f>SUMPRODUCT(--(A5:A16&lt;&gt;""))</f>
        <v/>
      </c>
    </row>
    <row r="2">
      <c r="A2" s="7" t="inlineStr">
        <is>
          <t>Orders found</t>
        </is>
      </c>
      <c r="B2" s="6">
        <f>IF(B1="",0,COUNTIF(Orders!$B$5:$B$104,B1))</f>
        <v/>
      </c>
      <c r="C2" s="7" t="inlineStr">
        <is>
          <t>Check</t>
        </is>
      </c>
      <c r="D2" s="6">
        <f>IF(B1="","Pick a customer",IF(AND(D1=B2,ROUND(SUM(D5:D16)-B3,2)=0),"OK","CHECK"))</f>
        <v/>
      </c>
    </row>
    <row r="3">
      <c r="A3" s="7" t="inlineStr">
        <is>
          <t>Total of those orders</t>
        </is>
      </c>
      <c r="B3" s="8">
        <f>IF(B1="",0,SUMIF(Orders!$B$5:$B$104,B1,Orders!$E$5:$E$104))</f>
        <v/>
      </c>
      <c r="C3" s="7" t="inlineStr">
        <is>
          <t>Note</t>
        </is>
      </c>
      <c r="D3" s="6">
        <f>IF(B1="","",IF(B2=0,"No orders found for this name",IF(B2&gt;12,"Only the first 12 are listed","")))</f>
        <v/>
      </c>
    </row>
    <row r="4" ht="24" customHeight="1">
      <c r="A4" s="2" t="inlineStr">
        <is>
          <t>Order #</t>
        </is>
      </c>
      <c r="B4" s="2" t="inlineStr">
        <is>
          <t>Order date</t>
        </is>
      </c>
      <c r="C4" s="2" t="inlineStr">
        <is>
          <t>Item</t>
        </is>
      </c>
      <c r="D4" s="2" t="inlineStr">
        <is>
          <t>Amount</t>
        </is>
      </c>
      <c r="H4" s="9" t="inlineStr">
        <is>
          <t>Pick-list names</t>
        </is>
      </c>
    </row>
    <row r="5">
      <c r="A5" s="10">
        <f>IFERROR(INDEX(Orders!$A$5:$A$104,MATCH(ROWS($A$4:A4),Orders!$F$5:$F$104,0)),"")</f>
        <v/>
      </c>
      <c r="B5" s="11">
        <f>IFERROR(INDEX(Orders!$C$5:$C$104,MATCH(ROWS($A$4:A4),Orders!$F$5:$F$104,0)),"")</f>
        <v/>
      </c>
      <c r="C5" s="12">
        <f>IFERROR(INDEX(Orders!$D$5:$D$104,MATCH(ROWS($A$4:A4),Orders!$F$5:$F$104,0)),"")</f>
        <v/>
      </c>
      <c r="D5" s="13">
        <f>IFERROR(INDEX(Orders!$E$5:$E$104,MATCH(ROWS($A$4:A4),Orders!$F$5:$F$104,0)),"")</f>
        <v/>
      </c>
      <c r="H5" s="3" t="inlineStr">
        <is>
          <t>Alma Reyes</t>
        </is>
      </c>
    </row>
    <row r="6">
      <c r="A6" s="10">
        <f>IFERROR(INDEX(Orders!$A$5:$A$104,MATCH(ROWS($A$4:A5),Orders!$F$5:$F$104,0)),"")</f>
        <v/>
      </c>
      <c r="B6" s="11">
        <f>IFERROR(INDEX(Orders!$C$5:$C$104,MATCH(ROWS($A$4:A5),Orders!$F$5:$F$104,0)),"")</f>
        <v/>
      </c>
      <c r="C6" s="12">
        <f>IFERROR(INDEX(Orders!$D$5:$D$104,MATCH(ROWS($A$4:A5),Orders!$F$5:$F$104,0)),"")</f>
        <v/>
      </c>
      <c r="D6" s="13">
        <f>IFERROR(INDEX(Orders!$E$5:$E$104,MATCH(ROWS($A$4:A5),Orders!$F$5:$F$104,0)),"")</f>
        <v/>
      </c>
      <c r="H6" s="3" t="inlineStr">
        <is>
          <t>Ben Tran</t>
        </is>
      </c>
    </row>
    <row r="7">
      <c r="A7" s="10">
        <f>IFERROR(INDEX(Orders!$A$5:$A$104,MATCH(ROWS($A$4:A6),Orders!$F$5:$F$104,0)),"")</f>
        <v/>
      </c>
      <c r="B7" s="11">
        <f>IFERROR(INDEX(Orders!$C$5:$C$104,MATCH(ROWS($A$4:A6),Orders!$F$5:$F$104,0)),"")</f>
        <v/>
      </c>
      <c r="C7" s="12">
        <f>IFERROR(INDEX(Orders!$D$5:$D$104,MATCH(ROWS($A$4:A6),Orders!$F$5:$F$104,0)),"")</f>
        <v/>
      </c>
      <c r="D7" s="13">
        <f>IFERROR(INDEX(Orders!$E$5:$E$104,MATCH(ROWS($A$4:A6),Orders!$F$5:$F$104,0)),"")</f>
        <v/>
      </c>
      <c r="H7" s="3" t="inlineStr">
        <is>
          <t>Cora Lind</t>
        </is>
      </c>
    </row>
    <row r="8">
      <c r="A8" s="10">
        <f>IFERROR(INDEX(Orders!$A$5:$A$104,MATCH(ROWS($A$4:A7),Orders!$F$5:$F$104,0)),"")</f>
        <v/>
      </c>
      <c r="B8" s="11">
        <f>IFERROR(INDEX(Orders!$C$5:$C$104,MATCH(ROWS($A$4:A7),Orders!$F$5:$F$104,0)),"")</f>
        <v/>
      </c>
      <c r="C8" s="12">
        <f>IFERROR(INDEX(Orders!$D$5:$D$104,MATCH(ROWS($A$4:A7),Orders!$F$5:$F$104,0)),"")</f>
        <v/>
      </c>
      <c r="D8" s="13">
        <f>IFERROR(INDEX(Orders!$E$5:$E$104,MATCH(ROWS($A$4:A7),Orders!$F$5:$F$104,0)),"")</f>
        <v/>
      </c>
      <c r="H8" s="3" t="inlineStr">
        <is>
          <t>Dev Kapoor</t>
        </is>
      </c>
    </row>
    <row r="9">
      <c r="A9" s="10">
        <f>IFERROR(INDEX(Orders!$A$5:$A$104,MATCH(ROWS($A$4:A8),Orders!$F$5:$F$104,0)),"")</f>
        <v/>
      </c>
      <c r="B9" s="11">
        <f>IFERROR(INDEX(Orders!$C$5:$C$104,MATCH(ROWS($A$4:A8),Orders!$F$5:$F$104,0)),"")</f>
        <v/>
      </c>
      <c r="C9" s="12">
        <f>IFERROR(INDEX(Orders!$D$5:$D$104,MATCH(ROWS($A$4:A8),Orders!$F$5:$F$104,0)),"")</f>
        <v/>
      </c>
      <c r="D9" s="13">
        <f>IFERROR(INDEX(Orders!$E$5:$E$104,MATCH(ROWS($A$4:A8),Orders!$F$5:$F$104,0)),"")</f>
        <v/>
      </c>
      <c r="H9" s="3" t="inlineStr">
        <is>
          <t>Elena Marsh</t>
        </is>
      </c>
    </row>
    <row r="10">
      <c r="A10" s="10">
        <f>IFERROR(INDEX(Orders!$A$5:$A$104,MATCH(ROWS($A$4:A9),Orders!$F$5:$F$104,0)),"")</f>
        <v/>
      </c>
      <c r="B10" s="11">
        <f>IFERROR(INDEX(Orders!$C$5:$C$104,MATCH(ROWS($A$4:A9),Orders!$F$5:$F$104,0)),"")</f>
        <v/>
      </c>
      <c r="C10" s="12">
        <f>IFERROR(INDEX(Orders!$D$5:$D$104,MATCH(ROWS($A$4:A9),Orders!$F$5:$F$104,0)),"")</f>
        <v/>
      </c>
      <c r="D10" s="13">
        <f>IFERROR(INDEX(Orders!$E$5:$E$104,MATCH(ROWS($A$4:A9),Orders!$F$5:$F$104,0)),"")</f>
        <v/>
      </c>
      <c r="H10" s="3" t="inlineStr">
        <is>
          <t>Felix Ode</t>
        </is>
      </c>
    </row>
    <row r="11">
      <c r="A11" s="10">
        <f>IFERROR(INDEX(Orders!$A$5:$A$104,MATCH(ROWS($A$4:A10),Orders!$F$5:$F$104,0)),"")</f>
        <v/>
      </c>
      <c r="B11" s="11">
        <f>IFERROR(INDEX(Orders!$C$5:$C$104,MATCH(ROWS($A$4:A10),Orders!$F$5:$F$104,0)),"")</f>
        <v/>
      </c>
      <c r="C11" s="12">
        <f>IFERROR(INDEX(Orders!$D$5:$D$104,MATCH(ROWS($A$4:A10),Orders!$F$5:$F$104,0)),"")</f>
        <v/>
      </c>
      <c r="D11" s="13">
        <f>IFERROR(INDEX(Orders!$E$5:$E$104,MATCH(ROWS($A$4:A10),Orders!$F$5:$F$104,0)),"")</f>
        <v/>
      </c>
      <c r="H11" s="3" t="inlineStr">
        <is>
          <t>Grace Hale</t>
        </is>
      </c>
    </row>
    <row r="12">
      <c r="A12" s="10">
        <f>IFERROR(INDEX(Orders!$A$5:$A$104,MATCH(ROWS($A$4:A11),Orders!$F$5:$F$104,0)),"")</f>
        <v/>
      </c>
      <c r="B12" s="11">
        <f>IFERROR(INDEX(Orders!$C$5:$C$104,MATCH(ROWS($A$4:A11),Orders!$F$5:$F$104,0)),"")</f>
        <v/>
      </c>
      <c r="C12" s="12">
        <f>IFERROR(INDEX(Orders!$D$5:$D$104,MATCH(ROWS($A$4:A11),Orders!$F$5:$F$104,0)),"")</f>
        <v/>
      </c>
      <c r="D12" s="13">
        <f>IFERROR(INDEX(Orders!$E$5:$E$104,MATCH(ROWS($A$4:A11),Orders!$F$5:$F$104,0)),"")</f>
        <v/>
      </c>
      <c r="H12" s="3" t="inlineStr">
        <is>
          <t>Hugo Park</t>
        </is>
      </c>
    </row>
    <row r="13">
      <c r="A13" s="10">
        <f>IFERROR(INDEX(Orders!$A$5:$A$104,MATCH(ROWS($A$4:A12),Orders!$F$5:$F$104,0)),"")</f>
        <v/>
      </c>
      <c r="B13" s="11">
        <f>IFERROR(INDEX(Orders!$C$5:$C$104,MATCH(ROWS($A$4:A12),Orders!$F$5:$F$104,0)),"")</f>
        <v/>
      </c>
      <c r="C13" s="12">
        <f>IFERROR(INDEX(Orders!$D$5:$D$104,MATCH(ROWS($A$4:A12),Orders!$F$5:$F$104,0)),"")</f>
        <v/>
      </c>
      <c r="D13" s="13">
        <f>IFERROR(INDEX(Orders!$E$5:$E$104,MATCH(ROWS($A$4:A12),Orders!$F$5:$F$104,0)),"")</f>
        <v/>
      </c>
      <c r="H13" s="3" t="inlineStr">
        <is>
          <t>Iris Wong</t>
        </is>
      </c>
    </row>
    <row r="14">
      <c r="A14" s="10">
        <f>IFERROR(INDEX(Orders!$A$5:$A$104,MATCH(ROWS($A$4:A13),Orders!$F$5:$F$104,0)),"")</f>
        <v/>
      </c>
      <c r="B14" s="11">
        <f>IFERROR(INDEX(Orders!$C$5:$C$104,MATCH(ROWS($A$4:A13),Orders!$F$5:$F$104,0)),"")</f>
        <v/>
      </c>
      <c r="C14" s="12">
        <f>IFERROR(INDEX(Orders!$D$5:$D$104,MATCH(ROWS($A$4:A13),Orders!$F$5:$F$104,0)),"")</f>
        <v/>
      </c>
      <c r="D14" s="13">
        <f>IFERROR(INDEX(Orders!$E$5:$E$104,MATCH(ROWS($A$4:A13),Orders!$F$5:$F$104,0)),"")</f>
        <v/>
      </c>
      <c r="H14" s="3" t="inlineStr">
        <is>
          <t>Jonah Bell</t>
        </is>
      </c>
    </row>
    <row r="15">
      <c r="A15" s="10">
        <f>IFERROR(INDEX(Orders!$A$5:$A$104,MATCH(ROWS($A$4:A14),Orders!$F$5:$F$104,0)),"")</f>
        <v/>
      </c>
      <c r="B15" s="11">
        <f>IFERROR(INDEX(Orders!$C$5:$C$104,MATCH(ROWS($A$4:A14),Orders!$F$5:$F$104,0)),"")</f>
        <v/>
      </c>
      <c r="C15" s="12">
        <f>IFERROR(INDEX(Orders!$D$5:$D$104,MATCH(ROWS($A$4:A14),Orders!$F$5:$F$104,0)),"")</f>
        <v/>
      </c>
      <c r="D15" s="13">
        <f>IFERROR(INDEX(Orders!$E$5:$E$104,MATCH(ROWS($A$4:A14),Orders!$F$5:$F$104,0)),"")</f>
        <v/>
      </c>
      <c r="H15" s="3" t="n"/>
    </row>
    <row r="16">
      <c r="A16" s="10">
        <f>IFERROR(INDEX(Orders!$A$5:$A$104,MATCH(ROWS($A$4:A15),Orders!$F$5:$F$104,0)),"")</f>
        <v/>
      </c>
      <c r="B16" s="11">
        <f>IFERROR(INDEX(Orders!$C$5:$C$104,MATCH(ROWS($A$4:A15),Orders!$F$5:$F$104,0)),"")</f>
        <v/>
      </c>
      <c r="C16" s="12">
        <f>IFERROR(INDEX(Orders!$D$5:$D$104,MATCH(ROWS($A$4:A15),Orders!$F$5:$F$104,0)),"")</f>
        <v/>
      </c>
      <c r="D16" s="13">
        <f>IFERROR(INDEX(Orders!$E$5:$E$104,MATCH(ROWS($A$4:A15),Orders!$F$5:$F$104,0)),"")</f>
        <v/>
      </c>
      <c r="H16" s="3" t="n"/>
    </row>
    <row r="17">
      <c r="H17" s="3" t="n"/>
    </row>
    <row r="18">
      <c r="H18" s="3" t="n"/>
    </row>
    <row r="19">
      <c r="H19" s="3" t="n"/>
    </row>
    <row r="20">
      <c r="H20" s="3" t="n"/>
    </row>
    <row r="21">
      <c r="H21" s="3" t="n"/>
    </row>
    <row r="22">
      <c r="H22" s="3" t="n"/>
    </row>
    <row r="23">
      <c r="H23" s="3" t="n"/>
    </row>
    <row r="24">
      <c r="H24" s="3" t="n"/>
    </row>
  </sheetData>
  <conditionalFormatting sqref="D2">
    <cfRule type="expression" priority="1" dxfId="1">
      <formula>AND($D$2&lt;&gt;"OK",$D$2&lt;&gt;"")</formula>
    </cfRule>
  </conditionalFormatting>
  <conditionalFormatting sqref="D3">
    <cfRule type="expression" priority="2" dxfId="1">
      <formula>$B$2&gt;12</formula>
    </cfRule>
  </conditionalFormatting>
  <dataValidations count="1">
    <dataValidation sqref="B1" showDropDown="0" showInputMessage="0" showErrorMessage="1" allowBlank="1" errorTitle="Name not in the pick list" error="This name is not in the pick list. Keep it only if it is spelled exactly as in the Orders tab." type="list" errorStyle="warning">
      <formula1>=$H$5:$H$24</formula1>
    </dataValidation>
  </dataValidations>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4" t="inlineStr">
        <is>
          <t>Tidy Tabs: List Every Order for One Customer (No FILTER Function)</t>
        </is>
      </c>
    </row>
    <row r="2">
      <c r="A2" s="15" t="inlineStr"/>
    </row>
    <row r="3">
      <c r="A3" s="15" t="inlineStr">
        <is>
          <t>1. Orders tab: type the order number, customer, date, item and amount in A5:E104 (yellow). The sample is 40 fictional orders for 9 customers. Keep each customer's name spelled exactly the same way every time.</t>
        </is>
      </c>
    </row>
    <row r="4">
      <c r="A4" s="15" t="inlineStr">
        <is>
          <t>2. Customer view tab: pick a customer in B1 (yellow; the dropdown comes from the yellow names in H5:H24, add more names there). B1 also accepts a typed name.</t>
        </is>
      </c>
    </row>
    <row r="5">
      <c r="A5" s="15" t="inlineStr">
        <is>
          <t>3. Helper, Orders F5: =IF(AND('Customer view'!$B$1&lt;&gt;"",B5='Customer view'!$B$1),COUNTIF($B$5:B5,'Customer view'!$B$1),""). Rows of the picked customer get 1, 2, 3 ... the others stay blank. The green rows on the Orders tab are the matches.</t>
        </is>
      </c>
    </row>
    <row r="6">
      <c r="A6" s="15" t="inlineStr">
        <is>
          <t>4. Customer view A5: =IFERROR(INDEX(Orders!$A$5:$A$104,MATCH(ROWS($A$4:A4),Orders!$F$5:$F$104,0)),""). ROWS($A$4:A4) is 1 in the first row, 2 in the next, and so on, so each row asks for the next match. When there is no next match, MATCH gives #N/A and IFERROR turns it into a blank. Each column has its own INDEX that points at a different column of Orders.</t>
        </is>
      </c>
    </row>
    <row r="7">
      <c r="A7" s="15" t="inlineStr">
        <is>
          <t>5. Orders found, B2: =COUNTIF(Orders!$B$5:$B$104,B1). Total, B3: =SUMIF(Orders!$B$5:$B$104,B1,Orders!$E$5:$E$104). D1 counts the rows listed. D2 shows OK when the rows listed equal the orders found and the listed amounts add up to the total.</t>
        </is>
      </c>
    </row>
    <row r="8">
      <c r="A8" s="15" t="inlineStr">
        <is>
          <t>6. The list has room for 12 rows. If the customer has more, D2 shows CHECK and D3 says only the first 12 are listed. Copy the last row of results down and change the number in ROWS to make room.</t>
        </is>
      </c>
    </row>
    <row r="9">
      <c r="A9" s="15" t="inlineStr">
        <is>
          <t>7. Names are matched ignoring capital letters. A trailing space makes a different name. A blank amount or date in Orders shows as 0 in the list.</t>
        </is>
      </c>
    </row>
    <row r="10">
      <c r="A10" s="15" t="inlineStr">
        <is>
          <t>8. Newer versions of Excel and Google Sheets have a FILTER function that does this in one cell. This template does not use it and FILTER was not tested here.</t>
        </is>
      </c>
    </row>
    <row r="11">
      <c r="A11" s="15" t="inlineStr"/>
    </row>
    <row r="12">
      <c r="A12" s="15" t="inlineStr">
        <is>
          <t>Customers, items and amounts are fictional. Checked in LibreOffice Calc only; not opened in Excel or Google Sheets.</t>
        </is>
      </c>
    </row>
    <row r="13">
      <c r="A13" s="15"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2026-10-29T07:41:14Z</dcterms:created>
  <dcterms:modified xmlns:dcterms="http://purl.org/dc/terms/" xmlns:xsi="http://www.w3.org/2001/XMLSchema-instance" xsi:type="dcterms:W3CDTF">2026-10-29T07:41:14Z</dcterms:modified>
</cp:coreProperties>
</file>