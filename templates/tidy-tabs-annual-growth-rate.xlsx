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wth" sheetId="1" state="visible" r:id="rId1"/>
    <sheet xmlns:r="http://schemas.openxmlformats.org/officeDocument/2006/relationships" name="Check" sheetId="2" state="visible" r:id="rId2"/>
    <sheet xmlns:r="http://schemas.openxmlformats.org/officeDocument/2006/relationships" name="How to use" sheetId="3" state="visible" r:id="rId3"/>
  </sheets>
  <definedNames>
    <definedName name="_xlnm.Print_Titles" localSheetId="0">'Growth'!$1:$1</definedName>
    <definedName name="_xlnm.Print_Area" localSheetId="0">'Growth'!$A$1:$F$12</definedName>
    <definedName name="_xlnm.Print_Titles" localSheetId="1">'Check'!$1:$1</definedName>
    <definedName name="_xlnm.Print_Area" localSheetId="1">'Check'!$A$1:$E$14</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pivotButton="0" quotePrefix="0" xfId="0"/>
    <xf numFmtId="1" fontId="0" fillId="3" borderId="0" applyAlignment="1" pivotButton="0" quotePrefix="0" xfId="0">
      <alignment horizontal="right"/>
    </xf>
    <xf numFmtId="1" fontId="0" fillId="3" borderId="0" pivotButton="0" quotePrefix="0" xfId="0"/>
    <xf numFmtId="164" fontId="0" fillId="3" borderId="0" pivotButton="0" quotePrefix="0" xfId="0"/>
    <xf numFmtId="1" fontId="0" fillId="4" borderId="0" applyAlignment="1" pivotButton="0" quotePrefix="0" xfId="0">
      <alignment horizontal="right"/>
    </xf>
    <xf numFmtId="164" fontId="0" fillId="4" borderId="0" applyAlignment="1" pivotButton="0" quotePrefix="0" xfId="0">
      <alignment horizontal="right"/>
    </xf>
    <xf numFmtId="10" fontId="0" fillId="4" borderId="0" applyAlignment="1" pivotButton="0" quotePrefix="0" xfId="0">
      <alignment horizontal="right"/>
    </xf>
    <xf numFmtId="0" fontId="0" fillId="4" borderId="0" applyAlignment="1" pivotButton="0" quotePrefix="0" xfId="0">
      <alignment horizontal="right"/>
    </xf>
    <xf numFmtId="0" fontId="1" fillId="2" borderId="0" applyAlignment="1" pivotButton="0" quotePrefix="0" xfId="0">
      <alignment vertical="center" wrapText="1"/>
    </xf>
    <xf numFmtId="1" fontId="0" fillId="4" borderId="0" pivotButton="0" quotePrefix="0" xfId="0"/>
    <xf numFmtId="164" fontId="0" fillId="4" borderId="0" pivotButton="0" quotePrefix="0" xfId="0"/>
    <xf numFmtId="165" fontId="0" fillId="4" borderId="0" pivotButton="0" quotePrefix="0" xfId="0"/>
    <xf numFmtId="165"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1"/>
  <sheetViews>
    <sheetView workbookViewId="0">
      <selection activeCell="A1" sqref="A1"/>
    </sheetView>
  </sheetViews>
  <sheetFormatPr baseColWidth="8" defaultRowHeight="15"/>
  <cols>
    <col width="10" customWidth="1" min="1" max="1"/>
    <col width="16" customWidth="1" min="2" max="2"/>
    <col width="3" customWidth="1" min="3" max="3"/>
    <col width="42" customWidth="1" min="4" max="4"/>
    <col width="16" customWidth="1" min="5" max="5"/>
    <col width="52" customWidth="1" min="6" max="6"/>
  </cols>
  <sheetData>
    <row r="1">
      <c r="A1" s="1" t="inlineStr">
        <is>
          <t>Year</t>
        </is>
      </c>
      <c r="B1" s="1" t="inlineStr">
        <is>
          <t>Sales</t>
        </is>
      </c>
      <c r="D1" s="2" t="inlineStr">
        <is>
          <t>Start year (typed)</t>
        </is>
      </c>
      <c r="E1" s="3" t="n">
        <v>2022</v>
      </c>
      <c r="F1" t="inlineStr">
        <is>
          <t>Must match a year in column A.</t>
        </is>
      </c>
    </row>
    <row r="2">
      <c r="A2" s="4" t="n">
        <v>2022</v>
      </c>
      <c r="B2" s="5" t="n">
        <v>12000</v>
      </c>
      <c r="D2" s="2" t="inlineStr">
        <is>
          <t>End year (typed)</t>
        </is>
      </c>
      <c r="E2" s="3" t="n">
        <v>2026</v>
      </c>
    </row>
    <row r="3">
      <c r="A3" s="4" t="n">
        <v>2023</v>
      </c>
      <c r="B3" s="5" t="n">
        <v>14200</v>
      </c>
      <c r="D3" s="2" t="inlineStr">
        <is>
          <t>Periods (years between)</t>
        </is>
      </c>
      <c r="E3" s="6">
        <f>IF(AND(ISNUMBER(E1),ISNUMBER(E2)),E2-E1,"Check inputs")</f>
        <v/>
      </c>
      <c r="F3" t="inlineStr">
        <is>
          <t>End year minus start year, not the number of rows.</t>
        </is>
      </c>
    </row>
    <row r="4">
      <c r="A4" s="4" t="n">
        <v>2024</v>
      </c>
      <c r="B4" s="5" t="n">
        <v>15900</v>
      </c>
      <c r="D4" s="2" t="inlineStr">
        <is>
          <t>Start year sales</t>
        </is>
      </c>
      <c r="E4" s="7">
        <f>IF(ISNUMBER(E1),IFERROR(INDEX($B$2:$B$11,MATCH(E1,$A$2:$A$11,0)),"Check inputs"),"Check inputs")</f>
        <v/>
      </c>
    </row>
    <row r="5">
      <c r="A5" s="4" t="n">
        <v>2025</v>
      </c>
      <c r="B5" s="5" t="n">
        <v>19100</v>
      </c>
      <c r="D5" s="2" t="inlineStr">
        <is>
          <t>End year sales</t>
        </is>
      </c>
      <c r="E5" s="7">
        <f>IF(ISNUMBER(E2),IFERROR(INDEX($B$2:$B$11,MATCH(E2,$A$2:$A$11,0)),"Check inputs"),"Check inputs")</f>
        <v/>
      </c>
    </row>
    <row r="6">
      <c r="A6" s="4" t="n">
        <v>2026</v>
      </c>
      <c r="B6" s="5" t="n">
        <v>21500</v>
      </c>
      <c r="D6" s="2" t="inlineStr">
        <is>
          <t>Average yearly growth (RRI)</t>
        </is>
      </c>
      <c r="E6" s="8">
        <f>IF(OR(NOT(ISNUMBER(E3)),NOT(ISNUMBER(E4)),NOT(ISNUMBER(E5))),"Check inputs",IF(OR(E4&lt;=0,E3&lt;1,E5&lt;0),"Check inputs",_xlfn.RRI(E3,E4,E5)))</f>
        <v/>
      </c>
      <c r="F6" t="inlineStr">
        <is>
          <t>Formula: =RRI(E3,E4,E5), plus guards</t>
        </is>
      </c>
    </row>
    <row r="7">
      <c r="A7" s="4" t="n"/>
      <c r="B7" s="5" t="n"/>
      <c r="D7" s="2" t="inlineStr">
        <is>
          <t>Same rate with the power form</t>
        </is>
      </c>
      <c r="E7" s="8">
        <f>IF(ISNUMBER(E6),(E5/E4)^(1/E3)-1,"Check inputs")</f>
        <v/>
      </c>
      <c r="F7" t="inlineStr">
        <is>
          <t>Formula: =(E5/E4)^(1/E3)-1</t>
        </is>
      </c>
    </row>
    <row r="8">
      <c r="A8" s="4" t="n"/>
      <c r="B8" s="5" t="n"/>
      <c r="D8" s="2" t="inlineStr">
        <is>
          <t>Total growth, first to last</t>
        </is>
      </c>
      <c r="E8" s="8">
        <f>IF(ISNUMBER(E6),E5/E4-1,"")</f>
        <v/>
      </c>
    </row>
    <row r="9">
      <c r="A9" s="4" t="n"/>
      <c r="B9" s="5" t="n"/>
      <c r="D9" s="2" t="inlineStr">
        <is>
          <t>End sales rebuilt from the rate</t>
        </is>
      </c>
      <c r="E9" s="7">
        <f>IF(ISNUMBER(E6),E4*(1+E6)^E3,"")</f>
        <v/>
      </c>
      <c r="F9" t="inlineStr">
        <is>
          <t>Formula: =E4*(1+E6)^E3</t>
        </is>
      </c>
    </row>
    <row r="10">
      <c r="A10" s="4" t="n"/>
      <c r="B10" s="5" t="n"/>
      <c r="D10" s="2" t="inlineStr">
        <is>
          <t>Check: rebuilt end sales = real end sales</t>
        </is>
      </c>
      <c r="E10" s="9">
        <f>IF(NOT(ISNUMBER(E6)),"No result",IF(AND(ABS(E9-E5)&lt;0.005,ABS(E6-E7)&lt;0.0000001),"OK","CHECK"))</f>
        <v/>
      </c>
      <c r="F10" t="inlineStr">
        <is>
          <t>OK when both forms agree and the rebuild matches to the cent.</t>
        </is>
      </c>
    </row>
    <row r="11">
      <c r="A11" s="4" t="n"/>
      <c r="B11" s="5" t="n"/>
    </row>
  </sheetData>
  <conditionalFormatting sqref="E10">
    <cfRule type="expression" priority="1" dxfId="0">
      <formula>AND(E10&lt;&gt;"OK",E10&lt;&gt;"")</formula>
    </cfRule>
  </conditionalFormatting>
  <conditionalFormatting sqref="E6">
    <cfRule type="expression" priority="2" dxfId="0">
      <formula>NOT(ISNUMBER(E6))</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0" customWidth="1" min="3" max="3"/>
    <col width="24" customWidth="1" min="4" max="4"/>
    <col width="24" customWidth="1" min="5" max="5"/>
  </cols>
  <sheetData>
    <row r="1" ht="30" customHeight="1">
      <c r="A1" s="10" t="inlineStr">
        <is>
          <t>Year</t>
        </is>
      </c>
      <c r="B1" s="10" t="inlineStr">
        <is>
          <t>Sales</t>
        </is>
      </c>
      <c r="C1" s="10" t="inlineStr">
        <is>
          <t>Change vs year before</t>
        </is>
      </c>
      <c r="D1" s="10" t="inlineStr">
        <is>
          <t>Sales at the average rate</t>
        </is>
      </c>
      <c r="E1" s="10" t="inlineStr">
        <is>
          <t>Real minus average rate</t>
        </is>
      </c>
    </row>
    <row r="2">
      <c r="A2" s="11">
        <f>IF(Growth!A2="","",Growth!A2)</f>
        <v/>
      </c>
      <c r="B2" s="12">
        <f>IF(OR(Growth!A2="",Growth!B2=""),"",Growth!B2)</f>
        <v/>
      </c>
      <c r="C2" s="13" t="inlineStr"/>
      <c r="D2" s="12">
        <f>IF(AND(ISNUMBER(Growth!$E$6),ISNUMBER(A2),ISNUMBER(Growth!$E$1),ISNUMBER(Growth!$E$2)),IF(AND(A2&gt;=Growth!$E$1,A2&lt;=Growth!$E$2),IF(A2=Growth!$E$1,Growth!$E$4,Growth!$E$4*(1+Growth!$E$6)^(A2-Growth!$E$1)),""),"")</f>
        <v/>
      </c>
      <c r="E2" s="12">
        <f>IF(AND(ISNUMBER(D2),ISNUMBER(B2)),B2-D2,"")</f>
        <v/>
      </c>
    </row>
    <row r="3">
      <c r="A3" s="11">
        <f>IF(Growth!A3="","",Growth!A3)</f>
        <v/>
      </c>
      <c r="B3" s="12">
        <f>IF(OR(Growth!A3="",Growth!B3=""),"",Growth!B3)</f>
        <v/>
      </c>
      <c r="C3" s="13">
        <f>IF(AND(ISNUMBER(B3),ISNUMBER(B2)),IF(B2&gt;0,B3/B2-1,""),"")</f>
        <v/>
      </c>
      <c r="D3" s="12">
        <f>IF(AND(ISNUMBER(Growth!$E$6),ISNUMBER(A3),ISNUMBER(Growth!$E$1),ISNUMBER(Growth!$E$2)),IF(AND(A3&gt;=Growth!$E$1,A3&lt;=Growth!$E$2),IF(A3=Growth!$E$1,Growth!$E$4,Growth!$E$4*(1+Growth!$E$6)^(A3-Growth!$E$1)),""),"")</f>
        <v/>
      </c>
      <c r="E3" s="12">
        <f>IF(AND(ISNUMBER(D3),ISNUMBER(B3)),B3-D3,"")</f>
        <v/>
      </c>
    </row>
    <row r="4">
      <c r="A4" s="11">
        <f>IF(Growth!A4="","",Growth!A4)</f>
        <v/>
      </c>
      <c r="B4" s="12">
        <f>IF(OR(Growth!A4="",Growth!B4=""),"",Growth!B4)</f>
        <v/>
      </c>
      <c r="C4" s="13">
        <f>IF(AND(ISNUMBER(B4),ISNUMBER(B3)),IF(B3&gt;0,B4/B3-1,""),"")</f>
        <v/>
      </c>
      <c r="D4" s="12">
        <f>IF(AND(ISNUMBER(Growth!$E$6),ISNUMBER(A4),ISNUMBER(Growth!$E$1),ISNUMBER(Growth!$E$2)),IF(AND(A4&gt;=Growth!$E$1,A4&lt;=Growth!$E$2),IF(A4=Growth!$E$1,Growth!$E$4,Growth!$E$4*(1+Growth!$E$6)^(A4-Growth!$E$1)),""),"")</f>
        <v/>
      </c>
      <c r="E4" s="12">
        <f>IF(AND(ISNUMBER(D4),ISNUMBER(B4)),B4-D4,"")</f>
        <v/>
      </c>
    </row>
    <row r="5">
      <c r="A5" s="11">
        <f>IF(Growth!A5="","",Growth!A5)</f>
        <v/>
      </c>
      <c r="B5" s="12">
        <f>IF(OR(Growth!A5="",Growth!B5=""),"",Growth!B5)</f>
        <v/>
      </c>
      <c r="C5" s="13">
        <f>IF(AND(ISNUMBER(B5),ISNUMBER(B4)),IF(B4&gt;0,B5/B4-1,""),"")</f>
        <v/>
      </c>
      <c r="D5" s="12">
        <f>IF(AND(ISNUMBER(Growth!$E$6),ISNUMBER(A5),ISNUMBER(Growth!$E$1),ISNUMBER(Growth!$E$2)),IF(AND(A5&gt;=Growth!$E$1,A5&lt;=Growth!$E$2),IF(A5=Growth!$E$1,Growth!$E$4,Growth!$E$4*(1+Growth!$E$6)^(A5-Growth!$E$1)),""),"")</f>
        <v/>
      </c>
      <c r="E5" s="12">
        <f>IF(AND(ISNUMBER(D5),ISNUMBER(B5)),B5-D5,"")</f>
        <v/>
      </c>
    </row>
    <row r="6">
      <c r="A6" s="11">
        <f>IF(Growth!A6="","",Growth!A6)</f>
        <v/>
      </c>
      <c r="B6" s="12">
        <f>IF(OR(Growth!A6="",Growth!B6=""),"",Growth!B6)</f>
        <v/>
      </c>
      <c r="C6" s="13">
        <f>IF(AND(ISNUMBER(B6),ISNUMBER(B5)),IF(B5&gt;0,B6/B5-1,""),"")</f>
        <v/>
      </c>
      <c r="D6" s="12">
        <f>IF(AND(ISNUMBER(Growth!$E$6),ISNUMBER(A6),ISNUMBER(Growth!$E$1),ISNUMBER(Growth!$E$2)),IF(AND(A6&gt;=Growth!$E$1,A6&lt;=Growth!$E$2),IF(A6=Growth!$E$1,Growth!$E$4,Growth!$E$4*(1+Growth!$E$6)^(A6-Growth!$E$1)),""),"")</f>
        <v/>
      </c>
      <c r="E6" s="12">
        <f>IF(AND(ISNUMBER(D6),ISNUMBER(B6)),B6-D6,"")</f>
        <v/>
      </c>
    </row>
    <row r="7">
      <c r="A7" s="11">
        <f>IF(Growth!A7="","",Growth!A7)</f>
        <v/>
      </c>
      <c r="B7" s="12">
        <f>IF(OR(Growth!A7="",Growth!B7=""),"",Growth!B7)</f>
        <v/>
      </c>
      <c r="C7" s="13">
        <f>IF(AND(ISNUMBER(B7),ISNUMBER(B6)),IF(B6&gt;0,B7/B6-1,""),"")</f>
        <v/>
      </c>
      <c r="D7" s="12">
        <f>IF(AND(ISNUMBER(Growth!$E$6),ISNUMBER(A7),ISNUMBER(Growth!$E$1),ISNUMBER(Growth!$E$2)),IF(AND(A7&gt;=Growth!$E$1,A7&lt;=Growth!$E$2),IF(A7=Growth!$E$1,Growth!$E$4,Growth!$E$4*(1+Growth!$E$6)^(A7-Growth!$E$1)),""),"")</f>
        <v/>
      </c>
      <c r="E7" s="12">
        <f>IF(AND(ISNUMBER(D7),ISNUMBER(B7)),B7-D7,"")</f>
        <v/>
      </c>
    </row>
    <row r="8">
      <c r="A8" s="11">
        <f>IF(Growth!A8="","",Growth!A8)</f>
        <v/>
      </c>
      <c r="B8" s="12">
        <f>IF(OR(Growth!A8="",Growth!B8=""),"",Growth!B8)</f>
        <v/>
      </c>
      <c r="C8" s="13">
        <f>IF(AND(ISNUMBER(B8),ISNUMBER(B7)),IF(B7&gt;0,B8/B7-1,""),"")</f>
        <v/>
      </c>
      <c r="D8" s="12">
        <f>IF(AND(ISNUMBER(Growth!$E$6),ISNUMBER(A8),ISNUMBER(Growth!$E$1),ISNUMBER(Growth!$E$2)),IF(AND(A8&gt;=Growth!$E$1,A8&lt;=Growth!$E$2),IF(A8=Growth!$E$1,Growth!$E$4,Growth!$E$4*(1+Growth!$E$6)^(A8-Growth!$E$1)),""),"")</f>
        <v/>
      </c>
      <c r="E8" s="12">
        <f>IF(AND(ISNUMBER(D8),ISNUMBER(B8)),B8-D8,"")</f>
        <v/>
      </c>
    </row>
    <row r="9">
      <c r="A9" s="11">
        <f>IF(Growth!A9="","",Growth!A9)</f>
        <v/>
      </c>
      <c r="B9" s="12">
        <f>IF(OR(Growth!A9="",Growth!B9=""),"",Growth!B9)</f>
        <v/>
      </c>
      <c r="C9" s="13">
        <f>IF(AND(ISNUMBER(B9),ISNUMBER(B8)),IF(B8&gt;0,B9/B8-1,""),"")</f>
        <v/>
      </c>
      <c r="D9" s="12">
        <f>IF(AND(ISNUMBER(Growth!$E$6),ISNUMBER(A9),ISNUMBER(Growth!$E$1),ISNUMBER(Growth!$E$2)),IF(AND(A9&gt;=Growth!$E$1,A9&lt;=Growth!$E$2),IF(A9=Growth!$E$1,Growth!$E$4,Growth!$E$4*(1+Growth!$E$6)^(A9-Growth!$E$1)),""),"")</f>
        <v/>
      </c>
      <c r="E9" s="12">
        <f>IF(AND(ISNUMBER(D9),ISNUMBER(B9)),B9-D9,"")</f>
        <v/>
      </c>
    </row>
    <row r="10">
      <c r="A10" s="11">
        <f>IF(Growth!A10="","",Growth!A10)</f>
        <v/>
      </c>
      <c r="B10" s="12">
        <f>IF(OR(Growth!A10="",Growth!B10=""),"",Growth!B10)</f>
        <v/>
      </c>
      <c r="C10" s="13">
        <f>IF(AND(ISNUMBER(B10),ISNUMBER(B9)),IF(B9&gt;0,B10/B9-1,""),"")</f>
        <v/>
      </c>
      <c r="D10" s="12">
        <f>IF(AND(ISNUMBER(Growth!$E$6),ISNUMBER(A10),ISNUMBER(Growth!$E$1),ISNUMBER(Growth!$E$2)),IF(AND(A10&gt;=Growth!$E$1,A10&lt;=Growth!$E$2),IF(A10=Growth!$E$1,Growth!$E$4,Growth!$E$4*(1+Growth!$E$6)^(A10-Growth!$E$1)),""),"")</f>
        <v/>
      </c>
      <c r="E10" s="12">
        <f>IF(AND(ISNUMBER(D10),ISNUMBER(B10)),B10-D10,"")</f>
        <v/>
      </c>
    </row>
    <row r="11">
      <c r="A11" s="11">
        <f>IF(Growth!A11="","",Growth!A11)</f>
        <v/>
      </c>
      <c r="B11" s="12">
        <f>IF(OR(Growth!A11="",Growth!B11=""),"",Growth!B11)</f>
        <v/>
      </c>
      <c r="C11" s="13">
        <f>IF(AND(ISNUMBER(B11),ISNUMBER(B10)),IF(B10&gt;0,B11/B10-1,""),"")</f>
        <v/>
      </c>
      <c r="D11" s="12">
        <f>IF(AND(ISNUMBER(Growth!$E$6),ISNUMBER(A11),ISNUMBER(Growth!$E$1),ISNUMBER(Growth!$E$2)),IF(AND(A11&gt;=Growth!$E$1,A11&lt;=Growth!$E$2),IF(A11=Growth!$E$1,Growth!$E$4,Growth!$E$4*(1+Growth!$E$6)^(A11-Growth!$E$1)),""),"")</f>
        <v/>
      </c>
      <c r="E11" s="12">
        <f>IF(AND(ISNUMBER(D11),ISNUMBER(B11)),B11-D11,"")</f>
        <v/>
      </c>
    </row>
    <row r="13">
      <c r="A13" s="2" t="inlineStr">
        <is>
          <t>Best single year</t>
        </is>
      </c>
      <c r="B13" s="14">
        <f>IF(COUNT(C2:C11)=0,"",MAX(C2:C11))</f>
        <v/>
      </c>
    </row>
    <row r="14">
      <c r="A14" s="2" t="inlineStr">
        <is>
          <t>Weakest single year</t>
        </is>
      </c>
      <c r="B14" s="14">
        <f>IF(COUNT(C2:C11)=0,"",MIN(C2:C11))</f>
        <v/>
      </c>
    </row>
  </sheetData>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5" t="inlineStr">
        <is>
          <t>Tidy Tabs: Average Yearly Sales Growth (CAGR) With RRI</t>
        </is>
      </c>
    </row>
    <row r="2">
      <c r="A2" s="16" t="inlineStr"/>
    </row>
    <row r="3">
      <c r="A3" s="16" t="inlineStr">
        <is>
          <t>1. Growth tab: type each year in column A and its sales in column B (yellow, up to 10 years in rows 2 to 11). Type the start year in E1 and the end year in E2. Both must appear in column A.</t>
        </is>
      </c>
    </row>
    <row r="4">
      <c r="A4" s="16" t="inlineStr">
        <is>
          <t>2. E3 is the number of periods, =E2-E1. Four years of growth between 2022 and 2026, not five: count the gaps, not the years listed.</t>
        </is>
      </c>
    </row>
    <row r="5">
      <c r="A5" s="16" t="inlineStr">
        <is>
          <t>3. E4 and E5 pick the start and end sales with INDEX and MATCH on the year.</t>
        </is>
      </c>
    </row>
    <row r="6">
      <c r="A6" s="16" t="inlineStr">
        <is>
          <t>4. E6 is =RRI(E3,E4,E5). RRI takes the number of periods, the start value and the end value and returns the growth rate per period. Excel and Google Sheets have RRI. In this file it is stored as _xlfn.RRI, which Excel and LibreOffice read as RRI.</t>
        </is>
      </c>
    </row>
    <row r="7">
      <c r="A7" s="16" t="inlineStr">
        <is>
          <t>5. E7 gives the same answer with =(E5/E4)^(1/E3)-1. E8 is the total growth from first to last year. E9 grows the start sales at the E6 rate for E3 years; E10 shows OK when E9 equals the real end sales to the cent.</t>
        </is>
      </c>
    </row>
    <row r="8">
      <c r="A8" s="16" t="inlineStr">
        <is>
          <t>6. A start of 0 or less, an end below 0, fewer than 1 period (same year, or years reversed), a year that is not in column A, or text in a year or sales cell shows Check inputs instead of #NUM!. An end of 0 gives -100.00%.</t>
        </is>
      </c>
    </row>
    <row r="9">
      <c r="A9" s="16" t="inlineStr">
        <is>
          <t>7. Check tab: the change from each year to the one before, and what each year would be if sales grew at the average rate. One average rate hides uneven years: compare columns C and E.</t>
        </is>
      </c>
    </row>
    <row r="10">
      <c r="A10" s="16" t="inlineStr">
        <is>
          <t>8. This is arithmetic on past sales. It is not a forecast and does not say what a good rate is.</t>
        </is>
      </c>
    </row>
    <row r="11">
      <c r="A11" s="16" t="inlineStr"/>
    </row>
    <row r="12">
      <c r="A12" s="16" t="inlineStr">
        <is>
          <t>Years and sales are fictional. Checked in LibreOffice Calc only; not opened in Excel or Google Sheets.</t>
        </is>
      </c>
    </row>
    <row r="13">
      <c r="A13" s="16"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2026-10-20T07:45:00Z</dcterms:created>
  <dcterms:modified xmlns:dcterms="http://purl.org/dc/terms/" xmlns:xsi="http://www.w3.org/2001/XMLSchema-instance" xsi:type="dcterms:W3CDTF">2026-10-20T07:45:00Z</dcterms:modified>
</cp:coreProperties>
</file>