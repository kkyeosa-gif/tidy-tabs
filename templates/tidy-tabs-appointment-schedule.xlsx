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Slots" sheetId="2" state="visible" r:id="rId2"/>
    <sheet xmlns:r="http://schemas.openxmlformats.org/officeDocument/2006/relationships" name="How to use" sheetId="3" state="visible" r:id="rId3"/>
  </sheets>
  <definedNames>
    <definedName name="_xlnm.Print_Titles" localSheetId="0">'Schedule'!$1:$1</definedName>
    <definedName name="_xlnm.Print_Area" localSheetId="0">'Schedule'!$A$1:$L$13</definedName>
    <definedName name="_xlnm.Print_Titles" localSheetId="1">'Slots'!$1:$1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3" borderId="0" applyAlignment="1" pivotButton="0" quotePrefix="0" xfId="0">
      <alignment horizontal="right"/>
    </xf>
    <xf numFmtId="0" fontId="0" fillId="3" borderId="0" pivotButton="0" quotePrefix="0" xfId="0"/>
    <xf numFmtId="18" fontId="0" fillId="3" borderId="0" pivotButton="0" quotePrefix="0" xfId="0"/>
    <xf numFmtId="1" fontId="0" fillId="3" borderId="0" pivotButton="0" quotePrefix="0" xfId="0"/>
    <xf numFmtId="18" fontId="0" fillId="4" borderId="0" pivotButton="0" quotePrefix="0" xfId="0"/>
    <xf numFmtId="1" fontId="0" fillId="4" borderId="0" pivotButton="0" quotePrefix="0" xfId="0"/>
    <xf numFmtId="0" fontId="0" fillId="4" borderId="0" pivotButton="0" quotePrefix="0" xfId="0"/>
    <xf numFmtId="1" fontId="0" fillId="4" borderId="0" applyAlignment="1" pivotButton="0" quotePrefix="0" xfId="0">
      <alignment horizontal="right"/>
    </xf>
    <xf numFmtId="18" fontId="0" fillId="4" borderId="0" applyAlignment="1" pivotButton="0" quotePrefix="0" xfId="0">
      <alignment horizontal="right"/>
    </xf>
    <xf numFmtId="0" fontId="0" fillId="4" borderId="0" applyAlignment="1" pivotButton="0" quotePrefix="0" xfId="0">
      <alignment horizontal="right"/>
    </xf>
    <xf numFmtId="0" fontId="1" fillId="2"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3">
    <dxf>
      <fill>
        <patternFill patternType="solid">
          <fgColor rgb="00F8D7DA"/>
        </patternFill>
      </fill>
    </dxf>
    <dxf>
      <fill>
        <patternFill patternType="solid">
          <fgColor rgb="00FFE699"/>
          <bgColor rgb="00FFE699"/>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1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2" customWidth="1" min="3" max="3"/>
    <col width="9" customWidth="1" min="4" max="4"/>
    <col width="12" customWidth="1" min="5" max="5"/>
    <col width="12" customWidth="1" min="6" max="6"/>
    <col width="16" customWidth="1" min="7" max="7"/>
    <col width="12" customWidth="1" min="8" max="8"/>
    <col width="12" customWidth="1" min="9" max="9"/>
    <col width="3" customWidth="1" min="10" max="10"/>
    <col width="46" customWidth="1" min="11" max="11"/>
    <col width="14" customWidth="1" min="12" max="12"/>
  </cols>
  <sheetData>
    <row r="1" ht="32" customHeight="1">
      <c r="A1" s="1" t="inlineStr">
        <is>
          <t>Client</t>
        </is>
      </c>
      <c r="B1" s="1" t="inlineStr">
        <is>
          <t>Service</t>
        </is>
      </c>
      <c r="C1" s="1" t="inlineStr">
        <is>
          <t>Start time</t>
        </is>
      </c>
      <c r="D1" s="1" t="inlineStr">
        <is>
          <t>Minutes</t>
        </is>
      </c>
      <c r="E1" s="1" t="inlineStr">
        <is>
          <t>End time</t>
        </is>
      </c>
      <c r="F1" s="1" t="inlineStr">
        <is>
          <t>Gap to next (min)</t>
        </is>
      </c>
      <c r="G1" s="1" t="inlineStr">
        <is>
          <t>Status</t>
        </is>
      </c>
      <c r="H1" s="1" t="inlineStr">
        <is>
          <t>Start (min of day)</t>
        </is>
      </c>
      <c r="I1" s="1" t="inlineStr">
        <is>
          <t>End (min of day)</t>
        </is>
      </c>
      <c r="K1" s="2" t="inlineStr">
        <is>
          <t>Buffer between appointments (min)</t>
        </is>
      </c>
      <c r="L1" s="3" t="n">
        <v>15</v>
      </c>
    </row>
    <row r="2">
      <c r="A2" s="4" t="inlineStr">
        <is>
          <t>Bailey</t>
        </is>
      </c>
      <c r="B2" s="4" t="inlineStr">
        <is>
          <t>Full groom</t>
        </is>
      </c>
      <c r="C2" s="5" t="n">
        <v>0.375</v>
      </c>
      <c r="D2" s="6" t="n">
        <v>90</v>
      </c>
      <c r="E2" s="7">
        <f>IF(OR(NOT(ISNUMBER(C2)),NOT(ISNUMBER(D2))),"",C2+D2/1440)</f>
        <v/>
      </c>
      <c r="F2" s="8">
        <f>IF(AND(ISNUMBER(E2),ISNUMBER(C3)),ROUND((C3-E2)*1440,0),"")</f>
        <v/>
      </c>
      <c r="G2" s="9">
        <f>IF(AND(A2="",C2="",D2=""),"",IF(OR(NOT(ISNUMBER(C2)),NOT(ISNUMBER(D2))),"Check",IF(OR(C2&lt;0,C2&gt;=1,D2&lt;=0,D2&lt;&gt;INT(D2),NOT(ISNUMBER($L$1))),"Check",IF(E2&gt;=1,"Past midnight",IF(F2="",IF(AND(A3="",C3="",D3=""),"Last","Check next row"),IF(C3&lt;C2,"Out of order",IF(F2&lt;0,"Overlap",IF(F2&lt;$L$1,"Short buffer","OK"))))))))</f>
        <v/>
      </c>
      <c r="H2" s="8">
        <f>IF(ISNUMBER(C2),ROUND(C2*1440,0),"")</f>
        <v/>
      </c>
      <c r="I2" s="8">
        <f>IF(ISNUMBER(E2),ROUND(E2*1440,0),"")</f>
        <v/>
      </c>
      <c r="K2" s="2" t="inlineStr">
        <is>
          <t>Booked minutes</t>
        </is>
      </c>
      <c r="L2" s="10">
        <f>SUM(D2:D12)</f>
        <v/>
      </c>
    </row>
    <row r="3">
      <c r="A3" s="4" t="inlineStr">
        <is>
          <t>Mochi</t>
        </is>
      </c>
      <c r="B3" s="4" t="inlineStr">
        <is>
          <t>Bath and brush</t>
        </is>
      </c>
      <c r="C3" s="5" t="n">
        <v>0.4479166666666667</v>
      </c>
      <c r="D3" s="6" t="n">
        <v>45</v>
      </c>
      <c r="E3" s="7">
        <f>IF(OR(NOT(ISNUMBER(C3)),NOT(ISNUMBER(D3))),"",C3+D3/1440)</f>
        <v/>
      </c>
      <c r="F3" s="8">
        <f>IF(AND(ISNUMBER(E3),ISNUMBER(C4)),ROUND((C4-E3)*1440,0),"")</f>
        <v/>
      </c>
      <c r="G3" s="9">
        <f>IF(AND(A3="",C3="",D3=""),"",IF(OR(NOT(ISNUMBER(C3)),NOT(ISNUMBER(D3))),"Check",IF(OR(C3&lt;0,C3&gt;=1,D3&lt;=0,D3&lt;&gt;INT(D3),NOT(ISNUMBER($L$1))),"Check",IF(E3&gt;=1,"Past midnight",IF(F3="",IF(AND(A4="",C4="",D4=""),"Last","Check next row"),IF(C4&lt;C3,"Out of order",IF(F3&lt;0,"Overlap",IF(F3&lt;$L$1,"Short buffer","OK"))))))))</f>
        <v/>
      </c>
      <c r="H3" s="8">
        <f>IF(ISNUMBER(C3),ROUND(C3*1440,0),"")</f>
        <v/>
      </c>
      <c r="I3" s="8">
        <f>IF(ISNUMBER(E3),ROUND(E3*1440,0),"")</f>
        <v/>
      </c>
      <c r="K3" s="2" t="inlineStr">
        <is>
          <t>First start</t>
        </is>
      </c>
      <c r="L3" s="11">
        <f>IF(COUNT(C2:C12)=0,"",MIN(C2:C12))</f>
        <v/>
      </c>
    </row>
    <row r="4">
      <c r="A4" s="4" t="inlineStr">
        <is>
          <t>Cooper</t>
        </is>
      </c>
      <c r="B4" s="4" t="inlineStr">
        <is>
          <t>Full groom</t>
        </is>
      </c>
      <c r="C4" s="5" t="n">
        <v>0.4791666666666667</v>
      </c>
      <c r="D4" s="6" t="n">
        <v>90</v>
      </c>
      <c r="E4" s="7">
        <f>IF(OR(NOT(ISNUMBER(C4)),NOT(ISNUMBER(D4))),"",C4+D4/1440)</f>
        <v/>
      </c>
      <c r="F4" s="8">
        <f>IF(AND(ISNUMBER(E4),ISNUMBER(C5)),ROUND((C5-E4)*1440,0),"")</f>
        <v/>
      </c>
      <c r="G4" s="9">
        <f>IF(AND(A4="",C4="",D4=""),"",IF(OR(NOT(ISNUMBER(C4)),NOT(ISNUMBER(D4))),"Check",IF(OR(C4&lt;0,C4&gt;=1,D4&lt;=0,D4&lt;&gt;INT(D4),NOT(ISNUMBER($L$1))),"Check",IF(E4&gt;=1,"Past midnight",IF(F4="",IF(AND(A5="",C5="",D5=""),"Last","Check next row"),IF(C5&lt;C4,"Out of order",IF(F4&lt;0,"Overlap",IF(F4&lt;$L$1,"Short buffer","OK"))))))))</f>
        <v/>
      </c>
      <c r="H4" s="8">
        <f>IF(ISNUMBER(C4),ROUND(C4*1440,0),"")</f>
        <v/>
      </c>
      <c r="I4" s="8">
        <f>IF(ISNUMBER(E4),ROUND(E4*1440,0),"")</f>
        <v/>
      </c>
      <c r="K4" s="2" t="inlineStr">
        <is>
          <t>Last end</t>
        </is>
      </c>
      <c r="L4" s="11">
        <f>IF(COUNT(E2:E12)=0,"",MAX(E2:E12))</f>
        <v/>
      </c>
    </row>
    <row r="5">
      <c r="A5" s="4" t="inlineStr">
        <is>
          <t>Luna</t>
        </is>
      </c>
      <c r="B5" s="4" t="inlineStr">
        <is>
          <t>Nail trim</t>
        </is>
      </c>
      <c r="C5" s="5" t="n">
        <v>0.5520833333333334</v>
      </c>
      <c r="D5" s="6" t="n">
        <v>30</v>
      </c>
      <c r="E5" s="7">
        <f>IF(OR(NOT(ISNUMBER(C5)),NOT(ISNUMBER(D5))),"",C5+D5/1440)</f>
        <v/>
      </c>
      <c r="F5" s="8">
        <f>IF(AND(ISNUMBER(E5),ISNUMBER(C6)),ROUND((C6-E5)*1440,0),"")</f>
        <v/>
      </c>
      <c r="G5" s="9">
        <f>IF(AND(A5="",C5="",D5=""),"",IF(OR(NOT(ISNUMBER(C5)),NOT(ISNUMBER(D5))),"Check",IF(OR(C5&lt;0,C5&gt;=1,D5&lt;=0,D5&lt;&gt;INT(D5),NOT(ISNUMBER($L$1))),"Check",IF(E5&gt;=1,"Past midnight",IF(F5="",IF(AND(A6="",C6="",D6=""),"Last","Check next row"),IF(C6&lt;C5,"Out of order",IF(F5&lt;0,"Overlap",IF(F5&lt;$L$1,"Short buffer","OK"))))))))</f>
        <v/>
      </c>
      <c r="H5" s="8">
        <f>IF(ISNUMBER(C5),ROUND(C5*1440,0),"")</f>
        <v/>
      </c>
      <c r="I5" s="8">
        <f>IF(ISNUMBER(E5),ROUND(E5*1440,0),"")</f>
        <v/>
      </c>
      <c r="K5" s="2" t="inlineStr">
        <is>
          <t>Open minutes between</t>
        </is>
      </c>
      <c r="L5" s="10">
        <f>IF(AND(ISNUMBER(L3),ISNUMBER(L4)),ROUND((L4-L3)*1440,0)-L2,"")</f>
        <v/>
      </c>
    </row>
    <row r="6">
      <c r="A6" s="4" t="inlineStr">
        <is>
          <t>Rosie</t>
        </is>
      </c>
      <c r="B6" s="4" t="inlineStr">
        <is>
          <t>Bath and brush</t>
        </is>
      </c>
      <c r="C6" s="5" t="n">
        <v>0.5833333333333334</v>
      </c>
      <c r="D6" s="6" t="n">
        <v>60</v>
      </c>
      <c r="E6" s="7">
        <f>IF(OR(NOT(ISNUMBER(C6)),NOT(ISNUMBER(D6))),"",C6+D6/1440)</f>
        <v/>
      </c>
      <c r="F6" s="8">
        <f>IF(AND(ISNUMBER(E6),ISNUMBER(C7)),ROUND((C7-E6)*1440,0),"")</f>
        <v/>
      </c>
      <c r="G6" s="9">
        <f>IF(AND(A6="",C6="",D6=""),"",IF(OR(NOT(ISNUMBER(C6)),NOT(ISNUMBER(D6))),"Check",IF(OR(C6&lt;0,C6&gt;=1,D6&lt;=0,D6&lt;&gt;INT(D6),NOT(ISNUMBER($L$1))),"Check",IF(E6&gt;=1,"Past midnight",IF(F6="",IF(AND(A7="",C7="",D7=""),"Last","Check next row"),IF(C7&lt;C6,"Out of order",IF(F6&lt;0,"Overlap",IF(F6&lt;$L$1,"Short buffer","OK"))))))))</f>
        <v/>
      </c>
      <c r="H6" s="8">
        <f>IF(ISNUMBER(C6),ROUND(C6*1440,0),"")</f>
        <v/>
      </c>
      <c r="I6" s="8">
        <f>IF(ISNUMBER(E6),ROUND(E6*1440,0),"")</f>
        <v/>
      </c>
      <c r="K6" s="2" t="inlineStr">
        <is>
          <t>Appointments</t>
        </is>
      </c>
      <c r="L6" s="10">
        <f>COUNT(C2:C12)</f>
        <v/>
      </c>
    </row>
    <row r="7">
      <c r="A7" s="4" t="inlineStr">
        <is>
          <t>Max</t>
        </is>
      </c>
      <c r="B7" s="4" t="inlineStr">
        <is>
          <t>Full groom</t>
        </is>
      </c>
      <c r="C7" s="5" t="n">
        <v>0.6319444444444444</v>
      </c>
      <c r="D7" s="6" t="n">
        <v>90</v>
      </c>
      <c r="E7" s="7">
        <f>IF(OR(NOT(ISNUMBER(C7)),NOT(ISNUMBER(D7))),"",C7+D7/1440)</f>
        <v/>
      </c>
      <c r="F7" s="8">
        <f>IF(AND(ISNUMBER(E7),ISNUMBER(C8)),ROUND((C8-E7)*1440,0),"")</f>
        <v/>
      </c>
      <c r="G7" s="9">
        <f>IF(AND(A7="",C7="",D7=""),"",IF(OR(NOT(ISNUMBER(C7)),NOT(ISNUMBER(D7))),"Check",IF(OR(C7&lt;0,C7&gt;=1,D7&lt;=0,D7&lt;&gt;INT(D7),NOT(ISNUMBER($L$1))),"Check",IF(E7&gt;=1,"Past midnight",IF(F7="",IF(AND(A8="",C8="",D8=""),"Last","Check next row"),IF(C8&lt;C7,"Out of order",IF(F7&lt;0,"Overlap",IF(F7&lt;$L$1,"Short buffer","OK"))))))))</f>
        <v/>
      </c>
      <c r="H7" s="8">
        <f>IF(ISNUMBER(C7),ROUND(C7*1440,0),"")</f>
        <v/>
      </c>
      <c r="I7" s="8">
        <f>IF(ISNUMBER(E7),ROUND(E7*1440,0),"")</f>
        <v/>
      </c>
      <c r="K7" s="2" t="inlineStr">
        <is>
          <t>Rows to look at</t>
        </is>
      </c>
      <c r="L7" s="10">
        <f>COUNTIF(G2:G12,"Short buffer")+COUNTIF(G2:G12,"Overlap")</f>
        <v/>
      </c>
    </row>
    <row r="8">
      <c r="A8" s="4" t="inlineStr">
        <is>
          <t>Daisy</t>
        </is>
      </c>
      <c r="B8" s="4" t="inlineStr">
        <is>
          <t>Nail trim</t>
        </is>
      </c>
      <c r="C8" s="5" t="n">
        <v>0.6979166666666666</v>
      </c>
      <c r="D8" s="6" t="n">
        <v>30</v>
      </c>
      <c r="E8" s="7">
        <f>IF(OR(NOT(ISNUMBER(C8)),NOT(ISNUMBER(D8))),"",C8+D8/1440)</f>
        <v/>
      </c>
      <c r="F8" s="8">
        <f>IF(AND(ISNUMBER(E8),ISNUMBER(C9)),ROUND((C9-E8)*1440,0),"")</f>
        <v/>
      </c>
      <c r="G8" s="9">
        <f>IF(AND(A8="",C8="",D8=""),"",IF(OR(NOT(ISNUMBER(C8)),NOT(ISNUMBER(D8))),"Check",IF(OR(C8&lt;0,C8&gt;=1,D8&lt;=0,D8&lt;&gt;INT(D8),NOT(ISNUMBER($L$1))),"Check",IF(E8&gt;=1,"Past midnight",IF(F8="",IF(AND(A9="",C9="",D9=""),"Last","Check next row"),IF(C9&lt;C8,"Out of order",IF(F8&lt;0,"Overlap",IF(F8&lt;$L$1,"Short buffer","OK"))))))))</f>
        <v/>
      </c>
      <c r="H8" s="8">
        <f>IF(ISNUMBER(C8),ROUND(C8*1440,0),"")</f>
        <v/>
      </c>
      <c r="I8" s="8">
        <f>IF(ISNUMBER(E8),ROUND(E8*1440,0),"")</f>
        <v/>
      </c>
      <c r="K8" s="2" t="inlineStr">
        <is>
          <t>Check: booked + gaps = first start to last end</t>
        </is>
      </c>
      <c r="L8" s="12">
        <f>IF(COUNT(C2:C12)=0,"No appointments",IF(COUNTIF(G2:G12,"Overlap")+COUNTIF(G2:G12,"Past midnight")+COUNTIF(G2:G12,"Check")+COUNTIF(G2:G12,"Check next row")+COUNTIF(G2:G12,"Out of order")&gt;0,"Fix rows first",IF(L2+SUM(F2:F12)=ROUND((L4-L3)*1440,0),"OK","CHECK")))</f>
        <v/>
      </c>
    </row>
    <row r="9">
      <c r="A9" s="4" t="inlineStr">
        <is>
          <t>Buddy</t>
        </is>
      </c>
      <c r="B9" s="4" t="inlineStr">
        <is>
          <t>Puppy trim</t>
        </is>
      </c>
      <c r="C9" s="5" t="n">
        <v>0.7291666666666666</v>
      </c>
      <c r="D9" s="6" t="n">
        <v>45</v>
      </c>
      <c r="E9" s="7">
        <f>IF(OR(NOT(ISNUMBER(C9)),NOT(ISNUMBER(D9))),"",C9+D9/1440)</f>
        <v/>
      </c>
      <c r="F9" s="8">
        <f>IF(AND(ISNUMBER(E9),ISNUMBER(C10)),ROUND((C10-E9)*1440,0),"")</f>
        <v/>
      </c>
      <c r="G9" s="9">
        <f>IF(AND(A9="",C9="",D9=""),"",IF(OR(NOT(ISNUMBER(C9)),NOT(ISNUMBER(D9))),"Check",IF(OR(C9&lt;0,C9&gt;=1,D9&lt;=0,D9&lt;&gt;INT(D9),NOT(ISNUMBER($L$1))),"Check",IF(E9&gt;=1,"Past midnight",IF(F9="",IF(AND(A10="",C10="",D10=""),"Last","Check next row"),IF(C10&lt;C9,"Out of order",IF(F9&lt;0,"Overlap",IF(F9&lt;$L$1,"Short buffer","OK"))))))))</f>
        <v/>
      </c>
      <c r="H9" s="8">
        <f>IF(ISNUMBER(C9),ROUND(C9*1440,0),"")</f>
        <v/>
      </c>
      <c r="I9" s="8">
        <f>IF(ISNUMBER(E9),ROUND(E9*1440,0),"")</f>
        <v/>
      </c>
    </row>
    <row r="10">
      <c r="A10" s="4" t="n"/>
      <c r="B10" s="4" t="n"/>
      <c r="C10" s="5" t="n"/>
      <c r="D10" s="6" t="n"/>
      <c r="E10" s="7">
        <f>IF(OR(NOT(ISNUMBER(C10)),NOT(ISNUMBER(D10))),"",C10+D10/1440)</f>
        <v/>
      </c>
      <c r="F10" s="8">
        <f>IF(AND(ISNUMBER(E10),ISNUMBER(C11)),ROUND((C11-E10)*1440,0),"")</f>
        <v/>
      </c>
      <c r="G10" s="9">
        <f>IF(AND(A10="",C10="",D10=""),"",IF(OR(NOT(ISNUMBER(C10)),NOT(ISNUMBER(D10))),"Check",IF(OR(C10&lt;0,C10&gt;=1,D10&lt;=0,D10&lt;&gt;INT(D10),NOT(ISNUMBER($L$1))),"Check",IF(E10&gt;=1,"Past midnight",IF(F10="",IF(AND(A11="",C11="",D11=""),"Last","Check next row"),IF(C11&lt;C10,"Out of order",IF(F10&lt;0,"Overlap",IF(F10&lt;$L$1,"Short buffer","OK"))))))))</f>
        <v/>
      </c>
      <c r="H10" s="8">
        <f>IF(ISNUMBER(C10),ROUND(C10*1440,0),"")</f>
        <v/>
      </c>
      <c r="I10" s="8">
        <f>IF(ISNUMBER(E10),ROUND(E10*1440,0),"")</f>
        <v/>
      </c>
    </row>
    <row r="11">
      <c r="A11" s="4" t="n"/>
      <c r="B11" s="4" t="n"/>
      <c r="C11" s="5" t="n"/>
      <c r="D11" s="6" t="n"/>
      <c r="E11" s="7">
        <f>IF(OR(NOT(ISNUMBER(C11)),NOT(ISNUMBER(D11))),"",C11+D11/1440)</f>
        <v/>
      </c>
      <c r="F11" s="8">
        <f>IF(AND(ISNUMBER(E11),ISNUMBER(C12)),ROUND((C12-E11)*1440,0),"")</f>
        <v/>
      </c>
      <c r="G11" s="9">
        <f>IF(AND(A11="",C11="",D11=""),"",IF(OR(NOT(ISNUMBER(C11)),NOT(ISNUMBER(D11))),"Check",IF(OR(C11&lt;0,C11&gt;=1,D11&lt;=0,D11&lt;&gt;INT(D11),NOT(ISNUMBER($L$1))),"Check",IF(E11&gt;=1,"Past midnight",IF(F11="",IF(AND(A12="",C12="",D12=""),"Last","Check next row"),IF(C12&lt;C11,"Out of order",IF(F11&lt;0,"Overlap",IF(F11&lt;$L$1,"Short buffer","OK"))))))))</f>
        <v/>
      </c>
      <c r="H11" s="8">
        <f>IF(ISNUMBER(C11),ROUND(C11*1440,0),"")</f>
        <v/>
      </c>
      <c r="I11" s="8">
        <f>IF(ISNUMBER(E11),ROUND(E11*1440,0),"")</f>
        <v/>
      </c>
    </row>
    <row r="12">
      <c r="A12" s="4" t="n"/>
      <c r="B12" s="4" t="n"/>
      <c r="C12" s="5" t="n"/>
      <c r="D12" s="6" t="n"/>
      <c r="E12" s="7">
        <f>IF(OR(NOT(ISNUMBER(C12)),NOT(ISNUMBER(D12))),"",C12+D12/1440)</f>
        <v/>
      </c>
      <c r="F12" s="8">
        <f>IF(AND(ISNUMBER(E12),ISNUMBER(C13)),ROUND((C13-E12)*1440,0),"")</f>
        <v/>
      </c>
      <c r="G12" s="9">
        <f>IF(AND(A12="",C12="",D12=""),"",IF(OR(NOT(ISNUMBER(C12)),NOT(ISNUMBER(D12))),"Check",IF(OR(C12&lt;0,C12&gt;=1,D12&lt;=0,D12&lt;&gt;INT(D12),NOT(ISNUMBER($L$1))),"Check",IF(E12&gt;=1,"Past midnight",IF(F12="",IF(AND(A13="",C13="",D13=""),"Last","Check next row"),IF(C13&lt;C12,"Out of order",IF(F12&lt;0,"Overlap",IF(F12&lt;$L$1,"Short buffer","OK"))))))))</f>
        <v/>
      </c>
      <c r="H12" s="8">
        <f>IF(ISNUMBER(C12),ROUND(C12*1440,0),"")</f>
        <v/>
      </c>
      <c r="I12" s="8">
        <f>IF(ISNUMBER(E12),ROUND(E12*1440,0),"")</f>
        <v/>
      </c>
    </row>
  </sheetData>
  <conditionalFormatting sqref="L8">
    <cfRule type="expression" priority="1" dxfId="0">
      <formula>AND(L8&lt;&gt;"OK",L8&lt;&gt;"")</formula>
    </cfRule>
  </conditionalFormatting>
  <conditionalFormatting sqref="A2:G12">
    <cfRule type="expression" priority="2" dxfId="1">
      <formula>$G2="Short buffer"</formula>
    </cfRule>
    <cfRule type="expression" priority="3" dxfId="0">
      <formula>OR($G2="Overlap",$G2="Past midnight",$G2="Check",$G2="Check next row",$G2="Out of order")</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G52"/>
  <sheetViews>
    <sheetView workbookViewId="0">
      <selection activeCell="A1" sqref="A1"/>
    </sheetView>
  </sheetViews>
  <sheetFormatPr baseColWidth="8" defaultRowHeight="15"/>
  <cols>
    <col width="24" customWidth="1" min="1" max="1"/>
    <col width="14" customWidth="1" min="2" max="2"/>
    <col width="22" customWidth="1" min="3" max="3"/>
    <col width="12" customWidth="1" min="4" max="4"/>
    <col width="3" customWidth="1" min="5" max="5"/>
    <col width="22" customWidth="1" min="6" max="6"/>
    <col width="10" customWidth="1" min="7" max="7"/>
  </cols>
  <sheetData>
    <row r="1">
      <c r="A1" s="2" t="inlineStr">
        <is>
          <t>Opening time</t>
        </is>
      </c>
      <c r="B1" s="5" t="n">
        <v>0.375</v>
      </c>
    </row>
    <row r="2">
      <c r="A2" s="2" t="inlineStr">
        <is>
          <t>Slot length (min)</t>
        </is>
      </c>
      <c r="B2" s="4" t="n">
        <v>30</v>
      </c>
    </row>
    <row r="3">
      <c r="A3" s="2" t="inlineStr">
        <is>
          <t>Closing time</t>
        </is>
      </c>
      <c r="B3" s="5" t="n">
        <v>0.7708333333333334</v>
      </c>
    </row>
    <row r="4" ht="32" customHeight="1">
      <c r="A4" s="1" t="inlineStr">
        <is>
          <t>Slot start</t>
        </is>
      </c>
      <c r="B4" s="1" t="inlineStr">
        <is>
          <t>Slot end</t>
        </is>
      </c>
      <c r="C4" s="1" t="inlineStr">
        <is>
          <t>Appointments touching the slot</t>
        </is>
      </c>
      <c r="D4" s="1" t="inlineStr">
        <is>
          <t>Status</t>
        </is>
      </c>
      <c r="F4" s="13" t="inlineStr">
        <is>
          <t>Summary</t>
        </is>
      </c>
      <c r="G4" s="13" t="inlineStr">
        <is>
          <t>Value</t>
        </is>
      </c>
    </row>
    <row r="5">
      <c r="A5" s="7">
        <f>IF(AND(IFERROR(AND(ISNUMBER($B$1),ISNUMBER($B$2),ISNUMBER($B$3),$B$2&gt;0,$B$2=INT($B$2),$B$3&gt;$B$1),FALSE),$B$1&gt;=0,$B$1&lt;1),ROUND($B$1*1440,0)/1440,"")</f>
        <v/>
      </c>
      <c r="B5" s="7">
        <f>IF(ISNUMBER(A5),(ROUND(A5*1440,0)+$B$2)/1440,"")</f>
        <v/>
      </c>
      <c r="C5" s="8">
        <f>IF(ISNUMBER(A5),COUNTIFS(Schedule!$H$2:$H$12,"&lt;"&amp;ROUND(B5*1440,0),Schedule!$I$2:$I$12,"&gt;"&amp;ROUND(A5*1440,0)),"")</f>
        <v/>
      </c>
      <c r="D5" s="9">
        <f>IF(C5="","",IF(C5=0,"Open",IF(C5=1,"Taken","Shared slot")))</f>
        <v/>
      </c>
      <c r="F5" s="2" t="inlineStr">
        <is>
          <t>Open slots</t>
        </is>
      </c>
      <c r="G5" s="9">
        <f>COUNTIF(D5:D52,"Open")</f>
        <v/>
      </c>
    </row>
    <row r="6">
      <c r="A6" s="7">
        <f>IF(ISNUMBER(A5),IF(AND(ROUND(A5*1440,0)+$B$2&lt;1440,ROUND(A5*1440,0)+$B$2&lt;ROUND($B$3*1440,0)),(ROUND(A5*1440,0)+$B$2)/1440,""),"")</f>
        <v/>
      </c>
      <c r="B6" s="7">
        <f>IF(ISNUMBER(A6),(ROUND(A6*1440,0)+$B$2)/1440,"")</f>
        <v/>
      </c>
      <c r="C6" s="8">
        <f>IF(ISNUMBER(A6),COUNTIFS(Schedule!$H$2:$H$12,"&lt;"&amp;ROUND(B6*1440,0),Schedule!$I$2:$I$12,"&gt;"&amp;ROUND(A6*1440,0)),"")</f>
        <v/>
      </c>
      <c r="D6" s="9">
        <f>IF(C6="","",IF(C6=0,"Open",IF(C6=1,"Taken","Shared slot")))</f>
        <v/>
      </c>
      <c r="F6" s="2" t="inlineStr">
        <is>
          <t>Taken slots</t>
        </is>
      </c>
      <c r="G6" s="9">
        <f>COUNTIF(D5:D52,"Taken")</f>
        <v/>
      </c>
    </row>
    <row r="7">
      <c r="A7" s="7">
        <f>IF(ISNUMBER(A6),IF(AND(ROUND(A6*1440,0)+$B$2&lt;1440,ROUND(A6*1440,0)+$B$2&lt;ROUND($B$3*1440,0)),(ROUND(A6*1440,0)+$B$2)/1440,""),"")</f>
        <v/>
      </c>
      <c r="B7" s="7">
        <f>IF(ISNUMBER(A7),(ROUND(A7*1440,0)+$B$2)/1440,"")</f>
        <v/>
      </c>
      <c r="C7" s="8">
        <f>IF(ISNUMBER(A7),COUNTIFS(Schedule!$H$2:$H$12,"&lt;"&amp;ROUND(B7*1440,0),Schedule!$I$2:$I$12,"&gt;"&amp;ROUND(A7*1440,0)),"")</f>
        <v/>
      </c>
      <c r="D7" s="9">
        <f>IF(C7="","",IF(C7=0,"Open",IF(C7=1,"Taken","Shared slot")))</f>
        <v/>
      </c>
      <c r="F7" s="2" t="inlineStr">
        <is>
          <t>Shared slots</t>
        </is>
      </c>
      <c r="G7" s="9">
        <f>COUNTIF(D5:D52,"Shared slot")</f>
        <v/>
      </c>
    </row>
    <row r="8">
      <c r="A8" s="7">
        <f>IF(ISNUMBER(A7),IF(AND(ROUND(A7*1440,0)+$B$2&lt;1440,ROUND(A7*1440,0)+$B$2&lt;ROUND($B$3*1440,0)),(ROUND(A7*1440,0)+$B$2)/1440,""),"")</f>
        <v/>
      </c>
      <c r="B8" s="7">
        <f>IF(ISNUMBER(A8),(ROUND(A8*1440,0)+$B$2)/1440,"")</f>
        <v/>
      </c>
      <c r="C8" s="8">
        <f>IF(ISNUMBER(A8),COUNTIFS(Schedule!$H$2:$H$12,"&lt;"&amp;ROUND(B8*1440,0),Schedule!$I$2:$I$12,"&gt;"&amp;ROUND(A8*1440,0)),"")</f>
        <v/>
      </c>
      <c r="D8" s="9">
        <f>IF(C8="","",IF(C8=0,"Open",IF(C8=1,"Taken","Shared slot")))</f>
        <v/>
      </c>
    </row>
    <row r="9">
      <c r="A9" s="7">
        <f>IF(ISNUMBER(A8),IF(AND(ROUND(A8*1440,0)+$B$2&lt;1440,ROUND(A8*1440,0)+$B$2&lt;ROUND($B$3*1440,0)),(ROUND(A8*1440,0)+$B$2)/1440,""),"")</f>
        <v/>
      </c>
      <c r="B9" s="7">
        <f>IF(ISNUMBER(A9),(ROUND(A9*1440,0)+$B$2)/1440,"")</f>
        <v/>
      </c>
      <c r="C9" s="8">
        <f>IF(ISNUMBER(A9),COUNTIFS(Schedule!$H$2:$H$12,"&lt;"&amp;ROUND(B9*1440,0),Schedule!$I$2:$I$12,"&gt;"&amp;ROUND(A9*1440,0)),"")</f>
        <v/>
      </c>
      <c r="D9" s="9">
        <f>IF(C9="","",IF(C9=0,"Open",IF(C9=1,"Taken","Shared slot")))</f>
        <v/>
      </c>
    </row>
    <row r="10">
      <c r="A10" s="7">
        <f>IF(ISNUMBER(A9),IF(AND(ROUND(A9*1440,0)+$B$2&lt;1440,ROUND(A9*1440,0)+$B$2&lt;ROUND($B$3*1440,0)),(ROUND(A9*1440,0)+$B$2)/1440,""),"")</f>
        <v/>
      </c>
      <c r="B10" s="7">
        <f>IF(ISNUMBER(A10),(ROUND(A10*1440,0)+$B$2)/1440,"")</f>
        <v/>
      </c>
      <c r="C10" s="8">
        <f>IF(ISNUMBER(A10),COUNTIFS(Schedule!$H$2:$H$12,"&lt;"&amp;ROUND(B10*1440,0),Schedule!$I$2:$I$12,"&gt;"&amp;ROUND(A10*1440,0)),"")</f>
        <v/>
      </c>
      <c r="D10" s="9">
        <f>IF(C10="","",IF(C10=0,"Open",IF(C10=1,"Taken","Shared slot")))</f>
        <v/>
      </c>
    </row>
    <row r="11">
      <c r="A11" s="7">
        <f>IF(ISNUMBER(A10),IF(AND(ROUND(A10*1440,0)+$B$2&lt;1440,ROUND(A10*1440,0)+$B$2&lt;ROUND($B$3*1440,0)),(ROUND(A10*1440,0)+$B$2)/1440,""),"")</f>
        <v/>
      </c>
      <c r="B11" s="7">
        <f>IF(ISNUMBER(A11),(ROUND(A11*1440,0)+$B$2)/1440,"")</f>
        <v/>
      </c>
      <c r="C11" s="8">
        <f>IF(ISNUMBER(A11),COUNTIFS(Schedule!$H$2:$H$12,"&lt;"&amp;ROUND(B11*1440,0),Schedule!$I$2:$I$12,"&gt;"&amp;ROUND(A11*1440,0)),"")</f>
        <v/>
      </c>
      <c r="D11" s="9">
        <f>IF(C11="","",IF(C11=0,"Open",IF(C11=1,"Taken","Shared slot")))</f>
        <v/>
      </c>
    </row>
    <row r="12">
      <c r="A12" s="7">
        <f>IF(ISNUMBER(A11),IF(AND(ROUND(A11*1440,0)+$B$2&lt;1440,ROUND(A11*1440,0)+$B$2&lt;ROUND($B$3*1440,0)),(ROUND(A11*1440,0)+$B$2)/1440,""),"")</f>
        <v/>
      </c>
      <c r="B12" s="7">
        <f>IF(ISNUMBER(A12),(ROUND(A12*1440,0)+$B$2)/1440,"")</f>
        <v/>
      </c>
      <c r="C12" s="8">
        <f>IF(ISNUMBER(A12),COUNTIFS(Schedule!$H$2:$H$12,"&lt;"&amp;ROUND(B12*1440,0),Schedule!$I$2:$I$12,"&gt;"&amp;ROUND(A12*1440,0)),"")</f>
        <v/>
      </c>
      <c r="D12" s="9">
        <f>IF(C12="","",IF(C12=0,"Open",IF(C12=1,"Taken","Shared slot")))</f>
        <v/>
      </c>
    </row>
    <row r="13">
      <c r="A13" s="7">
        <f>IF(ISNUMBER(A12),IF(AND(ROUND(A12*1440,0)+$B$2&lt;1440,ROUND(A12*1440,0)+$B$2&lt;ROUND($B$3*1440,0)),(ROUND(A12*1440,0)+$B$2)/1440,""),"")</f>
        <v/>
      </c>
      <c r="B13" s="7">
        <f>IF(ISNUMBER(A13),(ROUND(A13*1440,0)+$B$2)/1440,"")</f>
        <v/>
      </c>
      <c r="C13" s="8">
        <f>IF(ISNUMBER(A13),COUNTIFS(Schedule!$H$2:$H$12,"&lt;"&amp;ROUND(B13*1440,0),Schedule!$I$2:$I$12,"&gt;"&amp;ROUND(A13*1440,0)),"")</f>
        <v/>
      </c>
      <c r="D13" s="9">
        <f>IF(C13="","",IF(C13=0,"Open",IF(C13=1,"Taken","Shared slot")))</f>
        <v/>
      </c>
    </row>
    <row r="14">
      <c r="A14" s="7">
        <f>IF(ISNUMBER(A13),IF(AND(ROUND(A13*1440,0)+$B$2&lt;1440,ROUND(A13*1440,0)+$B$2&lt;ROUND($B$3*1440,0)),(ROUND(A13*1440,0)+$B$2)/1440,""),"")</f>
        <v/>
      </c>
      <c r="B14" s="7">
        <f>IF(ISNUMBER(A14),(ROUND(A14*1440,0)+$B$2)/1440,"")</f>
        <v/>
      </c>
      <c r="C14" s="8">
        <f>IF(ISNUMBER(A14),COUNTIFS(Schedule!$H$2:$H$12,"&lt;"&amp;ROUND(B14*1440,0),Schedule!$I$2:$I$12,"&gt;"&amp;ROUND(A14*1440,0)),"")</f>
        <v/>
      </c>
      <c r="D14" s="9">
        <f>IF(C14="","",IF(C14=0,"Open",IF(C14=1,"Taken","Shared slot")))</f>
        <v/>
      </c>
    </row>
    <row r="15">
      <c r="A15" s="7">
        <f>IF(ISNUMBER(A14),IF(AND(ROUND(A14*1440,0)+$B$2&lt;1440,ROUND(A14*1440,0)+$B$2&lt;ROUND($B$3*1440,0)),(ROUND(A14*1440,0)+$B$2)/1440,""),"")</f>
        <v/>
      </c>
      <c r="B15" s="7">
        <f>IF(ISNUMBER(A15),(ROUND(A15*1440,0)+$B$2)/1440,"")</f>
        <v/>
      </c>
      <c r="C15" s="8">
        <f>IF(ISNUMBER(A15),COUNTIFS(Schedule!$H$2:$H$12,"&lt;"&amp;ROUND(B15*1440,0),Schedule!$I$2:$I$12,"&gt;"&amp;ROUND(A15*1440,0)),"")</f>
        <v/>
      </c>
      <c r="D15" s="9">
        <f>IF(C15="","",IF(C15=0,"Open",IF(C15=1,"Taken","Shared slot")))</f>
        <v/>
      </c>
    </row>
    <row r="16">
      <c r="A16" s="7">
        <f>IF(ISNUMBER(A15),IF(AND(ROUND(A15*1440,0)+$B$2&lt;1440,ROUND(A15*1440,0)+$B$2&lt;ROUND($B$3*1440,0)),(ROUND(A15*1440,0)+$B$2)/1440,""),"")</f>
        <v/>
      </c>
      <c r="B16" s="7">
        <f>IF(ISNUMBER(A16),(ROUND(A16*1440,0)+$B$2)/1440,"")</f>
        <v/>
      </c>
      <c r="C16" s="8">
        <f>IF(ISNUMBER(A16),COUNTIFS(Schedule!$H$2:$H$12,"&lt;"&amp;ROUND(B16*1440,0),Schedule!$I$2:$I$12,"&gt;"&amp;ROUND(A16*1440,0)),"")</f>
        <v/>
      </c>
      <c r="D16" s="9">
        <f>IF(C16="","",IF(C16=0,"Open",IF(C16=1,"Taken","Shared slot")))</f>
        <v/>
      </c>
    </row>
    <row r="17">
      <c r="A17" s="7">
        <f>IF(ISNUMBER(A16),IF(AND(ROUND(A16*1440,0)+$B$2&lt;1440,ROUND(A16*1440,0)+$B$2&lt;ROUND($B$3*1440,0)),(ROUND(A16*1440,0)+$B$2)/1440,""),"")</f>
        <v/>
      </c>
      <c r="B17" s="7">
        <f>IF(ISNUMBER(A17),(ROUND(A17*1440,0)+$B$2)/1440,"")</f>
        <v/>
      </c>
      <c r="C17" s="8">
        <f>IF(ISNUMBER(A17),COUNTIFS(Schedule!$H$2:$H$12,"&lt;"&amp;ROUND(B17*1440,0),Schedule!$I$2:$I$12,"&gt;"&amp;ROUND(A17*1440,0)),"")</f>
        <v/>
      </c>
      <c r="D17" s="9">
        <f>IF(C17="","",IF(C17=0,"Open",IF(C17=1,"Taken","Shared slot")))</f>
        <v/>
      </c>
    </row>
    <row r="18">
      <c r="A18" s="7">
        <f>IF(ISNUMBER(A17),IF(AND(ROUND(A17*1440,0)+$B$2&lt;1440,ROUND(A17*1440,0)+$B$2&lt;ROUND($B$3*1440,0)),(ROUND(A17*1440,0)+$B$2)/1440,""),"")</f>
        <v/>
      </c>
      <c r="B18" s="7">
        <f>IF(ISNUMBER(A18),(ROUND(A18*1440,0)+$B$2)/1440,"")</f>
        <v/>
      </c>
      <c r="C18" s="8">
        <f>IF(ISNUMBER(A18),COUNTIFS(Schedule!$H$2:$H$12,"&lt;"&amp;ROUND(B18*1440,0),Schedule!$I$2:$I$12,"&gt;"&amp;ROUND(A18*1440,0)),"")</f>
        <v/>
      </c>
      <c r="D18" s="9">
        <f>IF(C18="","",IF(C18=0,"Open",IF(C18=1,"Taken","Shared slot")))</f>
        <v/>
      </c>
    </row>
    <row r="19">
      <c r="A19" s="7">
        <f>IF(ISNUMBER(A18),IF(AND(ROUND(A18*1440,0)+$B$2&lt;1440,ROUND(A18*1440,0)+$B$2&lt;ROUND($B$3*1440,0)),(ROUND(A18*1440,0)+$B$2)/1440,""),"")</f>
        <v/>
      </c>
      <c r="B19" s="7">
        <f>IF(ISNUMBER(A19),(ROUND(A19*1440,0)+$B$2)/1440,"")</f>
        <v/>
      </c>
      <c r="C19" s="8">
        <f>IF(ISNUMBER(A19),COUNTIFS(Schedule!$H$2:$H$12,"&lt;"&amp;ROUND(B19*1440,0),Schedule!$I$2:$I$12,"&gt;"&amp;ROUND(A19*1440,0)),"")</f>
        <v/>
      </c>
      <c r="D19" s="9">
        <f>IF(C19="","",IF(C19=0,"Open",IF(C19=1,"Taken","Shared slot")))</f>
        <v/>
      </c>
    </row>
    <row r="20">
      <c r="A20" s="7">
        <f>IF(ISNUMBER(A19),IF(AND(ROUND(A19*1440,0)+$B$2&lt;1440,ROUND(A19*1440,0)+$B$2&lt;ROUND($B$3*1440,0)),(ROUND(A19*1440,0)+$B$2)/1440,""),"")</f>
        <v/>
      </c>
      <c r="B20" s="7">
        <f>IF(ISNUMBER(A20),(ROUND(A20*1440,0)+$B$2)/1440,"")</f>
        <v/>
      </c>
      <c r="C20" s="8">
        <f>IF(ISNUMBER(A20),COUNTIFS(Schedule!$H$2:$H$12,"&lt;"&amp;ROUND(B20*1440,0),Schedule!$I$2:$I$12,"&gt;"&amp;ROUND(A20*1440,0)),"")</f>
        <v/>
      </c>
      <c r="D20" s="9">
        <f>IF(C20="","",IF(C20=0,"Open",IF(C20=1,"Taken","Shared slot")))</f>
        <v/>
      </c>
    </row>
    <row r="21">
      <c r="A21" s="7">
        <f>IF(ISNUMBER(A20),IF(AND(ROUND(A20*1440,0)+$B$2&lt;1440,ROUND(A20*1440,0)+$B$2&lt;ROUND($B$3*1440,0)),(ROUND(A20*1440,0)+$B$2)/1440,""),"")</f>
        <v/>
      </c>
      <c r="B21" s="7">
        <f>IF(ISNUMBER(A21),(ROUND(A21*1440,0)+$B$2)/1440,"")</f>
        <v/>
      </c>
      <c r="C21" s="8">
        <f>IF(ISNUMBER(A21),COUNTIFS(Schedule!$H$2:$H$12,"&lt;"&amp;ROUND(B21*1440,0),Schedule!$I$2:$I$12,"&gt;"&amp;ROUND(A21*1440,0)),"")</f>
        <v/>
      </c>
      <c r="D21" s="9">
        <f>IF(C21="","",IF(C21=0,"Open",IF(C21=1,"Taken","Shared slot")))</f>
        <v/>
      </c>
    </row>
    <row r="22">
      <c r="A22" s="7">
        <f>IF(ISNUMBER(A21),IF(AND(ROUND(A21*1440,0)+$B$2&lt;1440,ROUND(A21*1440,0)+$B$2&lt;ROUND($B$3*1440,0)),(ROUND(A21*1440,0)+$B$2)/1440,""),"")</f>
        <v/>
      </c>
      <c r="B22" s="7">
        <f>IF(ISNUMBER(A22),(ROUND(A22*1440,0)+$B$2)/1440,"")</f>
        <v/>
      </c>
      <c r="C22" s="8">
        <f>IF(ISNUMBER(A22),COUNTIFS(Schedule!$H$2:$H$12,"&lt;"&amp;ROUND(B22*1440,0),Schedule!$I$2:$I$12,"&gt;"&amp;ROUND(A22*1440,0)),"")</f>
        <v/>
      </c>
      <c r="D22" s="9">
        <f>IF(C22="","",IF(C22=0,"Open",IF(C22=1,"Taken","Shared slot")))</f>
        <v/>
      </c>
    </row>
    <row r="23">
      <c r="A23" s="7">
        <f>IF(ISNUMBER(A22),IF(AND(ROUND(A22*1440,0)+$B$2&lt;1440,ROUND(A22*1440,0)+$B$2&lt;ROUND($B$3*1440,0)),(ROUND(A22*1440,0)+$B$2)/1440,""),"")</f>
        <v/>
      </c>
      <c r="B23" s="7">
        <f>IF(ISNUMBER(A23),(ROUND(A23*1440,0)+$B$2)/1440,"")</f>
        <v/>
      </c>
      <c r="C23" s="8">
        <f>IF(ISNUMBER(A23),COUNTIFS(Schedule!$H$2:$H$12,"&lt;"&amp;ROUND(B23*1440,0),Schedule!$I$2:$I$12,"&gt;"&amp;ROUND(A23*1440,0)),"")</f>
        <v/>
      </c>
      <c r="D23" s="9">
        <f>IF(C23="","",IF(C23=0,"Open",IF(C23=1,"Taken","Shared slot")))</f>
        <v/>
      </c>
    </row>
    <row r="24">
      <c r="A24" s="7">
        <f>IF(ISNUMBER(A23),IF(AND(ROUND(A23*1440,0)+$B$2&lt;1440,ROUND(A23*1440,0)+$B$2&lt;ROUND($B$3*1440,0)),(ROUND(A23*1440,0)+$B$2)/1440,""),"")</f>
        <v/>
      </c>
      <c r="B24" s="7">
        <f>IF(ISNUMBER(A24),(ROUND(A24*1440,0)+$B$2)/1440,"")</f>
        <v/>
      </c>
      <c r="C24" s="8">
        <f>IF(ISNUMBER(A24),COUNTIFS(Schedule!$H$2:$H$12,"&lt;"&amp;ROUND(B24*1440,0),Schedule!$I$2:$I$12,"&gt;"&amp;ROUND(A24*1440,0)),"")</f>
        <v/>
      </c>
      <c r="D24" s="9">
        <f>IF(C24="","",IF(C24=0,"Open",IF(C24=1,"Taken","Shared slot")))</f>
        <v/>
      </c>
    </row>
    <row r="25">
      <c r="A25" s="7">
        <f>IF(ISNUMBER(A24),IF(AND(ROUND(A24*1440,0)+$B$2&lt;1440,ROUND(A24*1440,0)+$B$2&lt;ROUND($B$3*1440,0)),(ROUND(A24*1440,0)+$B$2)/1440,""),"")</f>
        <v/>
      </c>
      <c r="B25" s="7">
        <f>IF(ISNUMBER(A25),(ROUND(A25*1440,0)+$B$2)/1440,"")</f>
        <v/>
      </c>
      <c r="C25" s="8">
        <f>IF(ISNUMBER(A25),COUNTIFS(Schedule!$H$2:$H$12,"&lt;"&amp;ROUND(B25*1440,0),Schedule!$I$2:$I$12,"&gt;"&amp;ROUND(A25*1440,0)),"")</f>
        <v/>
      </c>
      <c r="D25" s="9">
        <f>IF(C25="","",IF(C25=0,"Open",IF(C25=1,"Taken","Shared slot")))</f>
        <v/>
      </c>
    </row>
    <row r="26">
      <c r="A26" s="7">
        <f>IF(ISNUMBER(A25),IF(AND(ROUND(A25*1440,0)+$B$2&lt;1440,ROUND(A25*1440,0)+$B$2&lt;ROUND($B$3*1440,0)),(ROUND(A25*1440,0)+$B$2)/1440,""),"")</f>
        <v/>
      </c>
      <c r="B26" s="7">
        <f>IF(ISNUMBER(A26),(ROUND(A26*1440,0)+$B$2)/1440,"")</f>
        <v/>
      </c>
      <c r="C26" s="8">
        <f>IF(ISNUMBER(A26),COUNTIFS(Schedule!$H$2:$H$12,"&lt;"&amp;ROUND(B26*1440,0),Schedule!$I$2:$I$12,"&gt;"&amp;ROUND(A26*1440,0)),"")</f>
        <v/>
      </c>
      <c r="D26" s="9">
        <f>IF(C26="","",IF(C26=0,"Open",IF(C26=1,"Taken","Shared slot")))</f>
        <v/>
      </c>
    </row>
    <row r="27">
      <c r="A27" s="7">
        <f>IF(ISNUMBER(A26),IF(AND(ROUND(A26*1440,0)+$B$2&lt;1440,ROUND(A26*1440,0)+$B$2&lt;ROUND($B$3*1440,0)),(ROUND(A26*1440,0)+$B$2)/1440,""),"")</f>
        <v/>
      </c>
      <c r="B27" s="7">
        <f>IF(ISNUMBER(A27),(ROUND(A27*1440,0)+$B$2)/1440,"")</f>
        <v/>
      </c>
      <c r="C27" s="8">
        <f>IF(ISNUMBER(A27),COUNTIFS(Schedule!$H$2:$H$12,"&lt;"&amp;ROUND(B27*1440,0),Schedule!$I$2:$I$12,"&gt;"&amp;ROUND(A27*1440,0)),"")</f>
        <v/>
      </c>
      <c r="D27" s="9">
        <f>IF(C27="","",IF(C27=0,"Open",IF(C27=1,"Taken","Shared slot")))</f>
        <v/>
      </c>
    </row>
    <row r="28">
      <c r="A28" s="7">
        <f>IF(ISNUMBER(A27),IF(AND(ROUND(A27*1440,0)+$B$2&lt;1440,ROUND(A27*1440,0)+$B$2&lt;ROUND($B$3*1440,0)),(ROUND(A27*1440,0)+$B$2)/1440,""),"")</f>
        <v/>
      </c>
      <c r="B28" s="7">
        <f>IF(ISNUMBER(A28),(ROUND(A28*1440,0)+$B$2)/1440,"")</f>
        <v/>
      </c>
      <c r="C28" s="8">
        <f>IF(ISNUMBER(A28),COUNTIFS(Schedule!$H$2:$H$12,"&lt;"&amp;ROUND(B28*1440,0),Schedule!$I$2:$I$12,"&gt;"&amp;ROUND(A28*1440,0)),"")</f>
        <v/>
      </c>
      <c r="D28" s="9">
        <f>IF(C28="","",IF(C28=0,"Open",IF(C28=1,"Taken","Shared slot")))</f>
        <v/>
      </c>
    </row>
    <row r="29">
      <c r="A29" s="7">
        <f>IF(ISNUMBER(A28),IF(AND(ROUND(A28*1440,0)+$B$2&lt;1440,ROUND(A28*1440,0)+$B$2&lt;ROUND($B$3*1440,0)),(ROUND(A28*1440,0)+$B$2)/1440,""),"")</f>
        <v/>
      </c>
      <c r="B29" s="7">
        <f>IF(ISNUMBER(A29),(ROUND(A29*1440,0)+$B$2)/1440,"")</f>
        <v/>
      </c>
      <c r="C29" s="8">
        <f>IF(ISNUMBER(A29),COUNTIFS(Schedule!$H$2:$H$12,"&lt;"&amp;ROUND(B29*1440,0),Schedule!$I$2:$I$12,"&gt;"&amp;ROUND(A29*1440,0)),"")</f>
        <v/>
      </c>
      <c r="D29" s="9">
        <f>IF(C29="","",IF(C29=0,"Open",IF(C29=1,"Taken","Shared slot")))</f>
        <v/>
      </c>
    </row>
    <row r="30">
      <c r="A30" s="7">
        <f>IF(ISNUMBER(A29),IF(AND(ROUND(A29*1440,0)+$B$2&lt;1440,ROUND(A29*1440,0)+$B$2&lt;ROUND($B$3*1440,0)),(ROUND(A29*1440,0)+$B$2)/1440,""),"")</f>
        <v/>
      </c>
      <c r="B30" s="7">
        <f>IF(ISNUMBER(A30),(ROUND(A30*1440,0)+$B$2)/1440,"")</f>
        <v/>
      </c>
      <c r="C30" s="8">
        <f>IF(ISNUMBER(A30),COUNTIFS(Schedule!$H$2:$H$12,"&lt;"&amp;ROUND(B30*1440,0),Schedule!$I$2:$I$12,"&gt;"&amp;ROUND(A30*1440,0)),"")</f>
        <v/>
      </c>
      <c r="D30" s="9">
        <f>IF(C30="","",IF(C30=0,"Open",IF(C30=1,"Taken","Shared slot")))</f>
        <v/>
      </c>
    </row>
    <row r="31">
      <c r="A31" s="7">
        <f>IF(ISNUMBER(A30),IF(AND(ROUND(A30*1440,0)+$B$2&lt;1440,ROUND(A30*1440,0)+$B$2&lt;ROUND($B$3*1440,0)),(ROUND(A30*1440,0)+$B$2)/1440,""),"")</f>
        <v/>
      </c>
      <c r="B31" s="7">
        <f>IF(ISNUMBER(A31),(ROUND(A31*1440,0)+$B$2)/1440,"")</f>
        <v/>
      </c>
      <c r="C31" s="8">
        <f>IF(ISNUMBER(A31),COUNTIFS(Schedule!$H$2:$H$12,"&lt;"&amp;ROUND(B31*1440,0),Schedule!$I$2:$I$12,"&gt;"&amp;ROUND(A31*1440,0)),"")</f>
        <v/>
      </c>
      <c r="D31" s="9">
        <f>IF(C31="","",IF(C31=0,"Open",IF(C31=1,"Taken","Shared slot")))</f>
        <v/>
      </c>
    </row>
    <row r="32">
      <c r="A32" s="7">
        <f>IF(ISNUMBER(A31),IF(AND(ROUND(A31*1440,0)+$B$2&lt;1440,ROUND(A31*1440,0)+$B$2&lt;ROUND($B$3*1440,0)),(ROUND(A31*1440,0)+$B$2)/1440,""),"")</f>
        <v/>
      </c>
      <c r="B32" s="7">
        <f>IF(ISNUMBER(A32),(ROUND(A32*1440,0)+$B$2)/1440,"")</f>
        <v/>
      </c>
      <c r="C32" s="8">
        <f>IF(ISNUMBER(A32),COUNTIFS(Schedule!$H$2:$H$12,"&lt;"&amp;ROUND(B32*1440,0),Schedule!$I$2:$I$12,"&gt;"&amp;ROUND(A32*1440,0)),"")</f>
        <v/>
      </c>
      <c r="D32" s="9">
        <f>IF(C32="","",IF(C32=0,"Open",IF(C32=1,"Taken","Shared slot")))</f>
        <v/>
      </c>
    </row>
    <row r="33">
      <c r="A33" s="7">
        <f>IF(ISNUMBER(A32),IF(AND(ROUND(A32*1440,0)+$B$2&lt;1440,ROUND(A32*1440,0)+$B$2&lt;ROUND($B$3*1440,0)),(ROUND(A32*1440,0)+$B$2)/1440,""),"")</f>
        <v/>
      </c>
      <c r="B33" s="7">
        <f>IF(ISNUMBER(A33),(ROUND(A33*1440,0)+$B$2)/1440,"")</f>
        <v/>
      </c>
      <c r="C33" s="8">
        <f>IF(ISNUMBER(A33),COUNTIFS(Schedule!$H$2:$H$12,"&lt;"&amp;ROUND(B33*1440,0),Schedule!$I$2:$I$12,"&gt;"&amp;ROUND(A33*1440,0)),"")</f>
        <v/>
      </c>
      <c r="D33" s="9">
        <f>IF(C33="","",IF(C33=0,"Open",IF(C33=1,"Taken","Shared slot")))</f>
        <v/>
      </c>
    </row>
    <row r="34">
      <c r="A34" s="7">
        <f>IF(ISNUMBER(A33),IF(AND(ROUND(A33*1440,0)+$B$2&lt;1440,ROUND(A33*1440,0)+$B$2&lt;ROUND($B$3*1440,0)),(ROUND(A33*1440,0)+$B$2)/1440,""),"")</f>
        <v/>
      </c>
      <c r="B34" s="7">
        <f>IF(ISNUMBER(A34),(ROUND(A34*1440,0)+$B$2)/1440,"")</f>
        <v/>
      </c>
      <c r="C34" s="8">
        <f>IF(ISNUMBER(A34),COUNTIFS(Schedule!$H$2:$H$12,"&lt;"&amp;ROUND(B34*1440,0),Schedule!$I$2:$I$12,"&gt;"&amp;ROUND(A34*1440,0)),"")</f>
        <v/>
      </c>
      <c r="D34" s="9">
        <f>IF(C34="","",IF(C34=0,"Open",IF(C34=1,"Taken","Shared slot")))</f>
        <v/>
      </c>
    </row>
    <row r="35">
      <c r="A35" s="7">
        <f>IF(ISNUMBER(A34),IF(AND(ROUND(A34*1440,0)+$B$2&lt;1440,ROUND(A34*1440,0)+$B$2&lt;ROUND($B$3*1440,0)),(ROUND(A34*1440,0)+$B$2)/1440,""),"")</f>
        <v/>
      </c>
      <c r="B35" s="7">
        <f>IF(ISNUMBER(A35),(ROUND(A35*1440,0)+$B$2)/1440,"")</f>
        <v/>
      </c>
      <c r="C35" s="8">
        <f>IF(ISNUMBER(A35),COUNTIFS(Schedule!$H$2:$H$12,"&lt;"&amp;ROUND(B35*1440,0),Schedule!$I$2:$I$12,"&gt;"&amp;ROUND(A35*1440,0)),"")</f>
        <v/>
      </c>
      <c r="D35" s="9">
        <f>IF(C35="","",IF(C35=0,"Open",IF(C35=1,"Taken","Shared slot")))</f>
        <v/>
      </c>
    </row>
    <row r="36">
      <c r="A36" s="7">
        <f>IF(ISNUMBER(A35),IF(AND(ROUND(A35*1440,0)+$B$2&lt;1440,ROUND(A35*1440,0)+$B$2&lt;ROUND($B$3*1440,0)),(ROUND(A35*1440,0)+$B$2)/1440,""),"")</f>
        <v/>
      </c>
      <c r="B36" s="7">
        <f>IF(ISNUMBER(A36),(ROUND(A36*1440,0)+$B$2)/1440,"")</f>
        <v/>
      </c>
      <c r="C36" s="8">
        <f>IF(ISNUMBER(A36),COUNTIFS(Schedule!$H$2:$H$12,"&lt;"&amp;ROUND(B36*1440,0),Schedule!$I$2:$I$12,"&gt;"&amp;ROUND(A36*1440,0)),"")</f>
        <v/>
      </c>
      <c r="D36" s="9">
        <f>IF(C36="","",IF(C36=0,"Open",IF(C36=1,"Taken","Shared slot")))</f>
        <v/>
      </c>
    </row>
    <row r="37">
      <c r="A37" s="7">
        <f>IF(ISNUMBER(A36),IF(AND(ROUND(A36*1440,0)+$B$2&lt;1440,ROUND(A36*1440,0)+$B$2&lt;ROUND($B$3*1440,0)),(ROUND(A36*1440,0)+$B$2)/1440,""),"")</f>
        <v/>
      </c>
      <c r="B37" s="7">
        <f>IF(ISNUMBER(A37),(ROUND(A37*1440,0)+$B$2)/1440,"")</f>
        <v/>
      </c>
      <c r="C37" s="8">
        <f>IF(ISNUMBER(A37),COUNTIFS(Schedule!$H$2:$H$12,"&lt;"&amp;ROUND(B37*1440,0),Schedule!$I$2:$I$12,"&gt;"&amp;ROUND(A37*1440,0)),"")</f>
        <v/>
      </c>
      <c r="D37" s="9">
        <f>IF(C37="","",IF(C37=0,"Open",IF(C37=1,"Taken","Shared slot")))</f>
        <v/>
      </c>
    </row>
    <row r="38">
      <c r="A38" s="7">
        <f>IF(ISNUMBER(A37),IF(AND(ROUND(A37*1440,0)+$B$2&lt;1440,ROUND(A37*1440,0)+$B$2&lt;ROUND($B$3*1440,0)),(ROUND(A37*1440,0)+$B$2)/1440,""),"")</f>
        <v/>
      </c>
      <c r="B38" s="7">
        <f>IF(ISNUMBER(A38),(ROUND(A38*1440,0)+$B$2)/1440,"")</f>
        <v/>
      </c>
      <c r="C38" s="8">
        <f>IF(ISNUMBER(A38),COUNTIFS(Schedule!$H$2:$H$12,"&lt;"&amp;ROUND(B38*1440,0),Schedule!$I$2:$I$12,"&gt;"&amp;ROUND(A38*1440,0)),"")</f>
        <v/>
      </c>
      <c r="D38" s="9">
        <f>IF(C38="","",IF(C38=0,"Open",IF(C38=1,"Taken","Shared slot")))</f>
        <v/>
      </c>
    </row>
    <row r="39">
      <c r="A39" s="7">
        <f>IF(ISNUMBER(A38),IF(AND(ROUND(A38*1440,0)+$B$2&lt;1440,ROUND(A38*1440,0)+$B$2&lt;ROUND($B$3*1440,0)),(ROUND(A38*1440,0)+$B$2)/1440,""),"")</f>
        <v/>
      </c>
      <c r="B39" s="7">
        <f>IF(ISNUMBER(A39),(ROUND(A39*1440,0)+$B$2)/1440,"")</f>
        <v/>
      </c>
      <c r="C39" s="8">
        <f>IF(ISNUMBER(A39),COUNTIFS(Schedule!$H$2:$H$12,"&lt;"&amp;ROUND(B39*1440,0),Schedule!$I$2:$I$12,"&gt;"&amp;ROUND(A39*1440,0)),"")</f>
        <v/>
      </c>
      <c r="D39" s="9">
        <f>IF(C39="","",IF(C39=0,"Open",IF(C39=1,"Taken","Shared slot")))</f>
        <v/>
      </c>
    </row>
    <row r="40">
      <c r="A40" s="7">
        <f>IF(ISNUMBER(A39),IF(AND(ROUND(A39*1440,0)+$B$2&lt;1440,ROUND(A39*1440,0)+$B$2&lt;ROUND($B$3*1440,0)),(ROUND(A39*1440,0)+$B$2)/1440,""),"")</f>
        <v/>
      </c>
      <c r="B40" s="7">
        <f>IF(ISNUMBER(A40),(ROUND(A40*1440,0)+$B$2)/1440,"")</f>
        <v/>
      </c>
      <c r="C40" s="8">
        <f>IF(ISNUMBER(A40),COUNTIFS(Schedule!$H$2:$H$12,"&lt;"&amp;ROUND(B40*1440,0),Schedule!$I$2:$I$12,"&gt;"&amp;ROUND(A40*1440,0)),"")</f>
        <v/>
      </c>
      <c r="D40" s="9">
        <f>IF(C40="","",IF(C40=0,"Open",IF(C40=1,"Taken","Shared slot")))</f>
        <v/>
      </c>
    </row>
    <row r="41">
      <c r="A41" s="7">
        <f>IF(ISNUMBER(A40),IF(AND(ROUND(A40*1440,0)+$B$2&lt;1440,ROUND(A40*1440,0)+$B$2&lt;ROUND($B$3*1440,0)),(ROUND(A40*1440,0)+$B$2)/1440,""),"")</f>
        <v/>
      </c>
      <c r="B41" s="7">
        <f>IF(ISNUMBER(A41),(ROUND(A41*1440,0)+$B$2)/1440,"")</f>
        <v/>
      </c>
      <c r="C41" s="8">
        <f>IF(ISNUMBER(A41),COUNTIFS(Schedule!$H$2:$H$12,"&lt;"&amp;ROUND(B41*1440,0),Schedule!$I$2:$I$12,"&gt;"&amp;ROUND(A41*1440,0)),"")</f>
        <v/>
      </c>
      <c r="D41" s="9">
        <f>IF(C41="","",IF(C41=0,"Open",IF(C41=1,"Taken","Shared slot")))</f>
        <v/>
      </c>
    </row>
    <row r="42">
      <c r="A42" s="7">
        <f>IF(ISNUMBER(A41),IF(AND(ROUND(A41*1440,0)+$B$2&lt;1440,ROUND(A41*1440,0)+$B$2&lt;ROUND($B$3*1440,0)),(ROUND(A41*1440,0)+$B$2)/1440,""),"")</f>
        <v/>
      </c>
      <c r="B42" s="7">
        <f>IF(ISNUMBER(A42),(ROUND(A42*1440,0)+$B$2)/1440,"")</f>
        <v/>
      </c>
      <c r="C42" s="8">
        <f>IF(ISNUMBER(A42),COUNTIFS(Schedule!$H$2:$H$12,"&lt;"&amp;ROUND(B42*1440,0),Schedule!$I$2:$I$12,"&gt;"&amp;ROUND(A42*1440,0)),"")</f>
        <v/>
      </c>
      <c r="D42" s="9">
        <f>IF(C42="","",IF(C42=0,"Open",IF(C42=1,"Taken","Shared slot")))</f>
        <v/>
      </c>
    </row>
    <row r="43">
      <c r="A43" s="7">
        <f>IF(ISNUMBER(A42),IF(AND(ROUND(A42*1440,0)+$B$2&lt;1440,ROUND(A42*1440,0)+$B$2&lt;ROUND($B$3*1440,0)),(ROUND(A42*1440,0)+$B$2)/1440,""),"")</f>
        <v/>
      </c>
      <c r="B43" s="7">
        <f>IF(ISNUMBER(A43),(ROUND(A43*1440,0)+$B$2)/1440,"")</f>
        <v/>
      </c>
      <c r="C43" s="8">
        <f>IF(ISNUMBER(A43),COUNTIFS(Schedule!$H$2:$H$12,"&lt;"&amp;ROUND(B43*1440,0),Schedule!$I$2:$I$12,"&gt;"&amp;ROUND(A43*1440,0)),"")</f>
        <v/>
      </c>
      <c r="D43" s="9">
        <f>IF(C43="","",IF(C43=0,"Open",IF(C43=1,"Taken","Shared slot")))</f>
        <v/>
      </c>
    </row>
    <row r="44">
      <c r="A44" s="7">
        <f>IF(ISNUMBER(A43),IF(AND(ROUND(A43*1440,0)+$B$2&lt;1440,ROUND(A43*1440,0)+$B$2&lt;ROUND($B$3*1440,0)),(ROUND(A43*1440,0)+$B$2)/1440,""),"")</f>
        <v/>
      </c>
      <c r="B44" s="7">
        <f>IF(ISNUMBER(A44),(ROUND(A44*1440,0)+$B$2)/1440,"")</f>
        <v/>
      </c>
      <c r="C44" s="8">
        <f>IF(ISNUMBER(A44),COUNTIFS(Schedule!$H$2:$H$12,"&lt;"&amp;ROUND(B44*1440,0),Schedule!$I$2:$I$12,"&gt;"&amp;ROUND(A44*1440,0)),"")</f>
        <v/>
      </c>
      <c r="D44" s="9">
        <f>IF(C44="","",IF(C44=0,"Open",IF(C44=1,"Taken","Shared slot")))</f>
        <v/>
      </c>
    </row>
    <row r="45">
      <c r="A45" s="7">
        <f>IF(ISNUMBER(A44),IF(AND(ROUND(A44*1440,0)+$B$2&lt;1440,ROUND(A44*1440,0)+$B$2&lt;ROUND($B$3*1440,0)),(ROUND(A44*1440,0)+$B$2)/1440,""),"")</f>
        <v/>
      </c>
      <c r="B45" s="7">
        <f>IF(ISNUMBER(A45),(ROUND(A45*1440,0)+$B$2)/1440,"")</f>
        <v/>
      </c>
      <c r="C45" s="8">
        <f>IF(ISNUMBER(A45),COUNTIFS(Schedule!$H$2:$H$12,"&lt;"&amp;ROUND(B45*1440,0),Schedule!$I$2:$I$12,"&gt;"&amp;ROUND(A45*1440,0)),"")</f>
        <v/>
      </c>
      <c r="D45" s="9">
        <f>IF(C45="","",IF(C45=0,"Open",IF(C45=1,"Taken","Shared slot")))</f>
        <v/>
      </c>
    </row>
    <row r="46">
      <c r="A46" s="7">
        <f>IF(ISNUMBER(A45),IF(AND(ROUND(A45*1440,0)+$B$2&lt;1440,ROUND(A45*1440,0)+$B$2&lt;ROUND($B$3*1440,0)),(ROUND(A45*1440,0)+$B$2)/1440,""),"")</f>
        <v/>
      </c>
      <c r="B46" s="7">
        <f>IF(ISNUMBER(A46),(ROUND(A46*1440,0)+$B$2)/1440,"")</f>
        <v/>
      </c>
      <c r="C46" s="8">
        <f>IF(ISNUMBER(A46),COUNTIFS(Schedule!$H$2:$H$12,"&lt;"&amp;ROUND(B46*1440,0),Schedule!$I$2:$I$12,"&gt;"&amp;ROUND(A46*1440,0)),"")</f>
        <v/>
      </c>
      <c r="D46" s="9">
        <f>IF(C46="","",IF(C46=0,"Open",IF(C46=1,"Taken","Shared slot")))</f>
        <v/>
      </c>
    </row>
    <row r="47">
      <c r="A47" s="7">
        <f>IF(ISNUMBER(A46),IF(AND(ROUND(A46*1440,0)+$B$2&lt;1440,ROUND(A46*1440,0)+$B$2&lt;ROUND($B$3*1440,0)),(ROUND(A46*1440,0)+$B$2)/1440,""),"")</f>
        <v/>
      </c>
      <c r="B47" s="7">
        <f>IF(ISNUMBER(A47),(ROUND(A47*1440,0)+$B$2)/1440,"")</f>
        <v/>
      </c>
      <c r="C47" s="8">
        <f>IF(ISNUMBER(A47),COUNTIFS(Schedule!$H$2:$H$12,"&lt;"&amp;ROUND(B47*1440,0),Schedule!$I$2:$I$12,"&gt;"&amp;ROUND(A47*1440,0)),"")</f>
        <v/>
      </c>
      <c r="D47" s="9">
        <f>IF(C47="","",IF(C47=0,"Open",IF(C47=1,"Taken","Shared slot")))</f>
        <v/>
      </c>
    </row>
    <row r="48">
      <c r="A48" s="7">
        <f>IF(ISNUMBER(A47),IF(AND(ROUND(A47*1440,0)+$B$2&lt;1440,ROUND(A47*1440,0)+$B$2&lt;ROUND($B$3*1440,0)),(ROUND(A47*1440,0)+$B$2)/1440,""),"")</f>
        <v/>
      </c>
      <c r="B48" s="7">
        <f>IF(ISNUMBER(A48),(ROUND(A48*1440,0)+$B$2)/1440,"")</f>
        <v/>
      </c>
      <c r="C48" s="8">
        <f>IF(ISNUMBER(A48),COUNTIFS(Schedule!$H$2:$H$12,"&lt;"&amp;ROUND(B48*1440,0),Schedule!$I$2:$I$12,"&gt;"&amp;ROUND(A48*1440,0)),"")</f>
        <v/>
      </c>
      <c r="D48" s="9">
        <f>IF(C48="","",IF(C48=0,"Open",IF(C48=1,"Taken","Shared slot")))</f>
        <v/>
      </c>
    </row>
    <row r="49">
      <c r="A49" s="7">
        <f>IF(ISNUMBER(A48),IF(AND(ROUND(A48*1440,0)+$B$2&lt;1440,ROUND(A48*1440,0)+$B$2&lt;ROUND($B$3*1440,0)),(ROUND(A48*1440,0)+$B$2)/1440,""),"")</f>
        <v/>
      </c>
      <c r="B49" s="7">
        <f>IF(ISNUMBER(A49),(ROUND(A49*1440,0)+$B$2)/1440,"")</f>
        <v/>
      </c>
      <c r="C49" s="8">
        <f>IF(ISNUMBER(A49),COUNTIFS(Schedule!$H$2:$H$12,"&lt;"&amp;ROUND(B49*1440,0),Schedule!$I$2:$I$12,"&gt;"&amp;ROUND(A49*1440,0)),"")</f>
        <v/>
      </c>
      <c r="D49" s="9">
        <f>IF(C49="","",IF(C49=0,"Open",IF(C49=1,"Taken","Shared slot")))</f>
        <v/>
      </c>
    </row>
    <row r="50">
      <c r="A50" s="7">
        <f>IF(ISNUMBER(A49),IF(AND(ROUND(A49*1440,0)+$B$2&lt;1440,ROUND(A49*1440,0)+$B$2&lt;ROUND($B$3*1440,0)),(ROUND(A49*1440,0)+$B$2)/1440,""),"")</f>
        <v/>
      </c>
      <c r="B50" s="7">
        <f>IF(ISNUMBER(A50),(ROUND(A50*1440,0)+$B$2)/1440,"")</f>
        <v/>
      </c>
      <c r="C50" s="8">
        <f>IF(ISNUMBER(A50),COUNTIFS(Schedule!$H$2:$H$12,"&lt;"&amp;ROUND(B50*1440,0),Schedule!$I$2:$I$12,"&gt;"&amp;ROUND(A50*1440,0)),"")</f>
        <v/>
      </c>
      <c r="D50" s="9">
        <f>IF(C50="","",IF(C50=0,"Open",IF(C50=1,"Taken","Shared slot")))</f>
        <v/>
      </c>
    </row>
    <row r="51">
      <c r="A51" s="7">
        <f>IF(ISNUMBER(A50),IF(AND(ROUND(A50*1440,0)+$B$2&lt;1440,ROUND(A50*1440,0)+$B$2&lt;ROUND($B$3*1440,0)),(ROUND(A50*1440,0)+$B$2)/1440,""),"")</f>
        <v/>
      </c>
      <c r="B51" s="7">
        <f>IF(ISNUMBER(A51),(ROUND(A51*1440,0)+$B$2)/1440,"")</f>
        <v/>
      </c>
      <c r="C51" s="8">
        <f>IF(ISNUMBER(A51),COUNTIFS(Schedule!$H$2:$H$12,"&lt;"&amp;ROUND(B51*1440,0),Schedule!$I$2:$I$12,"&gt;"&amp;ROUND(A51*1440,0)),"")</f>
        <v/>
      </c>
      <c r="D51" s="9">
        <f>IF(C51="","",IF(C51=0,"Open",IF(C51=1,"Taken","Shared slot")))</f>
        <v/>
      </c>
    </row>
    <row r="52">
      <c r="A52" s="7">
        <f>IF(ISNUMBER(A51),IF(AND(ROUND(A51*1440,0)+$B$2&lt;1440,ROUND(A51*1440,0)+$B$2&lt;ROUND($B$3*1440,0)),(ROUND(A51*1440,0)+$B$2)/1440,""),"")</f>
        <v/>
      </c>
      <c r="B52" s="7">
        <f>IF(ISNUMBER(A52),(ROUND(A52*1440,0)+$B$2)/1440,"")</f>
        <v/>
      </c>
      <c r="C52" s="8">
        <f>IF(ISNUMBER(A52),COUNTIFS(Schedule!$H$2:$H$12,"&lt;"&amp;ROUND(B52*1440,0),Schedule!$I$2:$I$12,"&gt;"&amp;ROUND(A52*1440,0)),"")</f>
        <v/>
      </c>
      <c r="D52" s="9">
        <f>IF(C52="","",IF(C52=0,"Open",IF(C52=1,"Taken","Shared slot")))</f>
        <v/>
      </c>
    </row>
  </sheetData>
  <conditionalFormatting sqref="A5:D52">
    <cfRule type="expression" priority="1" dxfId="2">
      <formula>$D5="Taken"</formula>
    </cfRule>
    <cfRule type="expression" priority="2" dxfId="0">
      <formula>$D5="Shared slot"</formula>
    </cfRule>
  </conditionalFormatting>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14" t="inlineStr">
        <is>
          <t>Tidy Tabs: Appointment Schedule With End Times, Gaps and Buffers</t>
        </is>
      </c>
    </row>
    <row r="2">
      <c r="A2" s="15" t="inlineStr"/>
    </row>
    <row r="3">
      <c r="A3" s="15" t="inlineStr">
        <is>
          <t>1. Schedule tab: type the client (A), service (B), start time (C) and length in whole minutes (D). They are yellow. Type times as 9:00 AM and list the day in start-time order, rows 2 to 12. L1 is the buffer you want between appointments, in minutes.</t>
        </is>
      </c>
    </row>
    <row r="4">
      <c r="A4" s="15" t="inlineStr">
        <is>
          <t>2. End time, E2 =C2+D2/1440. A day has 24 x 60 = 1,440 minutes, so minutes divided by 1440 is the part of a day to add. Format the result as a time.</t>
        </is>
      </c>
    </row>
    <row r="5">
      <c r="A5" s="15" t="inlineStr">
        <is>
          <t>3. Gap to next, F2 =ROUND((C3-E2)*1440,0): the next start minus this end, times 1440, rounded to whole minutes. The ROUND stops times stored as fractions of a day from showing 14.999999 instead of 15.</t>
        </is>
      </c>
    </row>
    <row r="6">
      <c r="A6" s="15" t="inlineStr">
        <is>
          <t>4. Status, G2: Short buffer when the gap is under L1, Overlap when it is negative, OK otherwise. Last is the final appointment. Past midnight means the end time is on the next day (the time shown wraps around); the sheet does not plan across days. Check means a start that is not a time of day, minutes that are not a whole number above 0, text, or a buffer in L1 that is not a number. Out of order means the next row starts earlier.</t>
        </is>
      </c>
    </row>
    <row r="7">
      <c r="A7" s="15" t="inlineStr">
        <is>
          <t>5. Totals, L2:L8: booked minutes, first start, last end, open minutes between (first start to last end minus booked). L8 shows OK when booked minutes plus the gaps equal the time from first start to last end. It says Fix rows first while a row is Overlap, Past midnight, Check or Out of order, and CHECK if a blank row sits in the middle of the list.</t>
        </is>
      </c>
    </row>
    <row r="8">
      <c r="A8" s="15" t="inlineStr">
        <is>
          <t>6. Columns H and I turn start and end into whole minutes of the day (9:00 AM is 540). The Slots tab compares those whole numbers so floating point does not move an appointment into the wrong slot.</t>
        </is>
      </c>
    </row>
    <row r="9">
      <c r="A9" s="15" t="inlineStr">
        <is>
          <t>7. Slots tab: type the opening time (B1), the slot length in whole minutes (B2) and the closing time (B3). A slot is Taken when one appointment starts before the slot ends and ends after the slot starts. Shared slot means two appointments touch the same slot (they can be back to back inside it). Open means none. Slots stop at the closing time; the table holds up to 48 slots.</t>
        </is>
      </c>
    </row>
    <row r="10">
      <c r="A10" s="15" t="inlineStr">
        <is>
          <t>8. Times and minutes only. No booking policy, deposit or pay rule.</t>
        </is>
      </c>
    </row>
    <row r="11">
      <c r="A11" s="15" t="inlineStr"/>
    </row>
    <row r="12">
      <c r="A12" s="15" t="inlineStr">
        <is>
          <t>Clients, pets and times are fictional. Checked in LibreOffice Calc only; not opened in Excel or Google Sheets.</t>
        </is>
      </c>
    </row>
    <row r="13">
      <c r="A13" s="15"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2026-10-20T07:45:00Z</dcterms:created>
  <dcterms:modified xmlns:dcterms="http://purl.org/dc/terms/" xmlns:xsi="http://www.w3.org/2001/XMLSchema-instance" xsi:type="dcterms:W3CDTF">2026-10-20T07:45:00Z</dcterms:modified>
</cp:coreProperties>
</file>