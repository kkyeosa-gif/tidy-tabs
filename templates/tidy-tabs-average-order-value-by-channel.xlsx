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  <sheet xmlns:r="http://schemas.openxmlformats.org/officeDocument/2006/relationships" name="By channel" sheetId="2" state="visible" r:id="rId2"/>
    <sheet xmlns:r="http://schemas.openxmlformats.org/officeDocument/2006/relationships" name="How to u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mm/dd/yyyy"/>
    <numFmt numFmtId="166" formatCode="&quot;$&quot;#,##0.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2E5E4E"/>
      </patternFill>
    </fill>
    <fill>
      <patternFill patternType="solid">
        <fgColor rgb="00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5" fontId="0" fillId="0" borderId="0" pivotButton="0" quotePrefix="0" xfId="0"/>
    <xf numFmtId="166" fontId="0" fillId="0" borderId="0" pivotButton="0" quotePrefix="0" xfId="0"/>
    <xf numFmtId="0" fontId="0" fillId="3" borderId="0" pivotButton="0" quotePrefix="0" xfId="0"/>
    <xf numFmtId="166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2" customWidth="1" min="3" max="3"/>
  </cols>
  <sheetData>
    <row r="1" ht="30" customHeight="1">
      <c r="A1" s="1" t="inlineStr">
        <is>
          <t>Order date</t>
        </is>
      </c>
      <c r="B1" s="1" t="inlineStr">
        <is>
          <t>Channel</t>
        </is>
      </c>
      <c r="C1" s="1" t="inlineStr">
        <is>
          <t>Amount</t>
        </is>
      </c>
    </row>
    <row r="2">
      <c r="A2" s="2" t="n">
        <v>46268</v>
      </c>
      <c r="B2" t="inlineStr">
        <is>
          <t>Etsy</t>
        </is>
      </c>
      <c r="C2" s="3" t="n">
        <v>34</v>
      </c>
    </row>
    <row r="3">
      <c r="A3" s="2" t="n">
        <v>46270</v>
      </c>
      <c r="B3" t="inlineStr">
        <is>
          <t>Farmers market</t>
        </is>
      </c>
      <c r="C3" s="3" t="n">
        <v>22</v>
      </c>
    </row>
    <row r="4">
      <c r="A4" s="2" t="n">
        <v>46273</v>
      </c>
      <c r="B4" t="inlineStr">
        <is>
          <t>Shopify</t>
        </is>
      </c>
      <c r="C4" s="3" t="n">
        <v>78</v>
      </c>
    </row>
    <row r="5">
      <c r="A5" s="2" t="n">
        <v>46277</v>
      </c>
      <c r="B5" t="inlineStr">
        <is>
          <t>Etsy</t>
        </is>
      </c>
      <c r="C5" s="3" t="n">
        <v>52.5</v>
      </c>
    </row>
    <row r="6">
      <c r="A6" s="2" t="n">
        <v>46278</v>
      </c>
      <c r="B6" t="inlineStr">
        <is>
          <t>Farmers market</t>
        </is>
      </c>
      <c r="C6" s="3" t="n">
        <v>35.5</v>
      </c>
    </row>
    <row r="7">
      <c r="A7" s="2" t="n">
        <v>46282</v>
      </c>
      <c r="B7" t="inlineStr">
        <is>
          <t>Shopify</t>
        </is>
      </c>
      <c r="C7" s="3" t="n">
        <v>45</v>
      </c>
    </row>
    <row r="8">
      <c r="A8" s="2" t="n">
        <v>46285</v>
      </c>
      <c r="B8" t="inlineStr">
        <is>
          <t>Farmers market</t>
        </is>
      </c>
      <c r="C8" s="3" t="n">
        <v>18.5</v>
      </c>
    </row>
    <row r="9">
      <c r="A9" s="2" t="n">
        <v>46289</v>
      </c>
      <c r="B9" t="inlineStr">
        <is>
          <t>Etsy</t>
        </is>
      </c>
      <c r="C9" s="3" t="n">
        <v>29</v>
      </c>
    </row>
    <row r="10">
      <c r="A10" s="2" t="n">
        <v>46292</v>
      </c>
      <c r="B10" t="inlineStr">
        <is>
          <t>Shopify</t>
        </is>
      </c>
      <c r="C10" s="3" t="n">
        <v>96.5</v>
      </c>
    </row>
    <row r="11">
      <c r="A11" s="2" t="n">
        <v>46293</v>
      </c>
      <c r="B11" t="inlineStr">
        <is>
          <t>Farmers market</t>
        </is>
      </c>
      <c r="C11" s="3" t="n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3" customWidth="1" min="3" max="3"/>
    <col width="20" customWidth="1" min="4" max="4"/>
    <col width="24" customWidth="1" min="5" max="5"/>
  </cols>
  <sheetData>
    <row r="1" ht="30" customHeight="1">
      <c r="A1" s="1" t="inlineStr">
        <is>
          <t>Channel</t>
        </is>
      </c>
      <c r="B1" s="1" t="inlineStr">
        <is>
          <t>Orders</t>
        </is>
      </c>
      <c r="C1" s="1" t="inlineStr">
        <is>
          <t>Revenue</t>
        </is>
      </c>
      <c r="D1" s="1" t="inlineStr">
        <is>
          <t>Average order value</t>
        </is>
      </c>
      <c r="E1" s="1" t="inlineStr">
        <is>
          <t>Check (revenue / orders)</t>
        </is>
      </c>
    </row>
    <row r="2">
      <c r="A2" t="inlineStr">
        <is>
          <t>Etsy</t>
        </is>
      </c>
      <c r="B2" s="4">
        <f>COUNTIFS(Orders!$B$2:$B$200,A2)</f>
        <v/>
      </c>
      <c r="C2" s="5">
        <f>SUMIFS(Orders!$C$2:$C$200,Orders!$B$2:$B$200,A2)</f>
        <v/>
      </c>
      <c r="D2" s="5">
        <f>AVERAGEIFS(Orders!$C$2:$C$200,Orders!$B$2:$B$200,A2)</f>
        <v/>
      </c>
      <c r="E2" s="5">
        <f>C2/B2</f>
        <v/>
      </c>
    </row>
    <row r="3">
      <c r="A3" t="inlineStr">
        <is>
          <t>Shopify</t>
        </is>
      </c>
      <c r="B3" s="4">
        <f>COUNTIFS(Orders!$B$2:$B$200,A3)</f>
        <v/>
      </c>
      <c r="C3" s="5">
        <f>SUMIFS(Orders!$C$2:$C$200,Orders!$B$2:$B$200,A3)</f>
        <v/>
      </c>
      <c r="D3" s="5">
        <f>AVERAGEIFS(Orders!$C$2:$C$200,Orders!$B$2:$B$200,A3)</f>
        <v/>
      </c>
      <c r="E3" s="5">
        <f>C3/B3</f>
        <v/>
      </c>
    </row>
    <row r="4">
      <c r="A4" t="inlineStr">
        <is>
          <t>Farmers market</t>
        </is>
      </c>
      <c r="B4" s="4">
        <f>COUNTIFS(Orders!$B$2:$B$200,A4)</f>
        <v/>
      </c>
      <c r="C4" s="5">
        <f>SUMIFS(Orders!$C$2:$C$200,Orders!$B$2:$B$200,A4)</f>
        <v/>
      </c>
      <c r="D4" s="5">
        <f>AVERAGEIFS(Orders!$C$2:$C$200,Orders!$B$2:$B$200,A4)</f>
        <v/>
      </c>
      <c r="E4" s="5">
        <f>C4/B4</f>
        <v/>
      </c>
    </row>
    <row r="5">
      <c r="A5" s="6" t="inlineStr">
        <is>
          <t>All channels</t>
        </is>
      </c>
      <c r="B5">
        <f>SUM(B2:B4)</f>
        <v/>
      </c>
      <c r="C5" s="3">
        <f>SUM(C2:C4)</f>
        <v/>
      </c>
      <c r="D5" s="3">
        <f>AVERAGE(Orders!C2:C200)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7" t="inlineStr">
        <is>
          <t>Tidy Tabs: Average Order Value by Sales Channel With AVERAGEIFS</t>
        </is>
      </c>
    </row>
    <row r="2">
      <c r="A2" t="inlineStr"/>
    </row>
    <row r="3">
      <c r="A3" t="inlineStr">
        <is>
          <t>1. Orders tab: one row per order with the date, the sales channel, and the order amount. Type each channel name exactly the same way every time.</t>
        </is>
      </c>
    </row>
    <row r="4">
      <c r="A4" t="inlineStr">
        <is>
          <t>2. By channel, column D: =AVERAGEIFS(Orders!$C$2:$C$200,Orders!$B$2:$B$200,A2). The first argument is the range to average, then the range to test and the value it must match.</t>
        </is>
      </c>
    </row>
    <row r="5">
      <c r="A5" t="inlineStr">
        <is>
          <t>3. Column B: =COUNTIFS(Orders!$B$2:$B$200,A2) counts the orders, and column C adds the revenue with SUMIFS.</t>
        </is>
      </c>
    </row>
    <row r="6">
      <c r="A6" t="inlineStr">
        <is>
          <t>4. Column E divides revenue by orders. It should equal column D; if it does not, a row has a text amount or a blank.</t>
        </is>
      </c>
    </row>
    <row r="7">
      <c r="A7" t="inlineStr">
        <is>
          <t>5. If a channel has no orders, AVERAGEIFS returns #DIV/0!. Wrap it in IFERROR(...,"") if you list channels you have not sold through yet.</t>
        </is>
      </c>
    </row>
    <row r="8">
      <c r="A8" t="inlineStr">
        <is>
          <t>6. To average only one month, add two more date conditions, for example Orders!$A$2:$A$200,"&gt;="&amp;DATE(2026,9,1).</t>
        </is>
      </c>
    </row>
    <row r="9">
      <c r="A9" t="inlineStr">
        <is>
          <t>7. Row 5 is the average across all channels. It is the average of orders, not the average of the three channel averages.</t>
        </is>
      </c>
    </row>
    <row r="10">
      <c r="A10" t="inlineStr"/>
    </row>
    <row r="11">
      <c r="A11" t="inlineStr">
        <is>
          <t>Orders and amounts are fictional. Checked in LibreOffice Calc only; not opened in Excel or Google Sheets.</t>
        </is>
      </c>
    </row>
    <row r="12">
      <c r="A12" t="inlineStr">
        <is>
          <t>Google Sheets: File &gt; Import &gt; Upload this .xlsx.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2026-10-08T07:27:17Z</dcterms:created>
  <dcterms:modified xmlns:dcterms="http://purl.org/dc/terms/" xmlns:xsi="http://www.w3.org/2001/XMLSchema-instance" xsi:type="dcterms:W3CDTF">2026-10-08T07:27:17Z</dcterms:modified>
</cp:coreProperties>
</file>