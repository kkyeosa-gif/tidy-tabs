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cost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'Batch cost'!$1:$1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5" customWidth="1" min="4" max="4"/>
    <col width="15" customWidth="1" min="5" max="5"/>
    <col width="32" customWidth="1" min="7" max="7"/>
    <col width="13" customWidth="1" min="8" max="8"/>
  </cols>
  <sheetData>
    <row r="1" ht="30" customHeight="1">
      <c r="A1" s="1" t="inlineStr">
        <is>
          <t>Material</t>
        </is>
      </c>
      <c r="B1" s="1" t="inlineStr">
        <is>
          <t>Package price</t>
        </is>
      </c>
      <c r="C1" s="1" t="inlineStr">
        <is>
          <t>Units per package</t>
        </is>
      </c>
      <c r="D1" s="1" t="inlineStr">
        <is>
          <t>Units used in batch</t>
        </is>
      </c>
      <c r="E1" s="1" t="inlineStr">
        <is>
          <t>Cost for batch</t>
        </is>
      </c>
      <c r="G1" s="2" t="inlineStr">
        <is>
          <t>Batch settings</t>
        </is>
      </c>
    </row>
    <row r="2">
      <c r="A2" t="inlineStr">
        <is>
          <t>Soy wax (lb)</t>
        </is>
      </c>
      <c r="B2" s="3" t="n">
        <v>42</v>
      </c>
      <c r="C2" t="n">
        <v>10</v>
      </c>
      <c r="D2" t="n">
        <v>4.5</v>
      </c>
      <c r="E2" s="4">
        <f>ROUND(B2/C2*D2,2)</f>
        <v/>
      </c>
      <c r="G2" t="inlineStr">
        <is>
          <t>Items made</t>
        </is>
      </c>
      <c r="H2" s="5" t="n">
        <v>24</v>
      </c>
    </row>
    <row r="3">
      <c r="A3" t="inlineStr">
        <is>
          <t>Fragrance oil (oz)</t>
        </is>
      </c>
      <c r="B3" s="3" t="n">
        <v>28</v>
      </c>
      <c r="C3" t="n">
        <v>16</v>
      </c>
      <c r="D3" t="n">
        <v>2.4</v>
      </c>
      <c r="E3" s="4">
        <f>ROUND(B3/C3*D3,2)</f>
        <v/>
      </c>
      <c r="G3" t="inlineStr">
        <is>
          <t>Items lost or unsellable</t>
        </is>
      </c>
      <c r="H3" s="5" t="n">
        <v>2</v>
      </c>
    </row>
    <row r="4">
      <c r="A4" t="inlineStr">
        <is>
          <t>Cotton wicks</t>
        </is>
      </c>
      <c r="B4" s="3" t="n">
        <v>12</v>
      </c>
      <c r="C4" t="n">
        <v>100</v>
      </c>
      <c r="D4" t="n">
        <v>24</v>
      </c>
      <c r="E4" s="4">
        <f>ROUND(B4/C4*D4,2)</f>
        <v/>
      </c>
      <c r="G4" t="inlineStr">
        <is>
          <t>Items to sell</t>
        </is>
      </c>
      <c r="H4" s="6">
        <f>H2-H3</f>
        <v/>
      </c>
    </row>
    <row r="5">
      <c r="A5" t="inlineStr">
        <is>
          <t>Tin jars</t>
        </is>
      </c>
      <c r="B5" s="3" t="n">
        <v>60</v>
      </c>
      <c r="C5" t="n">
        <v>12</v>
      </c>
      <c r="D5" t="n">
        <v>24</v>
      </c>
      <c r="E5" s="4">
        <f>ROUND(B5/C5*D5,2)</f>
        <v/>
      </c>
      <c r="G5" t="inlineStr">
        <is>
          <t>Cost per item made</t>
        </is>
      </c>
      <c r="H5" s="4">
        <f>IF(H2&lt;=0,"",ROUND(E8/H2,2))</f>
        <v/>
      </c>
    </row>
    <row r="6">
      <c r="A6" t="inlineStr">
        <is>
          <t>Labels</t>
        </is>
      </c>
      <c r="B6" s="3" t="n">
        <v>9.5</v>
      </c>
      <c r="C6" t="n">
        <v>50</v>
      </c>
      <c r="D6" t="n">
        <v>24</v>
      </c>
      <c r="E6" s="4">
        <f>ROUND(B6/C6*D6,2)</f>
        <v/>
      </c>
      <c r="G6" t="inlineStr">
        <is>
          <t>Cost per sellable item</t>
        </is>
      </c>
      <c r="H6" s="4">
        <f>IF(H4&lt;=0,"",ROUND(E8/H4,2))</f>
        <v/>
      </c>
    </row>
    <row r="7">
      <c r="A7" t="inlineStr">
        <is>
          <t>Dye chips</t>
        </is>
      </c>
      <c r="B7" s="3" t="n">
        <v>6</v>
      </c>
      <c r="C7" t="n">
        <v>25</v>
      </c>
      <c r="D7" t="n">
        <v>3</v>
      </c>
      <c r="E7" s="4">
        <f>ROUND(B7/C7*D7,2)</f>
        <v/>
      </c>
    </row>
    <row r="8">
      <c r="A8" s="2" t="inlineStr">
        <is>
          <t>Total materials for the batch</t>
        </is>
      </c>
      <c r="E8" s="3">
        <f>SUM(E2:E7)</f>
        <v/>
      </c>
    </row>
  </sheetData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Tidy Tabs: Cost Per Unit for a Handmade Batch</t>
        </is>
      </c>
    </row>
    <row r="2">
      <c r="A2" s="8" t="inlineStr"/>
    </row>
    <row r="3">
      <c r="A3" s="8" t="inlineStr">
        <is>
          <t>1. Batch cost tab: list each material in A, what you paid for a package in B, how many units the package holds in C and how many units this batch uses in D.</t>
        </is>
      </c>
    </row>
    <row r="4">
      <c r="A4" s="8" t="inlineStr">
        <is>
          <t>2. E2: =ROUND(B2/C2*D2,2) is the price of one unit times the units used, rounded to cents. A $42.00 pail holding 10 lb costs $4.20 per lb, so 4.5 lb is $18.90.</t>
        </is>
      </c>
    </row>
    <row r="5">
      <c r="A5" s="8" t="inlineStr">
        <is>
          <t>3. E8: =SUM(E2:E7) is the total materials for the batch.</t>
        </is>
      </c>
    </row>
    <row r="6">
      <c r="A6" s="8" t="inlineStr">
        <is>
          <t>4. H2 is how many items the batch made and H3 how many you cannot sell (broken, test pours, samples you give away). H4: =H2-H3.</t>
        </is>
      </c>
    </row>
    <row r="7">
      <c r="A7" s="8" t="inlineStr">
        <is>
          <t>5. H5: =IF(H2&lt;=0,"",ROUND(E8/H2,2)) divides the total by items made. H6: =IF(H4&lt;=0,"",ROUND(E8/H4,2)) divides by items you can sell. The second number is the one to price from.</t>
        </is>
      </c>
    </row>
    <row r="8">
      <c r="A8" s="8" t="inlineStr">
        <is>
          <t>6. Only materials are counted. Your time, packaging you buy separately, fees, shipping and overhead are not in this sheet.</t>
        </is>
      </c>
    </row>
    <row r="9">
      <c r="A9" s="8" t="inlineStr">
        <is>
          <t>7. Units must match inside a row: if the package is priced per pound, the units used are pounds, not ounces.</t>
        </is>
      </c>
    </row>
    <row r="10">
      <c r="A10" s="8" t="inlineStr"/>
    </row>
    <row r="11">
      <c r="A11" s="8" t="inlineStr">
        <is>
          <t>Materials, prices and counts are fictional. Checked in LibreOffice Calc only; not opened in Excel or Google Sheets.</t>
        </is>
      </c>
    </row>
    <row r="12">
      <c r="A12" s="8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2026-10-11T07:28:26Z</dcterms:created>
  <dcterms:modified xmlns:dcterms="http://purl.org/dc/terms/" xmlns:xsi="http://www.w3.org/2001/XMLSchema-instance" xsi:type="dcterms:W3CDTF">2026-10-11T07:28:26Z</dcterms:modified>
</cp:coreProperties>
</file>