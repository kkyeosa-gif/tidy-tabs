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Helper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How to use" sheetId="4" state="visible" r:id="rId4"/>
  </sheets>
  <definedNames>
    <definedName name="_xlnm.Print_Titles" localSheetId="0">'Orders'!$1:$1</definedName>
    <definedName name="_xlnm.Print_Area" localSheetId="0">'Orders'!$A$1:$E$50</definedName>
    <definedName name="_xlnm.Print_Titles" localSheetId="1">'Helpers'!$1:$1</definedName>
    <definedName name="_xlnm.Print_Titles" localSheetId="2">'Summary'!$1:$1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i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2E5E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4" borderId="0" applyAlignment="1" pivotButton="0" quotePrefix="0" xfId="0">
      <alignment vertical="center" wrapText="1"/>
    </xf>
    <xf numFmtId="0" fontId="0" fillId="2" borderId="0" applyAlignment="1" pivotButton="0" quotePrefix="0" xfId="0">
      <alignment horizontal="left"/>
    </xf>
    <xf numFmtId="0" fontId="0" fillId="3" borderId="0" applyAlignment="1" pivotButton="0" quotePrefix="0" xfId="0">
      <alignment horizontal="right"/>
    </xf>
    <xf numFmtId="0" fontId="3" fillId="0" borderId="0" pivotButton="0" quotePrefix="0" xfId="0"/>
    <xf numFmtId="1" fontId="0" fillId="3" borderId="0" applyAlignment="1" pivotButton="0" quotePrefix="0" xfId="0">
      <alignment horizontal="right"/>
    </xf>
    <xf numFmtId="0" fontId="2" fillId="4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6" customWidth="1" min="5" max="5"/>
  </cols>
  <sheetData>
    <row r="1">
      <c r="A1" s="1" t="inlineStr">
        <is>
          <t>Batch size</t>
        </is>
      </c>
      <c r="B1" s="2" t="n">
        <v>10</v>
      </c>
    </row>
    <row r="2">
      <c r="A2" s="1" t="inlineStr">
        <is>
          <t>Batch size check</t>
        </is>
      </c>
      <c r="B2" s="3">
        <f>IF(ISNUMBER(B1),IF(AND(B1&gt;=1,B1=INT(B1)),"OK","Batch size must be a whole number, 1 or more"),"Batch size must be a number")</f>
        <v/>
      </c>
    </row>
    <row r="4" ht="32" customHeight="1">
      <c r="A4" s="4" t="inlineStr">
        <is>
          <t>Order number</t>
        </is>
      </c>
      <c r="B4" s="4" t="inlineStr">
        <is>
          <t>Item no.</t>
        </is>
      </c>
      <c r="C4" s="4" t="inlineStr">
        <is>
          <t>Batch</t>
        </is>
      </c>
      <c r="D4" s="4" t="inlineStr">
        <is>
          <t>Position in batch</t>
        </is>
      </c>
      <c r="E4" s="4" t="inlineStr">
        <is>
          <t>Helper</t>
        </is>
      </c>
    </row>
    <row r="5">
      <c r="A5" s="5" t="n">
        <v>4101</v>
      </c>
      <c r="B5" s="6">
        <f>IF(A5="","",COUNTA($A$5:A5))</f>
        <v/>
      </c>
      <c r="C5" s="6">
        <f>IF(B5="","",IF($B$2="OK",INT((B5-1)/$B$1)+1,"Check batch size"))</f>
        <v/>
      </c>
      <c r="D5" s="6">
        <f>IF(B5="","",IF($B$2="OK",MOD(B5-1,$B$1)+1,"Check batch size"))</f>
        <v/>
      </c>
      <c r="E5" s="6">
        <f>IF(B5="","",IF(COUNTA(Helpers!$A$4:$A$8)=0,"No helper",INDEX(Helpers!$A$4:$A$8,MOD(B5-1,COUNTA(Helpers!$A$4:$A$8))+1)&amp;""))</f>
        <v/>
      </c>
    </row>
    <row r="6">
      <c r="A6" s="5" t="n">
        <v>4102</v>
      </c>
      <c r="B6" s="6">
        <f>IF(A6="","",COUNTA($A$5:A6))</f>
        <v/>
      </c>
      <c r="C6" s="6">
        <f>IF(B6="","",IF($B$2="OK",INT((B6-1)/$B$1)+1,"Check batch size"))</f>
        <v/>
      </c>
      <c r="D6" s="6">
        <f>IF(B6="","",IF($B$2="OK",MOD(B6-1,$B$1)+1,"Check batch size"))</f>
        <v/>
      </c>
      <c r="E6" s="6">
        <f>IF(B6="","",IF(COUNTA(Helpers!$A$4:$A$8)=0,"No helper",INDEX(Helpers!$A$4:$A$8,MOD(B6-1,COUNTA(Helpers!$A$4:$A$8))+1)&amp;""))</f>
        <v/>
      </c>
    </row>
    <row r="7">
      <c r="A7" s="5" t="n">
        <v>4103</v>
      </c>
      <c r="B7" s="6">
        <f>IF(A7="","",COUNTA($A$5:A7))</f>
        <v/>
      </c>
      <c r="C7" s="6">
        <f>IF(B7="","",IF($B$2="OK",INT((B7-1)/$B$1)+1,"Check batch size"))</f>
        <v/>
      </c>
      <c r="D7" s="6">
        <f>IF(B7="","",IF($B$2="OK",MOD(B7-1,$B$1)+1,"Check batch size"))</f>
        <v/>
      </c>
      <c r="E7" s="6">
        <f>IF(B7="","",IF(COUNTA(Helpers!$A$4:$A$8)=0,"No helper",INDEX(Helpers!$A$4:$A$8,MOD(B7-1,COUNTA(Helpers!$A$4:$A$8))+1)&amp;""))</f>
        <v/>
      </c>
    </row>
    <row r="8">
      <c r="A8" s="5" t="n">
        <v>4104</v>
      </c>
      <c r="B8" s="6">
        <f>IF(A8="","",COUNTA($A$5:A8))</f>
        <v/>
      </c>
      <c r="C8" s="6">
        <f>IF(B8="","",IF($B$2="OK",INT((B8-1)/$B$1)+1,"Check batch size"))</f>
        <v/>
      </c>
      <c r="D8" s="6">
        <f>IF(B8="","",IF($B$2="OK",MOD(B8-1,$B$1)+1,"Check batch size"))</f>
        <v/>
      </c>
      <c r="E8" s="6">
        <f>IF(B8="","",IF(COUNTA(Helpers!$A$4:$A$8)=0,"No helper",INDEX(Helpers!$A$4:$A$8,MOD(B8-1,COUNTA(Helpers!$A$4:$A$8))+1)&amp;""))</f>
        <v/>
      </c>
    </row>
    <row r="9">
      <c r="A9" s="5" t="n">
        <v>4105</v>
      </c>
      <c r="B9" s="6">
        <f>IF(A9="","",COUNTA($A$5:A9))</f>
        <v/>
      </c>
      <c r="C9" s="6">
        <f>IF(B9="","",IF($B$2="OK",INT((B9-1)/$B$1)+1,"Check batch size"))</f>
        <v/>
      </c>
      <c r="D9" s="6">
        <f>IF(B9="","",IF($B$2="OK",MOD(B9-1,$B$1)+1,"Check batch size"))</f>
        <v/>
      </c>
      <c r="E9" s="6">
        <f>IF(B9="","",IF(COUNTA(Helpers!$A$4:$A$8)=0,"No helper",INDEX(Helpers!$A$4:$A$8,MOD(B9-1,COUNTA(Helpers!$A$4:$A$8))+1)&amp;""))</f>
        <v/>
      </c>
    </row>
    <row r="10">
      <c r="A10" s="5" t="n">
        <v>4106</v>
      </c>
      <c r="B10" s="6">
        <f>IF(A10="","",COUNTA($A$5:A10))</f>
        <v/>
      </c>
      <c r="C10" s="6">
        <f>IF(B10="","",IF($B$2="OK",INT((B10-1)/$B$1)+1,"Check batch size"))</f>
        <v/>
      </c>
      <c r="D10" s="6">
        <f>IF(B10="","",IF($B$2="OK",MOD(B10-1,$B$1)+1,"Check batch size"))</f>
        <v/>
      </c>
      <c r="E10" s="6">
        <f>IF(B10="","",IF(COUNTA(Helpers!$A$4:$A$8)=0,"No helper",INDEX(Helpers!$A$4:$A$8,MOD(B10-1,COUNTA(Helpers!$A$4:$A$8))+1)&amp;""))</f>
        <v/>
      </c>
    </row>
    <row r="11">
      <c r="A11" s="5" t="n">
        <v>4107</v>
      </c>
      <c r="B11" s="6">
        <f>IF(A11="","",COUNTA($A$5:A11))</f>
        <v/>
      </c>
      <c r="C11" s="6">
        <f>IF(B11="","",IF($B$2="OK",INT((B11-1)/$B$1)+1,"Check batch size"))</f>
        <v/>
      </c>
      <c r="D11" s="6">
        <f>IF(B11="","",IF($B$2="OK",MOD(B11-1,$B$1)+1,"Check batch size"))</f>
        <v/>
      </c>
      <c r="E11" s="6">
        <f>IF(B11="","",IF(COUNTA(Helpers!$A$4:$A$8)=0,"No helper",INDEX(Helpers!$A$4:$A$8,MOD(B11-1,COUNTA(Helpers!$A$4:$A$8))+1)&amp;""))</f>
        <v/>
      </c>
    </row>
    <row r="12">
      <c r="A12" s="5" t="n">
        <v>4108</v>
      </c>
      <c r="B12" s="6">
        <f>IF(A12="","",COUNTA($A$5:A12))</f>
        <v/>
      </c>
      <c r="C12" s="6">
        <f>IF(B12="","",IF($B$2="OK",INT((B12-1)/$B$1)+1,"Check batch size"))</f>
        <v/>
      </c>
      <c r="D12" s="6">
        <f>IF(B12="","",IF($B$2="OK",MOD(B12-1,$B$1)+1,"Check batch size"))</f>
        <v/>
      </c>
      <c r="E12" s="6">
        <f>IF(B12="","",IF(COUNTA(Helpers!$A$4:$A$8)=0,"No helper",INDEX(Helpers!$A$4:$A$8,MOD(B12-1,COUNTA(Helpers!$A$4:$A$8))+1)&amp;""))</f>
        <v/>
      </c>
    </row>
    <row r="13">
      <c r="A13" s="5" t="n">
        <v>4109</v>
      </c>
      <c r="B13" s="6">
        <f>IF(A13="","",COUNTA($A$5:A13))</f>
        <v/>
      </c>
      <c r="C13" s="6">
        <f>IF(B13="","",IF($B$2="OK",INT((B13-1)/$B$1)+1,"Check batch size"))</f>
        <v/>
      </c>
      <c r="D13" s="6">
        <f>IF(B13="","",IF($B$2="OK",MOD(B13-1,$B$1)+1,"Check batch size"))</f>
        <v/>
      </c>
      <c r="E13" s="6">
        <f>IF(B13="","",IF(COUNTA(Helpers!$A$4:$A$8)=0,"No helper",INDEX(Helpers!$A$4:$A$8,MOD(B13-1,COUNTA(Helpers!$A$4:$A$8))+1)&amp;""))</f>
        <v/>
      </c>
    </row>
    <row r="14">
      <c r="A14" s="5" t="n">
        <v>4110</v>
      </c>
      <c r="B14" s="6">
        <f>IF(A14="","",COUNTA($A$5:A14))</f>
        <v/>
      </c>
      <c r="C14" s="6">
        <f>IF(B14="","",IF($B$2="OK",INT((B14-1)/$B$1)+1,"Check batch size"))</f>
        <v/>
      </c>
      <c r="D14" s="6">
        <f>IF(B14="","",IF($B$2="OK",MOD(B14-1,$B$1)+1,"Check batch size"))</f>
        <v/>
      </c>
      <c r="E14" s="6">
        <f>IF(B14="","",IF(COUNTA(Helpers!$A$4:$A$8)=0,"No helper",INDEX(Helpers!$A$4:$A$8,MOD(B14-1,COUNTA(Helpers!$A$4:$A$8))+1)&amp;""))</f>
        <v/>
      </c>
    </row>
    <row r="15">
      <c r="A15" s="5" t="n">
        <v>4111</v>
      </c>
      <c r="B15" s="6">
        <f>IF(A15="","",COUNTA($A$5:A15))</f>
        <v/>
      </c>
      <c r="C15" s="6">
        <f>IF(B15="","",IF($B$2="OK",INT((B15-1)/$B$1)+1,"Check batch size"))</f>
        <v/>
      </c>
      <c r="D15" s="6">
        <f>IF(B15="","",IF($B$2="OK",MOD(B15-1,$B$1)+1,"Check batch size"))</f>
        <v/>
      </c>
      <c r="E15" s="6">
        <f>IF(B15="","",IF(COUNTA(Helpers!$A$4:$A$8)=0,"No helper",INDEX(Helpers!$A$4:$A$8,MOD(B15-1,COUNTA(Helpers!$A$4:$A$8))+1)&amp;""))</f>
        <v/>
      </c>
    </row>
    <row r="16">
      <c r="A16" s="5" t="n">
        <v>4112</v>
      </c>
      <c r="B16" s="6">
        <f>IF(A16="","",COUNTA($A$5:A16))</f>
        <v/>
      </c>
      <c r="C16" s="6">
        <f>IF(B16="","",IF($B$2="OK",INT((B16-1)/$B$1)+1,"Check batch size"))</f>
        <v/>
      </c>
      <c r="D16" s="6">
        <f>IF(B16="","",IF($B$2="OK",MOD(B16-1,$B$1)+1,"Check batch size"))</f>
        <v/>
      </c>
      <c r="E16" s="6">
        <f>IF(B16="","",IF(COUNTA(Helpers!$A$4:$A$8)=0,"No helper",INDEX(Helpers!$A$4:$A$8,MOD(B16-1,COUNTA(Helpers!$A$4:$A$8))+1)&amp;""))</f>
        <v/>
      </c>
    </row>
    <row r="17">
      <c r="A17" s="5" t="n">
        <v>4113</v>
      </c>
      <c r="B17" s="6">
        <f>IF(A17="","",COUNTA($A$5:A17))</f>
        <v/>
      </c>
      <c r="C17" s="6">
        <f>IF(B17="","",IF($B$2="OK",INT((B17-1)/$B$1)+1,"Check batch size"))</f>
        <v/>
      </c>
      <c r="D17" s="6">
        <f>IF(B17="","",IF($B$2="OK",MOD(B17-1,$B$1)+1,"Check batch size"))</f>
        <v/>
      </c>
      <c r="E17" s="6">
        <f>IF(B17="","",IF(COUNTA(Helpers!$A$4:$A$8)=0,"No helper",INDEX(Helpers!$A$4:$A$8,MOD(B17-1,COUNTA(Helpers!$A$4:$A$8))+1)&amp;""))</f>
        <v/>
      </c>
    </row>
    <row r="18">
      <c r="A18" s="5" t="n">
        <v>4114</v>
      </c>
      <c r="B18" s="6">
        <f>IF(A18="","",COUNTA($A$5:A18))</f>
        <v/>
      </c>
      <c r="C18" s="6">
        <f>IF(B18="","",IF($B$2="OK",INT((B18-1)/$B$1)+1,"Check batch size"))</f>
        <v/>
      </c>
      <c r="D18" s="6">
        <f>IF(B18="","",IF($B$2="OK",MOD(B18-1,$B$1)+1,"Check batch size"))</f>
        <v/>
      </c>
      <c r="E18" s="6">
        <f>IF(B18="","",IF(COUNTA(Helpers!$A$4:$A$8)=0,"No helper",INDEX(Helpers!$A$4:$A$8,MOD(B18-1,COUNTA(Helpers!$A$4:$A$8))+1)&amp;""))</f>
        <v/>
      </c>
    </row>
    <row r="19">
      <c r="A19" s="5" t="n">
        <v>4115</v>
      </c>
      <c r="B19" s="6">
        <f>IF(A19="","",COUNTA($A$5:A19))</f>
        <v/>
      </c>
      <c r="C19" s="6">
        <f>IF(B19="","",IF($B$2="OK",INT((B19-1)/$B$1)+1,"Check batch size"))</f>
        <v/>
      </c>
      <c r="D19" s="6">
        <f>IF(B19="","",IF($B$2="OK",MOD(B19-1,$B$1)+1,"Check batch size"))</f>
        <v/>
      </c>
      <c r="E19" s="6">
        <f>IF(B19="","",IF(COUNTA(Helpers!$A$4:$A$8)=0,"No helper",INDEX(Helpers!$A$4:$A$8,MOD(B19-1,COUNTA(Helpers!$A$4:$A$8))+1)&amp;""))</f>
        <v/>
      </c>
    </row>
    <row r="20">
      <c r="A20" s="5" t="n">
        <v>4116</v>
      </c>
      <c r="B20" s="6">
        <f>IF(A20="","",COUNTA($A$5:A20))</f>
        <v/>
      </c>
      <c r="C20" s="6">
        <f>IF(B20="","",IF($B$2="OK",INT((B20-1)/$B$1)+1,"Check batch size"))</f>
        <v/>
      </c>
      <c r="D20" s="6">
        <f>IF(B20="","",IF($B$2="OK",MOD(B20-1,$B$1)+1,"Check batch size"))</f>
        <v/>
      </c>
      <c r="E20" s="6">
        <f>IF(B20="","",IF(COUNTA(Helpers!$A$4:$A$8)=0,"No helper",INDEX(Helpers!$A$4:$A$8,MOD(B20-1,COUNTA(Helpers!$A$4:$A$8))+1)&amp;""))</f>
        <v/>
      </c>
    </row>
    <row r="21">
      <c r="A21" s="5" t="n">
        <v>4117</v>
      </c>
      <c r="B21" s="6">
        <f>IF(A21="","",COUNTA($A$5:A21))</f>
        <v/>
      </c>
      <c r="C21" s="6">
        <f>IF(B21="","",IF($B$2="OK",INT((B21-1)/$B$1)+1,"Check batch size"))</f>
        <v/>
      </c>
      <c r="D21" s="6">
        <f>IF(B21="","",IF($B$2="OK",MOD(B21-1,$B$1)+1,"Check batch size"))</f>
        <v/>
      </c>
      <c r="E21" s="6">
        <f>IF(B21="","",IF(COUNTA(Helpers!$A$4:$A$8)=0,"No helper",INDEX(Helpers!$A$4:$A$8,MOD(B21-1,COUNTA(Helpers!$A$4:$A$8))+1)&amp;""))</f>
        <v/>
      </c>
    </row>
    <row r="22">
      <c r="A22" s="5" t="n">
        <v>4118</v>
      </c>
      <c r="B22" s="6">
        <f>IF(A22="","",COUNTA($A$5:A22))</f>
        <v/>
      </c>
      <c r="C22" s="6">
        <f>IF(B22="","",IF($B$2="OK",INT((B22-1)/$B$1)+1,"Check batch size"))</f>
        <v/>
      </c>
      <c r="D22" s="6">
        <f>IF(B22="","",IF($B$2="OK",MOD(B22-1,$B$1)+1,"Check batch size"))</f>
        <v/>
      </c>
      <c r="E22" s="6">
        <f>IF(B22="","",IF(COUNTA(Helpers!$A$4:$A$8)=0,"No helper",INDEX(Helpers!$A$4:$A$8,MOD(B22-1,COUNTA(Helpers!$A$4:$A$8))+1)&amp;""))</f>
        <v/>
      </c>
    </row>
    <row r="23">
      <c r="A23" s="5" t="n">
        <v>4119</v>
      </c>
      <c r="B23" s="6">
        <f>IF(A23="","",COUNTA($A$5:A23))</f>
        <v/>
      </c>
      <c r="C23" s="6">
        <f>IF(B23="","",IF($B$2="OK",INT((B23-1)/$B$1)+1,"Check batch size"))</f>
        <v/>
      </c>
      <c r="D23" s="6">
        <f>IF(B23="","",IF($B$2="OK",MOD(B23-1,$B$1)+1,"Check batch size"))</f>
        <v/>
      </c>
      <c r="E23" s="6">
        <f>IF(B23="","",IF(COUNTA(Helpers!$A$4:$A$8)=0,"No helper",INDEX(Helpers!$A$4:$A$8,MOD(B23-1,COUNTA(Helpers!$A$4:$A$8))+1)&amp;""))</f>
        <v/>
      </c>
    </row>
    <row r="24">
      <c r="A24" s="5" t="n">
        <v>4120</v>
      </c>
      <c r="B24" s="6">
        <f>IF(A24="","",COUNTA($A$5:A24))</f>
        <v/>
      </c>
      <c r="C24" s="6">
        <f>IF(B24="","",IF($B$2="OK",INT((B24-1)/$B$1)+1,"Check batch size"))</f>
        <v/>
      </c>
      <c r="D24" s="6">
        <f>IF(B24="","",IF($B$2="OK",MOD(B24-1,$B$1)+1,"Check batch size"))</f>
        <v/>
      </c>
      <c r="E24" s="6">
        <f>IF(B24="","",IF(COUNTA(Helpers!$A$4:$A$8)=0,"No helper",INDEX(Helpers!$A$4:$A$8,MOD(B24-1,COUNTA(Helpers!$A$4:$A$8))+1)&amp;""))</f>
        <v/>
      </c>
    </row>
    <row r="25">
      <c r="A25" s="5" t="n">
        <v>4121</v>
      </c>
      <c r="B25" s="6">
        <f>IF(A25="","",COUNTA($A$5:A25))</f>
        <v/>
      </c>
      <c r="C25" s="6">
        <f>IF(B25="","",IF($B$2="OK",INT((B25-1)/$B$1)+1,"Check batch size"))</f>
        <v/>
      </c>
      <c r="D25" s="6">
        <f>IF(B25="","",IF($B$2="OK",MOD(B25-1,$B$1)+1,"Check batch size"))</f>
        <v/>
      </c>
      <c r="E25" s="6">
        <f>IF(B25="","",IF(COUNTA(Helpers!$A$4:$A$8)=0,"No helper",INDEX(Helpers!$A$4:$A$8,MOD(B25-1,COUNTA(Helpers!$A$4:$A$8))+1)&amp;""))</f>
        <v/>
      </c>
    </row>
    <row r="26">
      <c r="A26" s="5" t="n">
        <v>4122</v>
      </c>
      <c r="B26" s="6">
        <f>IF(A26="","",COUNTA($A$5:A26))</f>
        <v/>
      </c>
      <c r="C26" s="6">
        <f>IF(B26="","",IF($B$2="OK",INT((B26-1)/$B$1)+1,"Check batch size"))</f>
        <v/>
      </c>
      <c r="D26" s="6">
        <f>IF(B26="","",IF($B$2="OK",MOD(B26-1,$B$1)+1,"Check batch size"))</f>
        <v/>
      </c>
      <c r="E26" s="6">
        <f>IF(B26="","",IF(COUNTA(Helpers!$A$4:$A$8)=0,"No helper",INDEX(Helpers!$A$4:$A$8,MOD(B26-1,COUNTA(Helpers!$A$4:$A$8))+1)&amp;""))</f>
        <v/>
      </c>
    </row>
    <row r="27">
      <c r="A27" s="5" t="n">
        <v>4123</v>
      </c>
      <c r="B27" s="6">
        <f>IF(A27="","",COUNTA($A$5:A27))</f>
        <v/>
      </c>
      <c r="C27" s="6">
        <f>IF(B27="","",IF($B$2="OK",INT((B27-1)/$B$1)+1,"Check batch size"))</f>
        <v/>
      </c>
      <c r="D27" s="6">
        <f>IF(B27="","",IF($B$2="OK",MOD(B27-1,$B$1)+1,"Check batch size"))</f>
        <v/>
      </c>
      <c r="E27" s="6">
        <f>IF(B27="","",IF(COUNTA(Helpers!$A$4:$A$8)=0,"No helper",INDEX(Helpers!$A$4:$A$8,MOD(B27-1,COUNTA(Helpers!$A$4:$A$8))+1)&amp;""))</f>
        <v/>
      </c>
    </row>
    <row r="28">
      <c r="A28" s="5" t="n">
        <v>4124</v>
      </c>
      <c r="B28" s="6">
        <f>IF(A28="","",COUNTA($A$5:A28))</f>
        <v/>
      </c>
      <c r="C28" s="6">
        <f>IF(B28="","",IF($B$2="OK",INT((B28-1)/$B$1)+1,"Check batch size"))</f>
        <v/>
      </c>
      <c r="D28" s="6">
        <f>IF(B28="","",IF($B$2="OK",MOD(B28-1,$B$1)+1,"Check batch size"))</f>
        <v/>
      </c>
      <c r="E28" s="6">
        <f>IF(B28="","",IF(COUNTA(Helpers!$A$4:$A$8)=0,"No helper",INDEX(Helpers!$A$4:$A$8,MOD(B28-1,COUNTA(Helpers!$A$4:$A$8))+1)&amp;""))</f>
        <v/>
      </c>
    </row>
    <row r="29">
      <c r="A29" s="5" t="n">
        <v>4125</v>
      </c>
      <c r="B29" s="6">
        <f>IF(A29="","",COUNTA($A$5:A29))</f>
        <v/>
      </c>
      <c r="C29" s="6">
        <f>IF(B29="","",IF($B$2="OK",INT((B29-1)/$B$1)+1,"Check batch size"))</f>
        <v/>
      </c>
      <c r="D29" s="6">
        <f>IF(B29="","",IF($B$2="OK",MOD(B29-1,$B$1)+1,"Check batch size"))</f>
        <v/>
      </c>
      <c r="E29" s="6">
        <f>IF(B29="","",IF(COUNTA(Helpers!$A$4:$A$8)=0,"No helper",INDEX(Helpers!$A$4:$A$8,MOD(B29-1,COUNTA(Helpers!$A$4:$A$8))+1)&amp;""))</f>
        <v/>
      </c>
    </row>
    <row r="30">
      <c r="A30" s="5" t="n">
        <v>4126</v>
      </c>
      <c r="B30" s="6">
        <f>IF(A30="","",COUNTA($A$5:A30))</f>
        <v/>
      </c>
      <c r="C30" s="6">
        <f>IF(B30="","",IF($B$2="OK",INT((B30-1)/$B$1)+1,"Check batch size"))</f>
        <v/>
      </c>
      <c r="D30" s="6">
        <f>IF(B30="","",IF($B$2="OK",MOD(B30-1,$B$1)+1,"Check batch size"))</f>
        <v/>
      </c>
      <c r="E30" s="6">
        <f>IF(B30="","",IF(COUNTA(Helpers!$A$4:$A$8)=0,"No helper",INDEX(Helpers!$A$4:$A$8,MOD(B30-1,COUNTA(Helpers!$A$4:$A$8))+1)&amp;""))</f>
        <v/>
      </c>
    </row>
    <row r="31">
      <c r="A31" s="5" t="n">
        <v>4127</v>
      </c>
      <c r="B31" s="6">
        <f>IF(A31="","",COUNTA($A$5:A31))</f>
        <v/>
      </c>
      <c r="C31" s="6">
        <f>IF(B31="","",IF($B$2="OK",INT((B31-1)/$B$1)+1,"Check batch size"))</f>
        <v/>
      </c>
      <c r="D31" s="6">
        <f>IF(B31="","",IF($B$2="OK",MOD(B31-1,$B$1)+1,"Check batch size"))</f>
        <v/>
      </c>
      <c r="E31" s="6">
        <f>IF(B31="","",IF(COUNTA(Helpers!$A$4:$A$8)=0,"No helper",INDEX(Helpers!$A$4:$A$8,MOD(B31-1,COUNTA(Helpers!$A$4:$A$8))+1)&amp;""))</f>
        <v/>
      </c>
    </row>
    <row r="32">
      <c r="A32" s="5" t="n">
        <v>4128</v>
      </c>
      <c r="B32" s="6">
        <f>IF(A32="","",COUNTA($A$5:A32))</f>
        <v/>
      </c>
      <c r="C32" s="6">
        <f>IF(B32="","",IF($B$2="OK",INT((B32-1)/$B$1)+1,"Check batch size"))</f>
        <v/>
      </c>
      <c r="D32" s="6">
        <f>IF(B32="","",IF($B$2="OK",MOD(B32-1,$B$1)+1,"Check batch size"))</f>
        <v/>
      </c>
      <c r="E32" s="6">
        <f>IF(B32="","",IF(COUNTA(Helpers!$A$4:$A$8)=0,"No helper",INDEX(Helpers!$A$4:$A$8,MOD(B32-1,COUNTA(Helpers!$A$4:$A$8))+1)&amp;""))</f>
        <v/>
      </c>
    </row>
    <row r="33">
      <c r="A33" s="5" t="n">
        <v>4129</v>
      </c>
      <c r="B33" s="6">
        <f>IF(A33="","",COUNTA($A$5:A33))</f>
        <v/>
      </c>
      <c r="C33" s="6">
        <f>IF(B33="","",IF($B$2="OK",INT((B33-1)/$B$1)+1,"Check batch size"))</f>
        <v/>
      </c>
      <c r="D33" s="6">
        <f>IF(B33="","",IF($B$2="OK",MOD(B33-1,$B$1)+1,"Check batch size"))</f>
        <v/>
      </c>
      <c r="E33" s="6">
        <f>IF(B33="","",IF(COUNTA(Helpers!$A$4:$A$8)=0,"No helper",INDEX(Helpers!$A$4:$A$8,MOD(B33-1,COUNTA(Helpers!$A$4:$A$8))+1)&amp;""))</f>
        <v/>
      </c>
    </row>
    <row r="34">
      <c r="A34" s="5" t="n">
        <v>4130</v>
      </c>
      <c r="B34" s="6">
        <f>IF(A34="","",COUNTA($A$5:A34))</f>
        <v/>
      </c>
      <c r="C34" s="6">
        <f>IF(B34="","",IF($B$2="OK",INT((B34-1)/$B$1)+1,"Check batch size"))</f>
        <v/>
      </c>
      <c r="D34" s="6">
        <f>IF(B34="","",IF($B$2="OK",MOD(B34-1,$B$1)+1,"Check batch size"))</f>
        <v/>
      </c>
      <c r="E34" s="6">
        <f>IF(B34="","",IF(COUNTA(Helpers!$A$4:$A$8)=0,"No helper",INDEX(Helpers!$A$4:$A$8,MOD(B34-1,COUNTA(Helpers!$A$4:$A$8))+1)&amp;""))</f>
        <v/>
      </c>
    </row>
    <row r="35">
      <c r="A35" s="5" t="n">
        <v>4131</v>
      </c>
      <c r="B35" s="6">
        <f>IF(A35="","",COUNTA($A$5:A35))</f>
        <v/>
      </c>
      <c r="C35" s="6">
        <f>IF(B35="","",IF($B$2="OK",INT((B35-1)/$B$1)+1,"Check batch size"))</f>
        <v/>
      </c>
      <c r="D35" s="6">
        <f>IF(B35="","",IF($B$2="OK",MOD(B35-1,$B$1)+1,"Check batch size"))</f>
        <v/>
      </c>
      <c r="E35" s="6">
        <f>IF(B35="","",IF(COUNTA(Helpers!$A$4:$A$8)=0,"No helper",INDEX(Helpers!$A$4:$A$8,MOD(B35-1,COUNTA(Helpers!$A$4:$A$8))+1)&amp;""))</f>
        <v/>
      </c>
    </row>
    <row r="36">
      <c r="A36" s="5" t="n">
        <v>4132</v>
      </c>
      <c r="B36" s="6">
        <f>IF(A36="","",COUNTA($A$5:A36))</f>
        <v/>
      </c>
      <c r="C36" s="6">
        <f>IF(B36="","",IF($B$2="OK",INT((B36-1)/$B$1)+1,"Check batch size"))</f>
        <v/>
      </c>
      <c r="D36" s="6">
        <f>IF(B36="","",IF($B$2="OK",MOD(B36-1,$B$1)+1,"Check batch size"))</f>
        <v/>
      </c>
      <c r="E36" s="6">
        <f>IF(B36="","",IF(COUNTA(Helpers!$A$4:$A$8)=0,"No helper",INDEX(Helpers!$A$4:$A$8,MOD(B36-1,COUNTA(Helpers!$A$4:$A$8))+1)&amp;""))</f>
        <v/>
      </c>
    </row>
    <row r="37">
      <c r="A37" s="5" t="n">
        <v>4133</v>
      </c>
      <c r="B37" s="6">
        <f>IF(A37="","",COUNTA($A$5:A37))</f>
        <v/>
      </c>
      <c r="C37" s="6">
        <f>IF(B37="","",IF($B$2="OK",INT((B37-1)/$B$1)+1,"Check batch size"))</f>
        <v/>
      </c>
      <c r="D37" s="6">
        <f>IF(B37="","",IF($B$2="OK",MOD(B37-1,$B$1)+1,"Check batch size"))</f>
        <v/>
      </c>
      <c r="E37" s="6">
        <f>IF(B37="","",IF(COUNTA(Helpers!$A$4:$A$8)=0,"No helper",INDEX(Helpers!$A$4:$A$8,MOD(B37-1,COUNTA(Helpers!$A$4:$A$8))+1)&amp;""))</f>
        <v/>
      </c>
    </row>
    <row r="38">
      <c r="A38" s="5" t="n">
        <v>4134</v>
      </c>
      <c r="B38" s="6">
        <f>IF(A38="","",COUNTA($A$5:A38))</f>
        <v/>
      </c>
      <c r="C38" s="6">
        <f>IF(B38="","",IF($B$2="OK",INT((B38-1)/$B$1)+1,"Check batch size"))</f>
        <v/>
      </c>
      <c r="D38" s="6">
        <f>IF(B38="","",IF($B$2="OK",MOD(B38-1,$B$1)+1,"Check batch size"))</f>
        <v/>
      </c>
      <c r="E38" s="6">
        <f>IF(B38="","",IF(COUNTA(Helpers!$A$4:$A$8)=0,"No helper",INDEX(Helpers!$A$4:$A$8,MOD(B38-1,COUNTA(Helpers!$A$4:$A$8))+1)&amp;""))</f>
        <v/>
      </c>
    </row>
    <row r="39">
      <c r="A39" s="5" t="n">
        <v>4135</v>
      </c>
      <c r="B39" s="6">
        <f>IF(A39="","",COUNTA($A$5:A39))</f>
        <v/>
      </c>
      <c r="C39" s="6">
        <f>IF(B39="","",IF($B$2="OK",INT((B39-1)/$B$1)+1,"Check batch size"))</f>
        <v/>
      </c>
      <c r="D39" s="6">
        <f>IF(B39="","",IF($B$2="OK",MOD(B39-1,$B$1)+1,"Check batch size"))</f>
        <v/>
      </c>
      <c r="E39" s="6">
        <f>IF(B39="","",IF(COUNTA(Helpers!$A$4:$A$8)=0,"No helper",INDEX(Helpers!$A$4:$A$8,MOD(B39-1,COUNTA(Helpers!$A$4:$A$8))+1)&amp;""))</f>
        <v/>
      </c>
    </row>
    <row r="40">
      <c r="A40" s="5" t="n">
        <v>4136</v>
      </c>
      <c r="B40" s="6">
        <f>IF(A40="","",COUNTA($A$5:A40))</f>
        <v/>
      </c>
      <c r="C40" s="6">
        <f>IF(B40="","",IF($B$2="OK",INT((B40-1)/$B$1)+1,"Check batch size"))</f>
        <v/>
      </c>
      <c r="D40" s="6">
        <f>IF(B40="","",IF($B$2="OK",MOD(B40-1,$B$1)+1,"Check batch size"))</f>
        <v/>
      </c>
      <c r="E40" s="6">
        <f>IF(B40="","",IF(COUNTA(Helpers!$A$4:$A$8)=0,"No helper",INDEX(Helpers!$A$4:$A$8,MOD(B40-1,COUNTA(Helpers!$A$4:$A$8))+1)&amp;""))</f>
        <v/>
      </c>
    </row>
    <row r="41">
      <c r="A41" s="5" t="n">
        <v>4137</v>
      </c>
      <c r="B41" s="6">
        <f>IF(A41="","",COUNTA($A$5:A41))</f>
        <v/>
      </c>
      <c r="C41" s="6">
        <f>IF(B41="","",IF($B$2="OK",INT((B41-1)/$B$1)+1,"Check batch size"))</f>
        <v/>
      </c>
      <c r="D41" s="6">
        <f>IF(B41="","",IF($B$2="OK",MOD(B41-1,$B$1)+1,"Check batch size"))</f>
        <v/>
      </c>
      <c r="E41" s="6">
        <f>IF(B41="","",IF(COUNTA(Helpers!$A$4:$A$8)=0,"No helper",INDEX(Helpers!$A$4:$A$8,MOD(B41-1,COUNTA(Helpers!$A$4:$A$8))+1)&amp;""))</f>
        <v/>
      </c>
    </row>
    <row r="42">
      <c r="A42" s="5" t="n">
        <v>4138</v>
      </c>
      <c r="B42" s="6">
        <f>IF(A42="","",COUNTA($A$5:A42))</f>
        <v/>
      </c>
      <c r="C42" s="6">
        <f>IF(B42="","",IF($B$2="OK",INT((B42-1)/$B$1)+1,"Check batch size"))</f>
        <v/>
      </c>
      <c r="D42" s="6">
        <f>IF(B42="","",IF($B$2="OK",MOD(B42-1,$B$1)+1,"Check batch size"))</f>
        <v/>
      </c>
      <c r="E42" s="6">
        <f>IF(B42="","",IF(COUNTA(Helpers!$A$4:$A$8)=0,"No helper",INDEX(Helpers!$A$4:$A$8,MOD(B42-1,COUNTA(Helpers!$A$4:$A$8))+1)&amp;""))</f>
        <v/>
      </c>
    </row>
    <row r="43">
      <c r="A43" s="5" t="n">
        <v>4139</v>
      </c>
      <c r="B43" s="6">
        <f>IF(A43="","",COUNTA($A$5:A43))</f>
        <v/>
      </c>
      <c r="C43" s="6">
        <f>IF(B43="","",IF($B$2="OK",INT((B43-1)/$B$1)+1,"Check batch size"))</f>
        <v/>
      </c>
      <c r="D43" s="6">
        <f>IF(B43="","",IF($B$2="OK",MOD(B43-1,$B$1)+1,"Check batch size"))</f>
        <v/>
      </c>
      <c r="E43" s="6">
        <f>IF(B43="","",IF(COUNTA(Helpers!$A$4:$A$8)=0,"No helper",INDEX(Helpers!$A$4:$A$8,MOD(B43-1,COUNTA(Helpers!$A$4:$A$8))+1)&amp;""))</f>
        <v/>
      </c>
    </row>
    <row r="44">
      <c r="A44" s="5" t="n">
        <v>4140</v>
      </c>
      <c r="B44" s="6">
        <f>IF(A44="","",COUNTA($A$5:A44))</f>
        <v/>
      </c>
      <c r="C44" s="6">
        <f>IF(B44="","",IF($B$2="OK",INT((B44-1)/$B$1)+1,"Check batch size"))</f>
        <v/>
      </c>
      <c r="D44" s="6">
        <f>IF(B44="","",IF($B$2="OK",MOD(B44-1,$B$1)+1,"Check batch size"))</f>
        <v/>
      </c>
      <c r="E44" s="6">
        <f>IF(B44="","",IF(COUNTA(Helpers!$A$4:$A$8)=0,"No helper",INDEX(Helpers!$A$4:$A$8,MOD(B44-1,COUNTA(Helpers!$A$4:$A$8))+1)&amp;""))</f>
        <v/>
      </c>
    </row>
    <row r="45">
      <c r="A45" s="5" t="n">
        <v>4141</v>
      </c>
      <c r="B45" s="6">
        <f>IF(A45="","",COUNTA($A$5:A45))</f>
        <v/>
      </c>
      <c r="C45" s="6">
        <f>IF(B45="","",IF($B$2="OK",INT((B45-1)/$B$1)+1,"Check batch size"))</f>
        <v/>
      </c>
      <c r="D45" s="6">
        <f>IF(B45="","",IF($B$2="OK",MOD(B45-1,$B$1)+1,"Check batch size"))</f>
        <v/>
      </c>
      <c r="E45" s="6">
        <f>IF(B45="","",IF(COUNTA(Helpers!$A$4:$A$8)=0,"No helper",INDEX(Helpers!$A$4:$A$8,MOD(B45-1,COUNTA(Helpers!$A$4:$A$8))+1)&amp;""))</f>
        <v/>
      </c>
    </row>
    <row r="46">
      <c r="A46" s="5" t="n">
        <v>4142</v>
      </c>
      <c r="B46" s="6">
        <f>IF(A46="","",COUNTA($A$5:A46))</f>
        <v/>
      </c>
      <c r="C46" s="6">
        <f>IF(B46="","",IF($B$2="OK",INT((B46-1)/$B$1)+1,"Check batch size"))</f>
        <v/>
      </c>
      <c r="D46" s="6">
        <f>IF(B46="","",IF($B$2="OK",MOD(B46-1,$B$1)+1,"Check batch size"))</f>
        <v/>
      </c>
      <c r="E46" s="6">
        <f>IF(B46="","",IF(COUNTA(Helpers!$A$4:$A$8)=0,"No helper",INDEX(Helpers!$A$4:$A$8,MOD(B46-1,COUNTA(Helpers!$A$4:$A$8))+1)&amp;""))</f>
        <v/>
      </c>
    </row>
    <row r="47">
      <c r="A47" s="5" t="n">
        <v>4143</v>
      </c>
      <c r="B47" s="6">
        <f>IF(A47="","",COUNTA($A$5:A47))</f>
        <v/>
      </c>
      <c r="C47" s="6">
        <f>IF(B47="","",IF($B$2="OK",INT((B47-1)/$B$1)+1,"Check batch size"))</f>
        <v/>
      </c>
      <c r="D47" s="6">
        <f>IF(B47="","",IF($B$2="OK",MOD(B47-1,$B$1)+1,"Check batch size"))</f>
        <v/>
      </c>
      <c r="E47" s="6">
        <f>IF(B47="","",IF(COUNTA(Helpers!$A$4:$A$8)=0,"No helper",INDEX(Helpers!$A$4:$A$8,MOD(B47-1,COUNTA(Helpers!$A$4:$A$8))+1)&amp;""))</f>
        <v/>
      </c>
    </row>
    <row r="48">
      <c r="A48" s="5" t="n">
        <v>4144</v>
      </c>
      <c r="B48" s="6">
        <f>IF(A48="","",COUNTA($A$5:A48))</f>
        <v/>
      </c>
      <c r="C48" s="6">
        <f>IF(B48="","",IF($B$2="OK",INT((B48-1)/$B$1)+1,"Check batch size"))</f>
        <v/>
      </c>
      <c r="D48" s="6">
        <f>IF(B48="","",IF($B$2="OK",MOD(B48-1,$B$1)+1,"Check batch size"))</f>
        <v/>
      </c>
      <c r="E48" s="6">
        <f>IF(B48="","",IF(COUNTA(Helpers!$A$4:$A$8)=0,"No helper",INDEX(Helpers!$A$4:$A$8,MOD(B48-1,COUNTA(Helpers!$A$4:$A$8))+1)&amp;""))</f>
        <v/>
      </c>
    </row>
    <row r="49">
      <c r="A49" s="5" t="n">
        <v>4145</v>
      </c>
      <c r="B49" s="6">
        <f>IF(A49="","",COUNTA($A$5:A49))</f>
        <v/>
      </c>
      <c r="C49" s="6">
        <f>IF(B49="","",IF($B$2="OK",INT((B49-1)/$B$1)+1,"Check batch size"))</f>
        <v/>
      </c>
      <c r="D49" s="6">
        <f>IF(B49="","",IF($B$2="OK",MOD(B49-1,$B$1)+1,"Check batch size"))</f>
        <v/>
      </c>
      <c r="E49" s="6">
        <f>IF(B49="","",IF(COUNTA(Helpers!$A$4:$A$8)=0,"No helper",INDEX(Helpers!$A$4:$A$8,MOD(B49-1,COUNTA(Helpers!$A$4:$A$8))+1)&amp;""))</f>
        <v/>
      </c>
    </row>
    <row r="50">
      <c r="A50" s="5" t="n"/>
      <c r="B50" s="6">
        <f>IF(A50="","",COUNTA($A$5:A50))</f>
        <v/>
      </c>
      <c r="C50" s="6">
        <f>IF(B50="","",IF($B$2="OK",INT((B50-1)/$B$1)+1,"Check batch size"))</f>
        <v/>
      </c>
      <c r="D50" s="6">
        <f>IF(B50="","",IF($B$2="OK",MOD(B50-1,$B$1)+1,"Check batch size"))</f>
        <v/>
      </c>
      <c r="E50" s="6">
        <f>IF(B50="","",IF(COUNTA(Helpers!$A$4:$A$8)=0,"No helper",INDEX(Helpers!$A$4:$A$8,MOD(B50-1,COUNTA(Helpers!$A$4:$A$8))+1)&amp;""))</f>
        <v/>
      </c>
    </row>
    <row r="51">
      <c r="A51" s="5" t="n"/>
      <c r="B51" s="6">
        <f>IF(A51="","",COUNTA($A$5:A51))</f>
        <v/>
      </c>
      <c r="C51" s="6">
        <f>IF(B51="","",IF($B$2="OK",INT((B51-1)/$B$1)+1,"Check batch size"))</f>
        <v/>
      </c>
      <c r="D51" s="6">
        <f>IF(B51="","",IF($B$2="OK",MOD(B51-1,$B$1)+1,"Check batch size"))</f>
        <v/>
      </c>
      <c r="E51" s="6">
        <f>IF(B51="","",IF(COUNTA(Helpers!$A$4:$A$8)=0,"No helper",INDEX(Helpers!$A$4:$A$8,MOD(B51-1,COUNTA(Helpers!$A$4:$A$8))+1)&amp;""))</f>
        <v/>
      </c>
    </row>
    <row r="52">
      <c r="A52" s="5" t="n"/>
      <c r="B52" s="6">
        <f>IF(A52="","",COUNTA($A$5:A52))</f>
        <v/>
      </c>
      <c r="C52" s="6">
        <f>IF(B52="","",IF($B$2="OK",INT((B52-1)/$B$1)+1,"Check batch size"))</f>
        <v/>
      </c>
      <c r="D52" s="6">
        <f>IF(B52="","",IF($B$2="OK",MOD(B52-1,$B$1)+1,"Check batch size"))</f>
        <v/>
      </c>
      <c r="E52" s="6">
        <f>IF(B52="","",IF(COUNTA(Helpers!$A$4:$A$8)=0,"No helper",INDEX(Helpers!$A$4:$A$8,MOD(B52-1,COUNTA(Helpers!$A$4:$A$8))+1)&amp;""))</f>
        <v/>
      </c>
    </row>
    <row r="53">
      <c r="A53" s="5" t="n"/>
      <c r="B53" s="6">
        <f>IF(A53="","",COUNTA($A$5:A53))</f>
        <v/>
      </c>
      <c r="C53" s="6">
        <f>IF(B53="","",IF($B$2="OK",INT((B53-1)/$B$1)+1,"Check batch size"))</f>
        <v/>
      </c>
      <c r="D53" s="6">
        <f>IF(B53="","",IF($B$2="OK",MOD(B53-1,$B$1)+1,"Check batch size"))</f>
        <v/>
      </c>
      <c r="E53" s="6">
        <f>IF(B53="","",IF(COUNTA(Helpers!$A$4:$A$8)=0,"No helper",INDEX(Helpers!$A$4:$A$8,MOD(B53-1,COUNTA(Helpers!$A$4:$A$8))+1)&amp;""))</f>
        <v/>
      </c>
    </row>
    <row r="54">
      <c r="A54" s="5" t="n"/>
      <c r="B54" s="6">
        <f>IF(A54="","",COUNTA($A$5:A54))</f>
        <v/>
      </c>
      <c r="C54" s="6">
        <f>IF(B54="","",IF($B$2="OK",INT((B54-1)/$B$1)+1,"Check batch size"))</f>
        <v/>
      </c>
      <c r="D54" s="6">
        <f>IF(B54="","",IF($B$2="OK",MOD(B54-1,$B$1)+1,"Check batch size"))</f>
        <v/>
      </c>
      <c r="E54" s="6">
        <f>IF(B54="","",IF(COUNTA(Helpers!$A$4:$A$8)=0,"No helper",INDEX(Helpers!$A$4:$A$8,MOD(B54-1,COUNTA(Helpers!$A$4:$A$8))+1)&amp;""))</f>
        <v/>
      </c>
    </row>
    <row r="55">
      <c r="A55" s="5" t="n"/>
      <c r="B55" s="6">
        <f>IF(A55="","",COUNTA($A$5:A55))</f>
        <v/>
      </c>
      <c r="C55" s="6">
        <f>IF(B55="","",IF($B$2="OK",INT((B55-1)/$B$1)+1,"Check batch size"))</f>
        <v/>
      </c>
      <c r="D55" s="6">
        <f>IF(B55="","",IF($B$2="OK",MOD(B55-1,$B$1)+1,"Check batch size"))</f>
        <v/>
      </c>
      <c r="E55" s="6">
        <f>IF(B55="","",IF(COUNTA(Helpers!$A$4:$A$8)=0,"No helper",INDEX(Helpers!$A$4:$A$8,MOD(B55-1,COUNTA(Helpers!$A$4:$A$8))+1)&amp;""))</f>
        <v/>
      </c>
    </row>
    <row r="56">
      <c r="A56" s="5" t="n"/>
      <c r="B56" s="6">
        <f>IF(A56="","",COUNTA($A$5:A56))</f>
        <v/>
      </c>
      <c r="C56" s="6">
        <f>IF(B56="","",IF($B$2="OK",INT((B56-1)/$B$1)+1,"Check batch size"))</f>
        <v/>
      </c>
      <c r="D56" s="6">
        <f>IF(B56="","",IF($B$2="OK",MOD(B56-1,$B$1)+1,"Check batch size"))</f>
        <v/>
      </c>
      <c r="E56" s="6">
        <f>IF(B56="","",IF(COUNTA(Helpers!$A$4:$A$8)=0,"No helper",INDEX(Helpers!$A$4:$A$8,MOD(B56-1,COUNTA(Helpers!$A$4:$A$8))+1)&amp;""))</f>
        <v/>
      </c>
    </row>
    <row r="57">
      <c r="A57" s="5" t="n"/>
      <c r="B57" s="6">
        <f>IF(A57="","",COUNTA($A$5:A57))</f>
        <v/>
      </c>
      <c r="C57" s="6">
        <f>IF(B57="","",IF($B$2="OK",INT((B57-1)/$B$1)+1,"Check batch size"))</f>
        <v/>
      </c>
      <c r="D57" s="6">
        <f>IF(B57="","",IF($B$2="OK",MOD(B57-1,$B$1)+1,"Check batch size"))</f>
        <v/>
      </c>
      <c r="E57" s="6">
        <f>IF(B57="","",IF(COUNTA(Helpers!$A$4:$A$8)=0,"No helper",INDEX(Helpers!$A$4:$A$8,MOD(B57-1,COUNTA(Helpers!$A$4:$A$8))+1)&amp;""))</f>
        <v/>
      </c>
    </row>
    <row r="58">
      <c r="A58" s="5" t="n"/>
      <c r="B58" s="6">
        <f>IF(A58="","",COUNTA($A$5:A58))</f>
        <v/>
      </c>
      <c r="C58" s="6">
        <f>IF(B58="","",IF($B$2="OK",INT((B58-1)/$B$1)+1,"Check batch size"))</f>
        <v/>
      </c>
      <c r="D58" s="6">
        <f>IF(B58="","",IF($B$2="OK",MOD(B58-1,$B$1)+1,"Check batch size"))</f>
        <v/>
      </c>
      <c r="E58" s="6">
        <f>IF(B58="","",IF(COUNTA(Helpers!$A$4:$A$8)=0,"No helper",INDEX(Helpers!$A$4:$A$8,MOD(B58-1,COUNTA(Helpers!$A$4:$A$8))+1)&amp;""))</f>
        <v/>
      </c>
    </row>
    <row r="59">
      <c r="A59" s="5" t="n"/>
      <c r="B59" s="6">
        <f>IF(A59="","",COUNTA($A$5:A59))</f>
        <v/>
      </c>
      <c r="C59" s="6">
        <f>IF(B59="","",IF($B$2="OK",INT((B59-1)/$B$1)+1,"Check batch size"))</f>
        <v/>
      </c>
      <c r="D59" s="6">
        <f>IF(B59="","",IF($B$2="OK",MOD(B59-1,$B$1)+1,"Check batch size"))</f>
        <v/>
      </c>
      <c r="E59" s="6">
        <f>IF(B59="","",IF(COUNTA(Helpers!$A$4:$A$8)=0,"No helper",INDEX(Helpers!$A$4:$A$8,MOD(B59-1,COUNTA(Helpers!$A$4:$A$8))+1)&amp;""))</f>
        <v/>
      </c>
    </row>
    <row r="60">
      <c r="A60" s="5" t="n"/>
      <c r="B60" s="6">
        <f>IF(A60="","",COUNTA($A$5:A60))</f>
        <v/>
      </c>
      <c r="C60" s="6">
        <f>IF(B60="","",IF($B$2="OK",INT((B60-1)/$B$1)+1,"Check batch size"))</f>
        <v/>
      </c>
      <c r="D60" s="6">
        <f>IF(B60="","",IF($B$2="OK",MOD(B60-1,$B$1)+1,"Check batch size"))</f>
        <v/>
      </c>
      <c r="E60" s="6">
        <f>IF(B60="","",IF(COUNTA(Helpers!$A$4:$A$8)=0,"No helper",INDEX(Helpers!$A$4:$A$8,MOD(B60-1,COUNTA(Helpers!$A$4:$A$8))+1)&amp;""))</f>
        <v/>
      </c>
    </row>
    <row r="61">
      <c r="A61" s="5" t="n"/>
      <c r="B61" s="6">
        <f>IF(A61="","",COUNTA($A$5:A61))</f>
        <v/>
      </c>
      <c r="C61" s="6">
        <f>IF(B61="","",IF($B$2="OK",INT((B61-1)/$B$1)+1,"Check batch size"))</f>
        <v/>
      </c>
      <c r="D61" s="6">
        <f>IF(B61="","",IF($B$2="OK",MOD(B61-1,$B$1)+1,"Check batch size"))</f>
        <v/>
      </c>
      <c r="E61" s="6">
        <f>IF(B61="","",IF(COUNTA(Helpers!$A$4:$A$8)=0,"No helper",INDEX(Helpers!$A$4:$A$8,MOD(B61-1,COUNTA(Helpers!$A$4:$A$8))+1)&amp;""))</f>
        <v/>
      </c>
    </row>
    <row r="62">
      <c r="A62" s="5" t="n"/>
      <c r="B62" s="6">
        <f>IF(A62="","",COUNTA($A$5:A62))</f>
        <v/>
      </c>
      <c r="C62" s="6">
        <f>IF(B62="","",IF($B$2="OK",INT((B62-1)/$B$1)+1,"Check batch size"))</f>
        <v/>
      </c>
      <c r="D62" s="6">
        <f>IF(B62="","",IF($B$2="OK",MOD(B62-1,$B$1)+1,"Check batch size"))</f>
        <v/>
      </c>
      <c r="E62" s="6">
        <f>IF(B62="","",IF(COUNTA(Helpers!$A$4:$A$8)=0,"No helper",INDEX(Helpers!$A$4:$A$8,MOD(B62-1,COUNTA(Helpers!$A$4:$A$8))+1)&amp;""))</f>
        <v/>
      </c>
    </row>
    <row r="63">
      <c r="A63" s="5" t="n"/>
      <c r="B63" s="6">
        <f>IF(A63="","",COUNTA($A$5:A63))</f>
        <v/>
      </c>
      <c r="C63" s="6">
        <f>IF(B63="","",IF($B$2="OK",INT((B63-1)/$B$1)+1,"Check batch size"))</f>
        <v/>
      </c>
      <c r="D63" s="6">
        <f>IF(B63="","",IF($B$2="OK",MOD(B63-1,$B$1)+1,"Check batch size"))</f>
        <v/>
      </c>
      <c r="E63" s="6">
        <f>IF(B63="","",IF(COUNTA(Helpers!$A$4:$A$8)=0,"No helper",INDEX(Helpers!$A$4:$A$8,MOD(B63-1,COUNTA(Helpers!$A$4:$A$8))+1)&amp;""))</f>
        <v/>
      </c>
    </row>
    <row r="64">
      <c r="A64" s="5" t="n"/>
      <c r="B64" s="6">
        <f>IF(A64="","",COUNTA($A$5:A64))</f>
        <v/>
      </c>
      <c r="C64" s="6">
        <f>IF(B64="","",IF($B$2="OK",INT((B64-1)/$B$1)+1,"Check batch size"))</f>
        <v/>
      </c>
      <c r="D64" s="6">
        <f>IF(B64="","",IF($B$2="OK",MOD(B64-1,$B$1)+1,"Check batch size"))</f>
        <v/>
      </c>
      <c r="E64" s="6">
        <f>IF(B64="","",IF(COUNTA(Helpers!$A$4:$A$8)=0,"No helper",INDEX(Helpers!$A$4:$A$8,MOD(B64-1,COUNTA(Helpers!$A$4:$A$8))+1)&amp;""))</f>
        <v/>
      </c>
    </row>
    <row r="65">
      <c r="A65" s="5" t="n"/>
      <c r="B65" s="6">
        <f>IF(A65="","",COUNTA($A$5:A65))</f>
        <v/>
      </c>
      <c r="C65" s="6">
        <f>IF(B65="","",IF($B$2="OK",INT((B65-1)/$B$1)+1,"Check batch size"))</f>
        <v/>
      </c>
      <c r="D65" s="6">
        <f>IF(B65="","",IF($B$2="OK",MOD(B65-1,$B$1)+1,"Check batch size"))</f>
        <v/>
      </c>
      <c r="E65" s="6">
        <f>IF(B65="","",IF(COUNTA(Helpers!$A$4:$A$8)=0,"No helper",INDEX(Helpers!$A$4:$A$8,MOD(B65-1,COUNTA(Helpers!$A$4:$A$8))+1)&amp;""))</f>
        <v/>
      </c>
    </row>
    <row r="66">
      <c r="A66" s="5" t="n"/>
      <c r="B66" s="6">
        <f>IF(A66="","",COUNTA($A$5:A66))</f>
        <v/>
      </c>
      <c r="C66" s="6">
        <f>IF(B66="","",IF($B$2="OK",INT((B66-1)/$B$1)+1,"Check batch size"))</f>
        <v/>
      </c>
      <c r="D66" s="6">
        <f>IF(B66="","",IF($B$2="OK",MOD(B66-1,$B$1)+1,"Check batch size"))</f>
        <v/>
      </c>
      <c r="E66" s="6">
        <f>IF(B66="","",IF(COUNTA(Helpers!$A$4:$A$8)=0,"No helper",INDEX(Helpers!$A$4:$A$8,MOD(B66-1,COUNTA(Helpers!$A$4:$A$8))+1)&amp;""))</f>
        <v/>
      </c>
    </row>
    <row r="67">
      <c r="A67" s="5" t="n"/>
      <c r="B67" s="6">
        <f>IF(A67="","",COUNTA($A$5:A67))</f>
        <v/>
      </c>
      <c r="C67" s="6">
        <f>IF(B67="","",IF($B$2="OK",INT((B67-1)/$B$1)+1,"Check batch size"))</f>
        <v/>
      </c>
      <c r="D67" s="6">
        <f>IF(B67="","",IF($B$2="OK",MOD(B67-1,$B$1)+1,"Check batch size"))</f>
        <v/>
      </c>
      <c r="E67" s="6">
        <f>IF(B67="","",IF(COUNTA(Helpers!$A$4:$A$8)=0,"No helper",INDEX(Helpers!$A$4:$A$8,MOD(B67-1,COUNTA(Helpers!$A$4:$A$8))+1)&amp;""))</f>
        <v/>
      </c>
    </row>
    <row r="68">
      <c r="A68" s="5" t="n"/>
      <c r="B68" s="6">
        <f>IF(A68="","",COUNTA($A$5:A68))</f>
        <v/>
      </c>
      <c r="C68" s="6">
        <f>IF(B68="","",IF($B$2="OK",INT((B68-1)/$B$1)+1,"Check batch size"))</f>
        <v/>
      </c>
      <c r="D68" s="6">
        <f>IF(B68="","",IF($B$2="OK",MOD(B68-1,$B$1)+1,"Check batch size"))</f>
        <v/>
      </c>
      <c r="E68" s="6">
        <f>IF(B68="","",IF(COUNTA(Helpers!$A$4:$A$8)=0,"No helper",INDEX(Helpers!$A$4:$A$8,MOD(B68-1,COUNTA(Helpers!$A$4:$A$8))+1)&amp;""))</f>
        <v/>
      </c>
    </row>
    <row r="69">
      <c r="A69" s="5" t="n"/>
      <c r="B69" s="6">
        <f>IF(A69="","",COUNTA($A$5:A69))</f>
        <v/>
      </c>
      <c r="C69" s="6">
        <f>IF(B69="","",IF($B$2="OK",INT((B69-1)/$B$1)+1,"Check batch size"))</f>
        <v/>
      </c>
      <c r="D69" s="6">
        <f>IF(B69="","",IF($B$2="OK",MOD(B69-1,$B$1)+1,"Check batch size"))</f>
        <v/>
      </c>
      <c r="E69" s="6">
        <f>IF(B69="","",IF(COUNTA(Helpers!$A$4:$A$8)=0,"No helper",INDEX(Helpers!$A$4:$A$8,MOD(B69-1,COUNTA(Helpers!$A$4:$A$8))+1)&amp;""))</f>
        <v/>
      </c>
    </row>
    <row r="70">
      <c r="A70" s="5" t="n"/>
      <c r="B70" s="6">
        <f>IF(A70="","",COUNTA($A$5:A70))</f>
        <v/>
      </c>
      <c r="C70" s="6">
        <f>IF(B70="","",IF($B$2="OK",INT((B70-1)/$B$1)+1,"Check batch size"))</f>
        <v/>
      </c>
      <c r="D70" s="6">
        <f>IF(B70="","",IF($B$2="OK",MOD(B70-1,$B$1)+1,"Check batch size"))</f>
        <v/>
      </c>
      <c r="E70" s="6">
        <f>IF(B70="","",IF(COUNTA(Helpers!$A$4:$A$8)=0,"No helper",INDEX(Helpers!$A$4:$A$8,MOD(B70-1,COUNTA(Helpers!$A$4:$A$8))+1)&amp;""))</f>
        <v/>
      </c>
    </row>
    <row r="71">
      <c r="A71" s="5" t="n"/>
      <c r="B71" s="6">
        <f>IF(A71="","",COUNTA($A$5:A71))</f>
        <v/>
      </c>
      <c r="C71" s="6">
        <f>IF(B71="","",IF($B$2="OK",INT((B71-1)/$B$1)+1,"Check batch size"))</f>
        <v/>
      </c>
      <c r="D71" s="6">
        <f>IF(B71="","",IF($B$2="OK",MOD(B71-1,$B$1)+1,"Check batch size"))</f>
        <v/>
      </c>
      <c r="E71" s="6">
        <f>IF(B71="","",IF(COUNTA(Helpers!$A$4:$A$8)=0,"No helper",INDEX(Helpers!$A$4:$A$8,MOD(B71-1,COUNTA(Helpers!$A$4:$A$8))+1)&amp;""))</f>
        <v/>
      </c>
    </row>
    <row r="72">
      <c r="A72" s="5" t="n"/>
      <c r="B72" s="6">
        <f>IF(A72="","",COUNTA($A$5:A72))</f>
        <v/>
      </c>
      <c r="C72" s="6">
        <f>IF(B72="","",IF($B$2="OK",INT((B72-1)/$B$1)+1,"Check batch size"))</f>
        <v/>
      </c>
      <c r="D72" s="6">
        <f>IF(B72="","",IF($B$2="OK",MOD(B72-1,$B$1)+1,"Check batch size"))</f>
        <v/>
      </c>
      <c r="E72" s="6">
        <f>IF(B72="","",IF(COUNTA(Helpers!$A$4:$A$8)=0,"No helper",INDEX(Helpers!$A$4:$A$8,MOD(B72-1,COUNTA(Helpers!$A$4:$A$8))+1)&amp;""))</f>
        <v/>
      </c>
    </row>
    <row r="73">
      <c r="A73" s="5" t="n"/>
      <c r="B73" s="6">
        <f>IF(A73="","",COUNTA($A$5:A73))</f>
        <v/>
      </c>
      <c r="C73" s="6">
        <f>IF(B73="","",IF($B$2="OK",INT((B73-1)/$B$1)+1,"Check batch size"))</f>
        <v/>
      </c>
      <c r="D73" s="6">
        <f>IF(B73="","",IF($B$2="OK",MOD(B73-1,$B$1)+1,"Check batch size"))</f>
        <v/>
      </c>
      <c r="E73" s="6">
        <f>IF(B73="","",IF(COUNTA(Helpers!$A$4:$A$8)=0,"No helper",INDEX(Helpers!$A$4:$A$8,MOD(B73-1,COUNTA(Helpers!$A$4:$A$8))+1)&amp;""))</f>
        <v/>
      </c>
    </row>
    <row r="74">
      <c r="A74" s="5" t="n"/>
      <c r="B74" s="6">
        <f>IF(A74="","",COUNTA($A$5:A74))</f>
        <v/>
      </c>
      <c r="C74" s="6">
        <f>IF(B74="","",IF($B$2="OK",INT((B74-1)/$B$1)+1,"Check batch size"))</f>
        <v/>
      </c>
      <c r="D74" s="6">
        <f>IF(B74="","",IF($B$2="OK",MOD(B74-1,$B$1)+1,"Check batch size"))</f>
        <v/>
      </c>
      <c r="E74" s="6">
        <f>IF(B74="","",IF(COUNTA(Helpers!$A$4:$A$8)=0,"No helper",INDEX(Helpers!$A$4:$A$8,MOD(B74-1,COUNTA(Helpers!$A$4:$A$8))+1)&amp;""))</f>
        <v/>
      </c>
    </row>
    <row r="75">
      <c r="A75" s="5" t="n"/>
      <c r="B75" s="6">
        <f>IF(A75="","",COUNTA($A$5:A75))</f>
        <v/>
      </c>
      <c r="C75" s="6">
        <f>IF(B75="","",IF($B$2="OK",INT((B75-1)/$B$1)+1,"Check batch size"))</f>
        <v/>
      </c>
      <c r="D75" s="6">
        <f>IF(B75="","",IF($B$2="OK",MOD(B75-1,$B$1)+1,"Check batch size"))</f>
        <v/>
      </c>
      <c r="E75" s="6">
        <f>IF(B75="","",IF(COUNTA(Helpers!$A$4:$A$8)=0,"No helper",INDEX(Helpers!$A$4:$A$8,MOD(B75-1,COUNTA(Helpers!$A$4:$A$8))+1)&amp;""))</f>
        <v/>
      </c>
    </row>
    <row r="76">
      <c r="A76" s="5" t="n"/>
      <c r="B76" s="6">
        <f>IF(A76="","",COUNTA($A$5:A76))</f>
        <v/>
      </c>
      <c r="C76" s="6">
        <f>IF(B76="","",IF($B$2="OK",INT((B76-1)/$B$1)+1,"Check batch size"))</f>
        <v/>
      </c>
      <c r="D76" s="6">
        <f>IF(B76="","",IF($B$2="OK",MOD(B76-1,$B$1)+1,"Check batch size"))</f>
        <v/>
      </c>
      <c r="E76" s="6">
        <f>IF(B76="","",IF(COUNTA(Helpers!$A$4:$A$8)=0,"No helper",INDEX(Helpers!$A$4:$A$8,MOD(B76-1,COUNTA(Helpers!$A$4:$A$8))+1)&amp;""))</f>
        <v/>
      </c>
    </row>
    <row r="77">
      <c r="A77" s="5" t="n"/>
      <c r="B77" s="6">
        <f>IF(A77="","",COUNTA($A$5:A77))</f>
        <v/>
      </c>
      <c r="C77" s="6">
        <f>IF(B77="","",IF($B$2="OK",INT((B77-1)/$B$1)+1,"Check batch size"))</f>
        <v/>
      </c>
      <c r="D77" s="6">
        <f>IF(B77="","",IF($B$2="OK",MOD(B77-1,$B$1)+1,"Check batch size"))</f>
        <v/>
      </c>
      <c r="E77" s="6">
        <f>IF(B77="","",IF(COUNTA(Helpers!$A$4:$A$8)=0,"No helper",INDEX(Helpers!$A$4:$A$8,MOD(B77-1,COUNTA(Helpers!$A$4:$A$8))+1)&amp;""))</f>
        <v/>
      </c>
    </row>
    <row r="78">
      <c r="A78" s="5" t="n"/>
      <c r="B78" s="6">
        <f>IF(A78="","",COUNTA($A$5:A78))</f>
        <v/>
      </c>
      <c r="C78" s="6">
        <f>IF(B78="","",IF($B$2="OK",INT((B78-1)/$B$1)+1,"Check batch size"))</f>
        <v/>
      </c>
      <c r="D78" s="6">
        <f>IF(B78="","",IF($B$2="OK",MOD(B78-1,$B$1)+1,"Check batch size"))</f>
        <v/>
      </c>
      <c r="E78" s="6">
        <f>IF(B78="","",IF(COUNTA(Helpers!$A$4:$A$8)=0,"No helper",INDEX(Helpers!$A$4:$A$8,MOD(B78-1,COUNTA(Helpers!$A$4:$A$8))+1)&amp;""))</f>
        <v/>
      </c>
    </row>
    <row r="79">
      <c r="A79" s="5" t="n"/>
      <c r="B79" s="6">
        <f>IF(A79="","",COUNTA($A$5:A79))</f>
        <v/>
      </c>
      <c r="C79" s="6">
        <f>IF(B79="","",IF($B$2="OK",INT((B79-1)/$B$1)+1,"Check batch size"))</f>
        <v/>
      </c>
      <c r="D79" s="6">
        <f>IF(B79="","",IF($B$2="OK",MOD(B79-1,$B$1)+1,"Check batch size"))</f>
        <v/>
      </c>
      <c r="E79" s="6">
        <f>IF(B79="","",IF(COUNTA(Helpers!$A$4:$A$8)=0,"No helper",INDEX(Helpers!$A$4:$A$8,MOD(B79-1,COUNTA(Helpers!$A$4:$A$8))+1)&amp;""))</f>
        <v/>
      </c>
    </row>
    <row r="80">
      <c r="A80" s="5" t="n"/>
      <c r="B80" s="6">
        <f>IF(A80="","",COUNTA($A$5:A80))</f>
        <v/>
      </c>
      <c r="C80" s="6">
        <f>IF(B80="","",IF($B$2="OK",INT((B80-1)/$B$1)+1,"Check batch size"))</f>
        <v/>
      </c>
      <c r="D80" s="6">
        <f>IF(B80="","",IF($B$2="OK",MOD(B80-1,$B$1)+1,"Check batch size"))</f>
        <v/>
      </c>
      <c r="E80" s="6">
        <f>IF(B80="","",IF(COUNTA(Helpers!$A$4:$A$8)=0,"No helper",INDEX(Helpers!$A$4:$A$8,MOD(B80-1,COUNTA(Helpers!$A$4:$A$8))+1)&amp;""))</f>
        <v/>
      </c>
    </row>
    <row r="81">
      <c r="A81" s="5" t="n"/>
      <c r="B81" s="6">
        <f>IF(A81="","",COUNTA($A$5:A81))</f>
        <v/>
      </c>
      <c r="C81" s="6">
        <f>IF(B81="","",IF($B$2="OK",INT((B81-1)/$B$1)+1,"Check batch size"))</f>
        <v/>
      </c>
      <c r="D81" s="6">
        <f>IF(B81="","",IF($B$2="OK",MOD(B81-1,$B$1)+1,"Check batch size"))</f>
        <v/>
      </c>
      <c r="E81" s="6">
        <f>IF(B81="","",IF(COUNTA(Helpers!$A$4:$A$8)=0,"No helper",INDEX(Helpers!$A$4:$A$8,MOD(B81-1,COUNTA(Helpers!$A$4:$A$8))+1)&amp;""))</f>
        <v/>
      </c>
    </row>
    <row r="82">
      <c r="A82" s="5" t="n"/>
      <c r="B82" s="6">
        <f>IF(A82="","",COUNTA($A$5:A82))</f>
        <v/>
      </c>
      <c r="C82" s="6">
        <f>IF(B82="","",IF($B$2="OK",INT((B82-1)/$B$1)+1,"Check batch size"))</f>
        <v/>
      </c>
      <c r="D82" s="6">
        <f>IF(B82="","",IF($B$2="OK",MOD(B82-1,$B$1)+1,"Check batch size"))</f>
        <v/>
      </c>
      <c r="E82" s="6">
        <f>IF(B82="","",IF(COUNTA(Helpers!$A$4:$A$8)=0,"No helper",INDEX(Helpers!$A$4:$A$8,MOD(B82-1,COUNTA(Helpers!$A$4:$A$8))+1)&amp;""))</f>
        <v/>
      </c>
    </row>
    <row r="83">
      <c r="A83" s="5" t="n"/>
      <c r="B83" s="6">
        <f>IF(A83="","",COUNTA($A$5:A83))</f>
        <v/>
      </c>
      <c r="C83" s="6">
        <f>IF(B83="","",IF($B$2="OK",INT((B83-1)/$B$1)+1,"Check batch size"))</f>
        <v/>
      </c>
      <c r="D83" s="6">
        <f>IF(B83="","",IF($B$2="OK",MOD(B83-1,$B$1)+1,"Check batch size"))</f>
        <v/>
      </c>
      <c r="E83" s="6">
        <f>IF(B83="","",IF(COUNTA(Helpers!$A$4:$A$8)=0,"No helper",INDEX(Helpers!$A$4:$A$8,MOD(B83-1,COUNTA(Helpers!$A$4:$A$8))+1)&amp;""))</f>
        <v/>
      </c>
    </row>
    <row r="84">
      <c r="A84" s="5" t="n"/>
      <c r="B84" s="6">
        <f>IF(A84="","",COUNTA($A$5:A84))</f>
        <v/>
      </c>
      <c r="C84" s="6">
        <f>IF(B84="","",IF($B$2="OK",INT((B84-1)/$B$1)+1,"Check batch size"))</f>
        <v/>
      </c>
      <c r="D84" s="6">
        <f>IF(B84="","",IF($B$2="OK",MOD(B84-1,$B$1)+1,"Check batch size"))</f>
        <v/>
      </c>
      <c r="E84" s="6">
        <f>IF(B84="","",IF(COUNTA(Helpers!$A$4:$A$8)=0,"No helper",INDEX(Helpers!$A$4:$A$8,MOD(B84-1,COUNTA(Helpers!$A$4:$A$8))+1)&amp;""))</f>
        <v/>
      </c>
    </row>
    <row r="85">
      <c r="A85" s="5" t="n"/>
      <c r="B85" s="6">
        <f>IF(A85="","",COUNTA($A$5:A85))</f>
        <v/>
      </c>
      <c r="C85" s="6">
        <f>IF(B85="","",IF($B$2="OK",INT((B85-1)/$B$1)+1,"Check batch size"))</f>
        <v/>
      </c>
      <c r="D85" s="6">
        <f>IF(B85="","",IF($B$2="OK",MOD(B85-1,$B$1)+1,"Check batch size"))</f>
        <v/>
      </c>
      <c r="E85" s="6">
        <f>IF(B85="","",IF(COUNTA(Helpers!$A$4:$A$8)=0,"No helper",INDEX(Helpers!$A$4:$A$8,MOD(B85-1,COUNTA(Helpers!$A$4:$A$8))+1)&amp;""))</f>
        <v/>
      </c>
    </row>
    <row r="86">
      <c r="A86" s="5" t="n"/>
      <c r="B86" s="6">
        <f>IF(A86="","",COUNTA($A$5:A86))</f>
        <v/>
      </c>
      <c r="C86" s="6">
        <f>IF(B86="","",IF($B$2="OK",INT((B86-1)/$B$1)+1,"Check batch size"))</f>
        <v/>
      </c>
      <c r="D86" s="6">
        <f>IF(B86="","",IF($B$2="OK",MOD(B86-1,$B$1)+1,"Check batch size"))</f>
        <v/>
      </c>
      <c r="E86" s="6">
        <f>IF(B86="","",IF(COUNTA(Helpers!$A$4:$A$8)=0,"No helper",INDEX(Helpers!$A$4:$A$8,MOD(B86-1,COUNTA(Helpers!$A$4:$A$8))+1)&amp;""))</f>
        <v/>
      </c>
    </row>
    <row r="87">
      <c r="A87" s="5" t="n"/>
      <c r="B87" s="6">
        <f>IF(A87="","",COUNTA($A$5:A87))</f>
        <v/>
      </c>
      <c r="C87" s="6">
        <f>IF(B87="","",IF($B$2="OK",INT((B87-1)/$B$1)+1,"Check batch size"))</f>
        <v/>
      </c>
      <c r="D87" s="6">
        <f>IF(B87="","",IF($B$2="OK",MOD(B87-1,$B$1)+1,"Check batch size"))</f>
        <v/>
      </c>
      <c r="E87" s="6">
        <f>IF(B87="","",IF(COUNTA(Helpers!$A$4:$A$8)=0,"No helper",INDEX(Helpers!$A$4:$A$8,MOD(B87-1,COUNTA(Helpers!$A$4:$A$8))+1)&amp;""))</f>
        <v/>
      </c>
    </row>
    <row r="88">
      <c r="A88" s="5" t="n"/>
      <c r="B88" s="6">
        <f>IF(A88="","",COUNTA($A$5:A88))</f>
        <v/>
      </c>
      <c r="C88" s="6">
        <f>IF(B88="","",IF($B$2="OK",INT((B88-1)/$B$1)+1,"Check batch size"))</f>
        <v/>
      </c>
      <c r="D88" s="6">
        <f>IF(B88="","",IF($B$2="OK",MOD(B88-1,$B$1)+1,"Check batch size"))</f>
        <v/>
      </c>
      <c r="E88" s="6">
        <f>IF(B88="","",IF(COUNTA(Helpers!$A$4:$A$8)=0,"No helper",INDEX(Helpers!$A$4:$A$8,MOD(B88-1,COUNTA(Helpers!$A$4:$A$8))+1)&amp;""))</f>
        <v/>
      </c>
    </row>
    <row r="89">
      <c r="A89" s="5" t="n"/>
      <c r="B89" s="6">
        <f>IF(A89="","",COUNTA($A$5:A89))</f>
        <v/>
      </c>
      <c r="C89" s="6">
        <f>IF(B89="","",IF($B$2="OK",INT((B89-1)/$B$1)+1,"Check batch size"))</f>
        <v/>
      </c>
      <c r="D89" s="6">
        <f>IF(B89="","",IF($B$2="OK",MOD(B89-1,$B$1)+1,"Check batch size"))</f>
        <v/>
      </c>
      <c r="E89" s="6">
        <f>IF(B89="","",IF(COUNTA(Helpers!$A$4:$A$8)=0,"No helper",INDEX(Helpers!$A$4:$A$8,MOD(B89-1,COUNTA(Helpers!$A$4:$A$8))+1)&amp;""))</f>
        <v/>
      </c>
    </row>
    <row r="90">
      <c r="A90" s="5" t="n"/>
      <c r="B90" s="6">
        <f>IF(A90="","",COUNTA($A$5:A90))</f>
        <v/>
      </c>
      <c r="C90" s="6">
        <f>IF(B90="","",IF($B$2="OK",INT((B90-1)/$B$1)+1,"Check batch size"))</f>
        <v/>
      </c>
      <c r="D90" s="6">
        <f>IF(B90="","",IF($B$2="OK",MOD(B90-1,$B$1)+1,"Check batch size"))</f>
        <v/>
      </c>
      <c r="E90" s="6">
        <f>IF(B90="","",IF(COUNTA(Helpers!$A$4:$A$8)=0,"No helper",INDEX(Helpers!$A$4:$A$8,MOD(B90-1,COUNTA(Helpers!$A$4:$A$8))+1)&amp;""))</f>
        <v/>
      </c>
    </row>
    <row r="91">
      <c r="A91" s="5" t="n"/>
      <c r="B91" s="6">
        <f>IF(A91="","",COUNTA($A$5:A91))</f>
        <v/>
      </c>
      <c r="C91" s="6">
        <f>IF(B91="","",IF($B$2="OK",INT((B91-1)/$B$1)+1,"Check batch size"))</f>
        <v/>
      </c>
      <c r="D91" s="6">
        <f>IF(B91="","",IF($B$2="OK",MOD(B91-1,$B$1)+1,"Check batch size"))</f>
        <v/>
      </c>
      <c r="E91" s="6">
        <f>IF(B91="","",IF(COUNTA(Helpers!$A$4:$A$8)=0,"No helper",INDEX(Helpers!$A$4:$A$8,MOD(B91-1,COUNTA(Helpers!$A$4:$A$8))+1)&amp;""))</f>
        <v/>
      </c>
    </row>
    <row r="92">
      <c r="A92" s="5" t="n"/>
      <c r="B92" s="6">
        <f>IF(A92="","",COUNTA($A$5:A92))</f>
        <v/>
      </c>
      <c r="C92" s="6">
        <f>IF(B92="","",IF($B$2="OK",INT((B92-1)/$B$1)+1,"Check batch size"))</f>
        <v/>
      </c>
      <c r="D92" s="6">
        <f>IF(B92="","",IF($B$2="OK",MOD(B92-1,$B$1)+1,"Check batch size"))</f>
        <v/>
      </c>
      <c r="E92" s="6">
        <f>IF(B92="","",IF(COUNTA(Helpers!$A$4:$A$8)=0,"No helper",INDEX(Helpers!$A$4:$A$8,MOD(B92-1,COUNTA(Helpers!$A$4:$A$8))+1)&amp;""))</f>
        <v/>
      </c>
    </row>
    <row r="93">
      <c r="A93" s="5" t="n"/>
      <c r="B93" s="6">
        <f>IF(A93="","",COUNTA($A$5:A93))</f>
        <v/>
      </c>
      <c r="C93" s="6">
        <f>IF(B93="","",IF($B$2="OK",INT((B93-1)/$B$1)+1,"Check batch size"))</f>
        <v/>
      </c>
      <c r="D93" s="6">
        <f>IF(B93="","",IF($B$2="OK",MOD(B93-1,$B$1)+1,"Check batch size"))</f>
        <v/>
      </c>
      <c r="E93" s="6">
        <f>IF(B93="","",IF(COUNTA(Helpers!$A$4:$A$8)=0,"No helper",INDEX(Helpers!$A$4:$A$8,MOD(B93-1,COUNTA(Helpers!$A$4:$A$8))+1)&amp;""))</f>
        <v/>
      </c>
    </row>
    <row r="94">
      <c r="A94" s="5" t="n"/>
      <c r="B94" s="6">
        <f>IF(A94="","",COUNTA($A$5:A94))</f>
        <v/>
      </c>
      <c r="C94" s="6">
        <f>IF(B94="","",IF($B$2="OK",INT((B94-1)/$B$1)+1,"Check batch size"))</f>
        <v/>
      </c>
      <c r="D94" s="6">
        <f>IF(B94="","",IF($B$2="OK",MOD(B94-1,$B$1)+1,"Check batch size"))</f>
        <v/>
      </c>
      <c r="E94" s="6">
        <f>IF(B94="","",IF(COUNTA(Helpers!$A$4:$A$8)=0,"No helper",INDEX(Helpers!$A$4:$A$8,MOD(B94-1,COUNTA(Helpers!$A$4:$A$8))+1)&amp;""))</f>
        <v/>
      </c>
    </row>
    <row r="95">
      <c r="A95" s="5" t="n"/>
      <c r="B95" s="6">
        <f>IF(A95="","",COUNTA($A$5:A95))</f>
        <v/>
      </c>
      <c r="C95" s="6">
        <f>IF(B95="","",IF($B$2="OK",INT((B95-1)/$B$1)+1,"Check batch size"))</f>
        <v/>
      </c>
      <c r="D95" s="6">
        <f>IF(B95="","",IF($B$2="OK",MOD(B95-1,$B$1)+1,"Check batch size"))</f>
        <v/>
      </c>
      <c r="E95" s="6">
        <f>IF(B95="","",IF(COUNTA(Helpers!$A$4:$A$8)=0,"No helper",INDEX(Helpers!$A$4:$A$8,MOD(B95-1,COUNTA(Helpers!$A$4:$A$8))+1)&amp;""))</f>
        <v/>
      </c>
    </row>
    <row r="96">
      <c r="A96" s="5" t="n"/>
      <c r="B96" s="6">
        <f>IF(A96="","",COUNTA($A$5:A96))</f>
        <v/>
      </c>
      <c r="C96" s="6">
        <f>IF(B96="","",IF($B$2="OK",INT((B96-1)/$B$1)+1,"Check batch size"))</f>
        <v/>
      </c>
      <c r="D96" s="6">
        <f>IF(B96="","",IF($B$2="OK",MOD(B96-1,$B$1)+1,"Check batch size"))</f>
        <v/>
      </c>
      <c r="E96" s="6">
        <f>IF(B96="","",IF(COUNTA(Helpers!$A$4:$A$8)=0,"No helper",INDEX(Helpers!$A$4:$A$8,MOD(B96-1,COUNTA(Helpers!$A$4:$A$8))+1)&amp;""))</f>
        <v/>
      </c>
    </row>
    <row r="97">
      <c r="A97" s="5" t="n"/>
      <c r="B97" s="6">
        <f>IF(A97="","",COUNTA($A$5:A97))</f>
        <v/>
      </c>
      <c r="C97" s="6">
        <f>IF(B97="","",IF($B$2="OK",INT((B97-1)/$B$1)+1,"Check batch size"))</f>
        <v/>
      </c>
      <c r="D97" s="6">
        <f>IF(B97="","",IF($B$2="OK",MOD(B97-1,$B$1)+1,"Check batch size"))</f>
        <v/>
      </c>
      <c r="E97" s="6">
        <f>IF(B97="","",IF(COUNTA(Helpers!$A$4:$A$8)=0,"No helper",INDEX(Helpers!$A$4:$A$8,MOD(B97-1,COUNTA(Helpers!$A$4:$A$8))+1)&amp;""))</f>
        <v/>
      </c>
    </row>
    <row r="98">
      <c r="A98" s="5" t="n"/>
      <c r="B98" s="6">
        <f>IF(A98="","",COUNTA($A$5:A98))</f>
        <v/>
      </c>
      <c r="C98" s="6">
        <f>IF(B98="","",IF($B$2="OK",INT((B98-1)/$B$1)+1,"Check batch size"))</f>
        <v/>
      </c>
      <c r="D98" s="6">
        <f>IF(B98="","",IF($B$2="OK",MOD(B98-1,$B$1)+1,"Check batch size"))</f>
        <v/>
      </c>
      <c r="E98" s="6">
        <f>IF(B98="","",IF(COUNTA(Helpers!$A$4:$A$8)=0,"No helper",INDEX(Helpers!$A$4:$A$8,MOD(B98-1,COUNTA(Helpers!$A$4:$A$8))+1)&amp;""))</f>
        <v/>
      </c>
    </row>
    <row r="99">
      <c r="A99" s="5" t="n"/>
      <c r="B99" s="6">
        <f>IF(A99="","",COUNTA($A$5:A99))</f>
        <v/>
      </c>
      <c r="C99" s="6">
        <f>IF(B99="","",IF($B$2="OK",INT((B99-1)/$B$1)+1,"Check batch size"))</f>
        <v/>
      </c>
      <c r="D99" s="6">
        <f>IF(B99="","",IF($B$2="OK",MOD(B99-1,$B$1)+1,"Check batch size"))</f>
        <v/>
      </c>
      <c r="E99" s="6">
        <f>IF(B99="","",IF(COUNTA(Helpers!$A$4:$A$8)=0,"No helper",INDEX(Helpers!$A$4:$A$8,MOD(B99-1,COUNTA(Helpers!$A$4:$A$8))+1)&amp;""))</f>
        <v/>
      </c>
    </row>
    <row r="100">
      <c r="A100" s="5" t="n"/>
      <c r="B100" s="6">
        <f>IF(A100="","",COUNTA($A$5:A100))</f>
        <v/>
      </c>
      <c r="C100" s="6">
        <f>IF(B100="","",IF($B$2="OK",INT((B100-1)/$B$1)+1,"Check batch size"))</f>
        <v/>
      </c>
      <c r="D100" s="6">
        <f>IF(B100="","",IF($B$2="OK",MOD(B100-1,$B$1)+1,"Check batch size"))</f>
        <v/>
      </c>
      <c r="E100" s="6">
        <f>IF(B100="","",IF(COUNTA(Helpers!$A$4:$A$8)=0,"No helper",INDEX(Helpers!$A$4:$A$8,MOD(B100-1,COUNTA(Helpers!$A$4:$A$8))+1)&amp;""))</f>
        <v/>
      </c>
    </row>
    <row r="101">
      <c r="A101" s="5" t="n"/>
      <c r="B101" s="6">
        <f>IF(A101="","",COUNTA($A$5:A101))</f>
        <v/>
      </c>
      <c r="C101" s="6">
        <f>IF(B101="","",IF($B$2="OK",INT((B101-1)/$B$1)+1,"Check batch size"))</f>
        <v/>
      </c>
      <c r="D101" s="6">
        <f>IF(B101="","",IF($B$2="OK",MOD(B101-1,$B$1)+1,"Check batch size"))</f>
        <v/>
      </c>
      <c r="E101" s="6">
        <f>IF(B101="","",IF(COUNTA(Helpers!$A$4:$A$8)=0,"No helper",INDEX(Helpers!$A$4:$A$8,MOD(B101-1,COUNTA(Helpers!$A$4:$A$8))+1)&amp;""))</f>
        <v/>
      </c>
    </row>
    <row r="102">
      <c r="A102" s="5" t="n"/>
      <c r="B102" s="6">
        <f>IF(A102="","",COUNTA($A$5:A102))</f>
        <v/>
      </c>
      <c r="C102" s="6">
        <f>IF(B102="","",IF($B$2="OK",INT((B102-1)/$B$1)+1,"Check batch size"))</f>
        <v/>
      </c>
      <c r="D102" s="6">
        <f>IF(B102="","",IF($B$2="OK",MOD(B102-1,$B$1)+1,"Check batch size"))</f>
        <v/>
      </c>
      <c r="E102" s="6">
        <f>IF(B102="","",IF(COUNTA(Helpers!$A$4:$A$8)=0,"No helper",INDEX(Helpers!$A$4:$A$8,MOD(B102-1,COUNTA(Helpers!$A$4:$A$8))+1)&amp;""))</f>
        <v/>
      </c>
    </row>
    <row r="103">
      <c r="A103" s="5" t="n"/>
      <c r="B103" s="6">
        <f>IF(A103="","",COUNTA($A$5:A103))</f>
        <v/>
      </c>
      <c r="C103" s="6">
        <f>IF(B103="","",IF($B$2="OK",INT((B103-1)/$B$1)+1,"Check batch size"))</f>
        <v/>
      </c>
      <c r="D103" s="6">
        <f>IF(B103="","",IF($B$2="OK",MOD(B103-1,$B$1)+1,"Check batch size"))</f>
        <v/>
      </c>
      <c r="E103" s="6">
        <f>IF(B103="","",IF(COUNTA(Helpers!$A$4:$A$8)=0,"No helper",INDEX(Helpers!$A$4:$A$8,MOD(B103-1,COUNTA(Helpers!$A$4:$A$8))+1)&amp;""))</f>
        <v/>
      </c>
    </row>
    <row r="104">
      <c r="A104" s="5" t="n"/>
      <c r="B104" s="6">
        <f>IF(A104="","",COUNTA($A$5:A104))</f>
        <v/>
      </c>
      <c r="C104" s="6">
        <f>IF(B104="","",IF($B$2="OK",INT((B104-1)/$B$1)+1,"Check batch size"))</f>
        <v/>
      </c>
      <c r="D104" s="6">
        <f>IF(B104="","",IF($B$2="OK",MOD(B104-1,$B$1)+1,"Check batch size"))</f>
        <v/>
      </c>
      <c r="E104" s="6">
        <f>IF(B104="","",IF(COUNTA(Helpers!$A$4:$A$8)=0,"No helper",INDEX(Helpers!$A$4:$A$8,MOD(B104-1,COUNTA(Helpers!$A$4:$A$8))+1)&amp;""))</f>
        <v/>
      </c>
    </row>
    <row r="105">
      <c r="A105" s="5" t="n"/>
      <c r="B105" s="6">
        <f>IF(A105="","",COUNTA($A$5:A105))</f>
        <v/>
      </c>
      <c r="C105" s="6">
        <f>IF(B105="","",IF($B$2="OK",INT((B105-1)/$B$1)+1,"Check batch size"))</f>
        <v/>
      </c>
      <c r="D105" s="6">
        <f>IF(B105="","",IF($B$2="OK",MOD(B105-1,$B$1)+1,"Check batch size"))</f>
        <v/>
      </c>
      <c r="E105" s="6">
        <f>IF(B105="","",IF(COUNTA(Helpers!$A$4:$A$8)=0,"No helper",INDEX(Helpers!$A$4:$A$8,MOD(B105-1,COUNTA(Helpers!$A$4:$A$8))+1)&amp;""))</f>
        <v/>
      </c>
    </row>
    <row r="106">
      <c r="A106" s="5" t="n"/>
      <c r="B106" s="6">
        <f>IF(A106="","",COUNTA($A$5:A106))</f>
        <v/>
      </c>
      <c r="C106" s="6">
        <f>IF(B106="","",IF($B$2="OK",INT((B106-1)/$B$1)+1,"Check batch size"))</f>
        <v/>
      </c>
      <c r="D106" s="6">
        <f>IF(B106="","",IF($B$2="OK",MOD(B106-1,$B$1)+1,"Check batch size"))</f>
        <v/>
      </c>
      <c r="E106" s="6">
        <f>IF(B106="","",IF(COUNTA(Helpers!$A$4:$A$8)=0,"No helper",INDEX(Helpers!$A$4:$A$8,MOD(B106-1,COUNTA(Helpers!$A$4:$A$8))+1)&amp;""))</f>
        <v/>
      </c>
    </row>
    <row r="107">
      <c r="A107" s="5" t="n"/>
      <c r="B107" s="6">
        <f>IF(A107="","",COUNTA($A$5:A107))</f>
        <v/>
      </c>
      <c r="C107" s="6">
        <f>IF(B107="","",IF($B$2="OK",INT((B107-1)/$B$1)+1,"Check batch size"))</f>
        <v/>
      </c>
      <c r="D107" s="6">
        <f>IF(B107="","",IF($B$2="OK",MOD(B107-1,$B$1)+1,"Check batch size"))</f>
        <v/>
      </c>
      <c r="E107" s="6">
        <f>IF(B107="","",IF(COUNTA(Helpers!$A$4:$A$8)=0,"No helper",INDEX(Helpers!$A$4:$A$8,MOD(B107-1,COUNTA(Helpers!$A$4:$A$8))+1)&amp;""))</f>
        <v/>
      </c>
    </row>
    <row r="108">
      <c r="A108" s="5" t="n"/>
      <c r="B108" s="6">
        <f>IF(A108="","",COUNTA($A$5:A108))</f>
        <v/>
      </c>
      <c r="C108" s="6">
        <f>IF(B108="","",IF($B$2="OK",INT((B108-1)/$B$1)+1,"Check batch size"))</f>
        <v/>
      </c>
      <c r="D108" s="6">
        <f>IF(B108="","",IF($B$2="OK",MOD(B108-1,$B$1)+1,"Check batch size"))</f>
        <v/>
      </c>
      <c r="E108" s="6">
        <f>IF(B108="","",IF(COUNTA(Helpers!$A$4:$A$8)=0,"No helper",INDEX(Helpers!$A$4:$A$8,MOD(B108-1,COUNTA(Helpers!$A$4:$A$8))+1)&amp;""))</f>
        <v/>
      </c>
    </row>
    <row r="109">
      <c r="A109" s="5" t="n"/>
      <c r="B109" s="6">
        <f>IF(A109="","",COUNTA($A$5:A109))</f>
        <v/>
      </c>
      <c r="C109" s="6">
        <f>IF(B109="","",IF($B$2="OK",INT((B109-1)/$B$1)+1,"Check batch size"))</f>
        <v/>
      </c>
      <c r="D109" s="6">
        <f>IF(B109="","",IF($B$2="OK",MOD(B109-1,$B$1)+1,"Check batch size"))</f>
        <v/>
      </c>
      <c r="E109" s="6">
        <f>IF(B109="","",IF(COUNTA(Helpers!$A$4:$A$8)=0,"No helper",INDEX(Helpers!$A$4:$A$8,MOD(B109-1,COUNTA(Helpers!$A$4:$A$8))+1)&amp;""))</f>
        <v/>
      </c>
    </row>
    <row r="110">
      <c r="A110" s="5" t="n"/>
      <c r="B110" s="6">
        <f>IF(A110="","",COUNTA($A$5:A110))</f>
        <v/>
      </c>
      <c r="C110" s="6">
        <f>IF(B110="","",IF($B$2="OK",INT((B110-1)/$B$1)+1,"Check batch size"))</f>
        <v/>
      </c>
      <c r="D110" s="6">
        <f>IF(B110="","",IF($B$2="OK",MOD(B110-1,$B$1)+1,"Check batch size"))</f>
        <v/>
      </c>
      <c r="E110" s="6">
        <f>IF(B110="","",IF(COUNTA(Helpers!$A$4:$A$8)=0,"No helper",INDEX(Helpers!$A$4:$A$8,MOD(B110-1,COUNTA(Helpers!$A$4:$A$8))+1)&amp;""))</f>
        <v/>
      </c>
    </row>
    <row r="111">
      <c r="A111" s="5" t="n"/>
      <c r="B111" s="6">
        <f>IF(A111="","",COUNTA($A$5:A111))</f>
        <v/>
      </c>
      <c r="C111" s="6">
        <f>IF(B111="","",IF($B$2="OK",INT((B111-1)/$B$1)+1,"Check batch size"))</f>
        <v/>
      </c>
      <c r="D111" s="6">
        <f>IF(B111="","",IF($B$2="OK",MOD(B111-1,$B$1)+1,"Check batch size"))</f>
        <v/>
      </c>
      <c r="E111" s="6">
        <f>IF(B111="","",IF(COUNTA(Helpers!$A$4:$A$8)=0,"No helper",INDEX(Helpers!$A$4:$A$8,MOD(B111-1,COUNTA(Helpers!$A$4:$A$8))+1)&amp;""))</f>
        <v/>
      </c>
    </row>
    <row r="112">
      <c r="A112" s="5" t="n"/>
      <c r="B112" s="6">
        <f>IF(A112="","",COUNTA($A$5:A112))</f>
        <v/>
      </c>
      <c r="C112" s="6">
        <f>IF(B112="","",IF($B$2="OK",INT((B112-1)/$B$1)+1,"Check batch size"))</f>
        <v/>
      </c>
      <c r="D112" s="6">
        <f>IF(B112="","",IF($B$2="OK",MOD(B112-1,$B$1)+1,"Check batch size"))</f>
        <v/>
      </c>
      <c r="E112" s="6">
        <f>IF(B112="","",IF(COUNTA(Helpers!$A$4:$A$8)=0,"No helper",INDEX(Helpers!$A$4:$A$8,MOD(B112-1,COUNTA(Helpers!$A$4:$A$8))+1)&amp;""))</f>
        <v/>
      </c>
    </row>
    <row r="113">
      <c r="A113" s="5" t="n"/>
      <c r="B113" s="6">
        <f>IF(A113="","",COUNTA($A$5:A113))</f>
        <v/>
      </c>
      <c r="C113" s="6">
        <f>IF(B113="","",IF($B$2="OK",INT((B113-1)/$B$1)+1,"Check batch size"))</f>
        <v/>
      </c>
      <c r="D113" s="6">
        <f>IF(B113="","",IF($B$2="OK",MOD(B113-1,$B$1)+1,"Check batch size"))</f>
        <v/>
      </c>
      <c r="E113" s="6">
        <f>IF(B113="","",IF(COUNTA(Helpers!$A$4:$A$8)=0,"No helper",INDEX(Helpers!$A$4:$A$8,MOD(B113-1,COUNTA(Helpers!$A$4:$A$8))+1)&amp;""))</f>
        <v/>
      </c>
    </row>
    <row r="114">
      <c r="A114" s="5" t="n"/>
      <c r="B114" s="6">
        <f>IF(A114="","",COUNTA($A$5:A114))</f>
        <v/>
      </c>
      <c r="C114" s="6">
        <f>IF(B114="","",IF($B$2="OK",INT((B114-1)/$B$1)+1,"Check batch size"))</f>
        <v/>
      </c>
      <c r="D114" s="6">
        <f>IF(B114="","",IF($B$2="OK",MOD(B114-1,$B$1)+1,"Check batch size"))</f>
        <v/>
      </c>
      <c r="E114" s="6">
        <f>IF(B114="","",IF(COUNTA(Helpers!$A$4:$A$8)=0,"No helper",INDEX(Helpers!$A$4:$A$8,MOD(B114-1,COUNTA(Helpers!$A$4:$A$8))+1)&amp;""))</f>
        <v/>
      </c>
    </row>
    <row r="115">
      <c r="A115" s="5" t="n"/>
      <c r="B115" s="6">
        <f>IF(A115="","",COUNTA($A$5:A115))</f>
        <v/>
      </c>
      <c r="C115" s="6">
        <f>IF(B115="","",IF($B$2="OK",INT((B115-1)/$B$1)+1,"Check batch size"))</f>
        <v/>
      </c>
      <c r="D115" s="6">
        <f>IF(B115="","",IF($B$2="OK",MOD(B115-1,$B$1)+1,"Check batch size"))</f>
        <v/>
      </c>
      <c r="E115" s="6">
        <f>IF(B115="","",IF(COUNTA(Helpers!$A$4:$A$8)=0,"No helper",INDEX(Helpers!$A$4:$A$8,MOD(B115-1,COUNTA(Helpers!$A$4:$A$8))+1)&amp;""))</f>
        <v/>
      </c>
    </row>
    <row r="116">
      <c r="A116" s="5" t="n"/>
      <c r="B116" s="6">
        <f>IF(A116="","",COUNTA($A$5:A116))</f>
        <v/>
      </c>
      <c r="C116" s="6">
        <f>IF(B116="","",IF($B$2="OK",INT((B116-1)/$B$1)+1,"Check batch size"))</f>
        <v/>
      </c>
      <c r="D116" s="6">
        <f>IF(B116="","",IF($B$2="OK",MOD(B116-1,$B$1)+1,"Check batch size"))</f>
        <v/>
      </c>
      <c r="E116" s="6">
        <f>IF(B116="","",IF(COUNTA(Helpers!$A$4:$A$8)=0,"No helper",INDEX(Helpers!$A$4:$A$8,MOD(B116-1,COUNTA(Helpers!$A$4:$A$8))+1)&amp;""))</f>
        <v/>
      </c>
    </row>
    <row r="117">
      <c r="A117" s="5" t="n"/>
      <c r="B117" s="6">
        <f>IF(A117="","",COUNTA($A$5:A117))</f>
        <v/>
      </c>
      <c r="C117" s="6">
        <f>IF(B117="","",IF($B$2="OK",INT((B117-1)/$B$1)+1,"Check batch size"))</f>
        <v/>
      </c>
      <c r="D117" s="6">
        <f>IF(B117="","",IF($B$2="OK",MOD(B117-1,$B$1)+1,"Check batch size"))</f>
        <v/>
      </c>
      <c r="E117" s="6">
        <f>IF(B117="","",IF(COUNTA(Helpers!$A$4:$A$8)=0,"No helper",INDEX(Helpers!$A$4:$A$8,MOD(B117-1,COUNTA(Helpers!$A$4:$A$8))+1)&amp;""))</f>
        <v/>
      </c>
    </row>
    <row r="118">
      <c r="A118" s="5" t="n"/>
      <c r="B118" s="6">
        <f>IF(A118="","",COUNTA($A$5:A118))</f>
        <v/>
      </c>
      <c r="C118" s="6">
        <f>IF(B118="","",IF($B$2="OK",INT((B118-1)/$B$1)+1,"Check batch size"))</f>
        <v/>
      </c>
      <c r="D118" s="6">
        <f>IF(B118="","",IF($B$2="OK",MOD(B118-1,$B$1)+1,"Check batch size"))</f>
        <v/>
      </c>
      <c r="E118" s="6">
        <f>IF(B118="","",IF(COUNTA(Helpers!$A$4:$A$8)=0,"No helper",INDEX(Helpers!$A$4:$A$8,MOD(B118-1,COUNTA(Helpers!$A$4:$A$8))+1)&amp;""))</f>
        <v/>
      </c>
    </row>
    <row r="119">
      <c r="A119" s="5" t="n"/>
      <c r="B119" s="6">
        <f>IF(A119="","",COUNTA($A$5:A119))</f>
        <v/>
      </c>
      <c r="C119" s="6">
        <f>IF(B119="","",IF($B$2="OK",INT((B119-1)/$B$1)+1,"Check batch size"))</f>
        <v/>
      </c>
      <c r="D119" s="6">
        <f>IF(B119="","",IF($B$2="OK",MOD(B119-1,$B$1)+1,"Check batch size"))</f>
        <v/>
      </c>
      <c r="E119" s="6">
        <f>IF(B119="","",IF(COUNTA(Helpers!$A$4:$A$8)=0,"No helper",INDEX(Helpers!$A$4:$A$8,MOD(B119-1,COUNTA(Helpers!$A$4:$A$8))+1)&amp;""))</f>
        <v/>
      </c>
    </row>
    <row r="120">
      <c r="A120" s="5" t="n"/>
      <c r="B120" s="6">
        <f>IF(A120="","",COUNTA($A$5:A120))</f>
        <v/>
      </c>
      <c r="C120" s="6">
        <f>IF(B120="","",IF($B$2="OK",INT((B120-1)/$B$1)+1,"Check batch size"))</f>
        <v/>
      </c>
      <c r="D120" s="6">
        <f>IF(B120="","",IF($B$2="OK",MOD(B120-1,$B$1)+1,"Check batch size"))</f>
        <v/>
      </c>
      <c r="E120" s="6">
        <f>IF(B120="","",IF(COUNTA(Helpers!$A$4:$A$8)=0,"No helper",INDEX(Helpers!$A$4:$A$8,MOD(B120-1,COUNTA(Helpers!$A$4:$A$8))+1)&amp;""))</f>
        <v/>
      </c>
    </row>
    <row r="121">
      <c r="A121" s="5" t="n"/>
      <c r="B121" s="6">
        <f>IF(A121="","",COUNTA($A$5:A121))</f>
        <v/>
      </c>
      <c r="C121" s="6">
        <f>IF(B121="","",IF($B$2="OK",INT((B121-1)/$B$1)+1,"Check batch size"))</f>
        <v/>
      </c>
      <c r="D121" s="6">
        <f>IF(B121="","",IF($B$2="OK",MOD(B121-1,$B$1)+1,"Check batch size"))</f>
        <v/>
      </c>
      <c r="E121" s="6">
        <f>IF(B121="","",IF(COUNTA(Helpers!$A$4:$A$8)=0,"No helper",INDEX(Helpers!$A$4:$A$8,MOD(B121-1,COUNTA(Helpers!$A$4:$A$8))+1)&amp;""))</f>
        <v/>
      </c>
    </row>
    <row r="122">
      <c r="A122" s="5" t="n"/>
      <c r="B122" s="6">
        <f>IF(A122="","",COUNTA($A$5:A122))</f>
        <v/>
      </c>
      <c r="C122" s="6">
        <f>IF(B122="","",IF($B$2="OK",INT((B122-1)/$B$1)+1,"Check batch size"))</f>
        <v/>
      </c>
      <c r="D122" s="6">
        <f>IF(B122="","",IF($B$2="OK",MOD(B122-1,$B$1)+1,"Check batch size"))</f>
        <v/>
      </c>
      <c r="E122" s="6">
        <f>IF(B122="","",IF(COUNTA(Helpers!$A$4:$A$8)=0,"No helper",INDEX(Helpers!$A$4:$A$8,MOD(B122-1,COUNTA(Helpers!$A$4:$A$8))+1)&amp;""))</f>
        <v/>
      </c>
    </row>
    <row r="123">
      <c r="A123" s="5" t="n"/>
      <c r="B123" s="6">
        <f>IF(A123="","",COUNTA($A$5:A123))</f>
        <v/>
      </c>
      <c r="C123" s="6">
        <f>IF(B123="","",IF($B$2="OK",INT((B123-1)/$B$1)+1,"Check batch size"))</f>
        <v/>
      </c>
      <c r="D123" s="6">
        <f>IF(B123="","",IF($B$2="OK",MOD(B123-1,$B$1)+1,"Check batch size"))</f>
        <v/>
      </c>
      <c r="E123" s="6">
        <f>IF(B123="","",IF(COUNTA(Helpers!$A$4:$A$8)=0,"No helper",INDEX(Helpers!$A$4:$A$8,MOD(B123-1,COUNTA(Helpers!$A$4:$A$8))+1)&amp;""))</f>
        <v/>
      </c>
    </row>
    <row r="124">
      <c r="A124" s="5" t="n"/>
      <c r="B124" s="6">
        <f>IF(A124="","",COUNTA($A$5:A124))</f>
        <v/>
      </c>
      <c r="C124" s="6">
        <f>IF(B124="","",IF($B$2="OK",INT((B124-1)/$B$1)+1,"Check batch size"))</f>
        <v/>
      </c>
      <c r="D124" s="6">
        <f>IF(B124="","",IF($B$2="OK",MOD(B124-1,$B$1)+1,"Check batch size"))</f>
        <v/>
      </c>
      <c r="E124" s="6">
        <f>IF(B124="","",IF(COUNTA(Helpers!$A$4:$A$8)=0,"No helper",INDEX(Helpers!$A$4:$A$8,MOD(B124-1,COUNTA(Helpers!$A$4:$A$8))+1)&amp;""))</f>
        <v/>
      </c>
    </row>
    <row r="125">
      <c r="A125" s="5" t="n"/>
      <c r="B125" s="6">
        <f>IF(A125="","",COUNTA($A$5:A125))</f>
        <v/>
      </c>
      <c r="C125" s="6">
        <f>IF(B125="","",IF($B$2="OK",INT((B125-1)/$B$1)+1,"Check batch size"))</f>
        <v/>
      </c>
      <c r="D125" s="6">
        <f>IF(B125="","",IF($B$2="OK",MOD(B125-1,$B$1)+1,"Check batch size"))</f>
        <v/>
      </c>
      <c r="E125" s="6">
        <f>IF(B125="","",IF(COUNTA(Helpers!$A$4:$A$8)=0,"No helper",INDEX(Helpers!$A$4:$A$8,MOD(B125-1,COUNTA(Helpers!$A$4:$A$8))+1)&amp;""))</f>
        <v/>
      </c>
    </row>
    <row r="126">
      <c r="A126" s="5" t="n"/>
      <c r="B126" s="6">
        <f>IF(A126="","",COUNTA($A$5:A126))</f>
        <v/>
      </c>
      <c r="C126" s="6">
        <f>IF(B126="","",IF($B$2="OK",INT((B126-1)/$B$1)+1,"Check batch size"))</f>
        <v/>
      </c>
      <c r="D126" s="6">
        <f>IF(B126="","",IF($B$2="OK",MOD(B126-1,$B$1)+1,"Check batch size"))</f>
        <v/>
      </c>
      <c r="E126" s="6">
        <f>IF(B126="","",IF(COUNTA(Helpers!$A$4:$A$8)=0,"No helper",INDEX(Helpers!$A$4:$A$8,MOD(B126-1,COUNTA(Helpers!$A$4:$A$8))+1)&amp;""))</f>
        <v/>
      </c>
    </row>
    <row r="127">
      <c r="A127" s="5" t="n"/>
      <c r="B127" s="6">
        <f>IF(A127="","",COUNTA($A$5:A127))</f>
        <v/>
      </c>
      <c r="C127" s="6">
        <f>IF(B127="","",IF($B$2="OK",INT((B127-1)/$B$1)+1,"Check batch size"))</f>
        <v/>
      </c>
      <c r="D127" s="6">
        <f>IF(B127="","",IF($B$2="OK",MOD(B127-1,$B$1)+1,"Check batch size"))</f>
        <v/>
      </c>
      <c r="E127" s="6">
        <f>IF(B127="","",IF(COUNTA(Helpers!$A$4:$A$8)=0,"No helper",INDEX(Helpers!$A$4:$A$8,MOD(B127-1,COUNTA(Helpers!$A$4:$A$8))+1)&amp;""))</f>
        <v/>
      </c>
    </row>
    <row r="128">
      <c r="A128" s="5" t="n"/>
      <c r="B128" s="6">
        <f>IF(A128="","",COUNTA($A$5:A128))</f>
        <v/>
      </c>
      <c r="C128" s="6">
        <f>IF(B128="","",IF($B$2="OK",INT((B128-1)/$B$1)+1,"Check batch size"))</f>
        <v/>
      </c>
      <c r="D128" s="6">
        <f>IF(B128="","",IF($B$2="OK",MOD(B128-1,$B$1)+1,"Check batch size"))</f>
        <v/>
      </c>
      <c r="E128" s="6">
        <f>IF(B128="","",IF(COUNTA(Helpers!$A$4:$A$8)=0,"No helper",INDEX(Helpers!$A$4:$A$8,MOD(B128-1,COUNTA(Helpers!$A$4:$A$8))+1)&amp;""))</f>
        <v/>
      </c>
    </row>
    <row r="129">
      <c r="A129" s="5" t="n"/>
      <c r="B129" s="6">
        <f>IF(A129="","",COUNTA($A$5:A129))</f>
        <v/>
      </c>
      <c r="C129" s="6">
        <f>IF(B129="","",IF($B$2="OK",INT((B129-1)/$B$1)+1,"Check batch size"))</f>
        <v/>
      </c>
      <c r="D129" s="6">
        <f>IF(B129="","",IF($B$2="OK",MOD(B129-1,$B$1)+1,"Check batch size"))</f>
        <v/>
      </c>
      <c r="E129" s="6">
        <f>IF(B129="","",IF(COUNTA(Helpers!$A$4:$A$8)=0,"No helper",INDEX(Helpers!$A$4:$A$8,MOD(B129-1,COUNTA(Helpers!$A$4:$A$8))+1)&amp;""))</f>
        <v/>
      </c>
    </row>
    <row r="130">
      <c r="A130" s="5" t="n"/>
      <c r="B130" s="6">
        <f>IF(A130="","",COUNTA($A$5:A130))</f>
        <v/>
      </c>
      <c r="C130" s="6">
        <f>IF(B130="","",IF($B$2="OK",INT((B130-1)/$B$1)+1,"Check batch size"))</f>
        <v/>
      </c>
      <c r="D130" s="6">
        <f>IF(B130="","",IF($B$2="OK",MOD(B130-1,$B$1)+1,"Check batch size"))</f>
        <v/>
      </c>
      <c r="E130" s="6">
        <f>IF(B130="","",IF(COUNTA(Helpers!$A$4:$A$8)=0,"No helper",INDEX(Helpers!$A$4:$A$8,MOD(B130-1,COUNTA(Helpers!$A$4:$A$8))+1)&amp;""))</f>
        <v/>
      </c>
    </row>
    <row r="131">
      <c r="A131" s="5" t="n"/>
      <c r="B131" s="6">
        <f>IF(A131="","",COUNTA($A$5:A131))</f>
        <v/>
      </c>
      <c r="C131" s="6">
        <f>IF(B131="","",IF($B$2="OK",INT((B131-1)/$B$1)+1,"Check batch size"))</f>
        <v/>
      </c>
      <c r="D131" s="6">
        <f>IF(B131="","",IF($B$2="OK",MOD(B131-1,$B$1)+1,"Check batch size"))</f>
        <v/>
      </c>
      <c r="E131" s="6">
        <f>IF(B131="","",IF(COUNTA(Helpers!$A$4:$A$8)=0,"No helper",INDEX(Helpers!$A$4:$A$8,MOD(B131-1,COUNTA(Helpers!$A$4:$A$8))+1)&amp;""))</f>
        <v/>
      </c>
    </row>
    <row r="132">
      <c r="A132" s="5" t="n"/>
      <c r="B132" s="6">
        <f>IF(A132="","",COUNTA($A$5:A132))</f>
        <v/>
      </c>
      <c r="C132" s="6">
        <f>IF(B132="","",IF($B$2="OK",INT((B132-1)/$B$1)+1,"Check batch size"))</f>
        <v/>
      </c>
      <c r="D132" s="6">
        <f>IF(B132="","",IF($B$2="OK",MOD(B132-1,$B$1)+1,"Check batch size"))</f>
        <v/>
      </c>
      <c r="E132" s="6">
        <f>IF(B132="","",IF(COUNTA(Helpers!$A$4:$A$8)=0,"No helper",INDEX(Helpers!$A$4:$A$8,MOD(B132-1,COUNTA(Helpers!$A$4:$A$8))+1)&amp;""))</f>
        <v/>
      </c>
    </row>
    <row r="133">
      <c r="A133" s="5" t="n"/>
      <c r="B133" s="6">
        <f>IF(A133="","",COUNTA($A$5:A133))</f>
        <v/>
      </c>
      <c r="C133" s="6">
        <f>IF(B133="","",IF($B$2="OK",INT((B133-1)/$B$1)+1,"Check batch size"))</f>
        <v/>
      </c>
      <c r="D133" s="6">
        <f>IF(B133="","",IF($B$2="OK",MOD(B133-1,$B$1)+1,"Check batch size"))</f>
        <v/>
      </c>
      <c r="E133" s="6">
        <f>IF(B133="","",IF(COUNTA(Helpers!$A$4:$A$8)=0,"No helper",INDEX(Helpers!$A$4:$A$8,MOD(B133-1,COUNTA(Helpers!$A$4:$A$8))+1)&amp;""))</f>
        <v/>
      </c>
    </row>
    <row r="134">
      <c r="A134" s="5" t="n"/>
      <c r="B134" s="6">
        <f>IF(A134="","",COUNTA($A$5:A134))</f>
        <v/>
      </c>
      <c r="C134" s="6">
        <f>IF(B134="","",IF($B$2="OK",INT((B134-1)/$B$1)+1,"Check batch size"))</f>
        <v/>
      </c>
      <c r="D134" s="6">
        <f>IF(B134="","",IF($B$2="OK",MOD(B134-1,$B$1)+1,"Check batch size"))</f>
        <v/>
      </c>
      <c r="E134" s="6">
        <f>IF(B134="","",IF(COUNTA(Helpers!$A$4:$A$8)=0,"No helper",INDEX(Helpers!$A$4:$A$8,MOD(B134-1,COUNTA(Helpers!$A$4:$A$8))+1)&amp;""))</f>
        <v/>
      </c>
    </row>
    <row r="135">
      <c r="A135" s="5" t="n"/>
      <c r="B135" s="6">
        <f>IF(A135="","",COUNTA($A$5:A135))</f>
        <v/>
      </c>
      <c r="C135" s="6">
        <f>IF(B135="","",IF($B$2="OK",INT((B135-1)/$B$1)+1,"Check batch size"))</f>
        <v/>
      </c>
      <c r="D135" s="6">
        <f>IF(B135="","",IF($B$2="OK",MOD(B135-1,$B$1)+1,"Check batch size"))</f>
        <v/>
      </c>
      <c r="E135" s="6">
        <f>IF(B135="","",IF(COUNTA(Helpers!$A$4:$A$8)=0,"No helper",INDEX(Helpers!$A$4:$A$8,MOD(B135-1,COUNTA(Helpers!$A$4:$A$8))+1)&amp;""))</f>
        <v/>
      </c>
    </row>
    <row r="136">
      <c r="A136" s="5" t="n"/>
      <c r="B136" s="6">
        <f>IF(A136="","",COUNTA($A$5:A136))</f>
        <v/>
      </c>
      <c r="C136" s="6">
        <f>IF(B136="","",IF($B$2="OK",INT((B136-1)/$B$1)+1,"Check batch size"))</f>
        <v/>
      </c>
      <c r="D136" s="6">
        <f>IF(B136="","",IF($B$2="OK",MOD(B136-1,$B$1)+1,"Check batch size"))</f>
        <v/>
      </c>
      <c r="E136" s="6">
        <f>IF(B136="","",IF(COUNTA(Helpers!$A$4:$A$8)=0,"No helper",INDEX(Helpers!$A$4:$A$8,MOD(B136-1,COUNTA(Helpers!$A$4:$A$8))+1)&amp;""))</f>
        <v/>
      </c>
    </row>
    <row r="137">
      <c r="A137" s="5" t="n"/>
      <c r="B137" s="6">
        <f>IF(A137="","",COUNTA($A$5:A137))</f>
        <v/>
      </c>
      <c r="C137" s="6">
        <f>IF(B137="","",IF($B$2="OK",INT((B137-1)/$B$1)+1,"Check batch size"))</f>
        <v/>
      </c>
      <c r="D137" s="6">
        <f>IF(B137="","",IF($B$2="OK",MOD(B137-1,$B$1)+1,"Check batch size"))</f>
        <v/>
      </c>
      <c r="E137" s="6">
        <f>IF(B137="","",IF(COUNTA(Helpers!$A$4:$A$8)=0,"No helper",INDEX(Helpers!$A$4:$A$8,MOD(B137-1,COUNTA(Helpers!$A$4:$A$8))+1)&amp;""))</f>
        <v/>
      </c>
    </row>
    <row r="138">
      <c r="A138" s="5" t="n"/>
      <c r="B138" s="6">
        <f>IF(A138="","",COUNTA($A$5:A138))</f>
        <v/>
      </c>
      <c r="C138" s="6">
        <f>IF(B138="","",IF($B$2="OK",INT((B138-1)/$B$1)+1,"Check batch size"))</f>
        <v/>
      </c>
      <c r="D138" s="6">
        <f>IF(B138="","",IF($B$2="OK",MOD(B138-1,$B$1)+1,"Check batch size"))</f>
        <v/>
      </c>
      <c r="E138" s="6">
        <f>IF(B138="","",IF(COUNTA(Helpers!$A$4:$A$8)=0,"No helper",INDEX(Helpers!$A$4:$A$8,MOD(B138-1,COUNTA(Helpers!$A$4:$A$8))+1)&amp;""))</f>
        <v/>
      </c>
    </row>
    <row r="139">
      <c r="A139" s="5" t="n"/>
      <c r="B139" s="6">
        <f>IF(A139="","",COUNTA($A$5:A139))</f>
        <v/>
      </c>
      <c r="C139" s="6">
        <f>IF(B139="","",IF($B$2="OK",INT((B139-1)/$B$1)+1,"Check batch size"))</f>
        <v/>
      </c>
      <c r="D139" s="6">
        <f>IF(B139="","",IF($B$2="OK",MOD(B139-1,$B$1)+1,"Check batch size"))</f>
        <v/>
      </c>
      <c r="E139" s="6">
        <f>IF(B139="","",IF(COUNTA(Helpers!$A$4:$A$8)=0,"No helper",INDEX(Helpers!$A$4:$A$8,MOD(B139-1,COUNTA(Helpers!$A$4:$A$8))+1)&amp;""))</f>
        <v/>
      </c>
    </row>
    <row r="140">
      <c r="A140" s="5" t="n"/>
      <c r="B140" s="6">
        <f>IF(A140="","",COUNTA($A$5:A140))</f>
        <v/>
      </c>
      <c r="C140" s="6">
        <f>IF(B140="","",IF($B$2="OK",INT((B140-1)/$B$1)+1,"Check batch size"))</f>
        <v/>
      </c>
      <c r="D140" s="6">
        <f>IF(B140="","",IF($B$2="OK",MOD(B140-1,$B$1)+1,"Check batch size"))</f>
        <v/>
      </c>
      <c r="E140" s="6">
        <f>IF(B140="","",IF(COUNTA(Helpers!$A$4:$A$8)=0,"No helper",INDEX(Helpers!$A$4:$A$8,MOD(B140-1,COUNTA(Helpers!$A$4:$A$8))+1)&amp;""))</f>
        <v/>
      </c>
    </row>
    <row r="141">
      <c r="A141" s="5" t="n"/>
      <c r="B141" s="6">
        <f>IF(A141="","",COUNTA($A$5:A141))</f>
        <v/>
      </c>
      <c r="C141" s="6">
        <f>IF(B141="","",IF($B$2="OK",INT((B141-1)/$B$1)+1,"Check batch size"))</f>
        <v/>
      </c>
      <c r="D141" s="6">
        <f>IF(B141="","",IF($B$2="OK",MOD(B141-1,$B$1)+1,"Check batch size"))</f>
        <v/>
      </c>
      <c r="E141" s="6">
        <f>IF(B141="","",IF(COUNTA(Helpers!$A$4:$A$8)=0,"No helper",INDEX(Helpers!$A$4:$A$8,MOD(B141-1,COUNTA(Helpers!$A$4:$A$8))+1)&amp;""))</f>
        <v/>
      </c>
    </row>
    <row r="142">
      <c r="A142" s="5" t="n"/>
      <c r="B142" s="6">
        <f>IF(A142="","",COUNTA($A$5:A142))</f>
        <v/>
      </c>
      <c r="C142" s="6">
        <f>IF(B142="","",IF($B$2="OK",INT((B142-1)/$B$1)+1,"Check batch size"))</f>
        <v/>
      </c>
      <c r="D142" s="6">
        <f>IF(B142="","",IF($B$2="OK",MOD(B142-1,$B$1)+1,"Check batch size"))</f>
        <v/>
      </c>
      <c r="E142" s="6">
        <f>IF(B142="","",IF(COUNTA(Helpers!$A$4:$A$8)=0,"No helper",INDEX(Helpers!$A$4:$A$8,MOD(B142-1,COUNTA(Helpers!$A$4:$A$8))+1)&amp;""))</f>
        <v/>
      </c>
    </row>
    <row r="143">
      <c r="A143" s="5" t="n"/>
      <c r="B143" s="6">
        <f>IF(A143="","",COUNTA($A$5:A143))</f>
        <v/>
      </c>
      <c r="C143" s="6">
        <f>IF(B143="","",IF($B$2="OK",INT((B143-1)/$B$1)+1,"Check batch size"))</f>
        <v/>
      </c>
      <c r="D143" s="6">
        <f>IF(B143="","",IF($B$2="OK",MOD(B143-1,$B$1)+1,"Check batch size"))</f>
        <v/>
      </c>
      <c r="E143" s="6">
        <f>IF(B143="","",IF(COUNTA(Helpers!$A$4:$A$8)=0,"No helper",INDEX(Helpers!$A$4:$A$8,MOD(B143-1,COUNTA(Helpers!$A$4:$A$8))+1)&amp;""))</f>
        <v/>
      </c>
    </row>
    <row r="144">
      <c r="A144" s="5" t="n"/>
      <c r="B144" s="6">
        <f>IF(A144="","",COUNTA($A$5:A144))</f>
        <v/>
      </c>
      <c r="C144" s="6">
        <f>IF(B144="","",IF($B$2="OK",INT((B144-1)/$B$1)+1,"Check batch size"))</f>
        <v/>
      </c>
      <c r="D144" s="6">
        <f>IF(B144="","",IF($B$2="OK",MOD(B144-1,$B$1)+1,"Check batch size"))</f>
        <v/>
      </c>
      <c r="E144" s="6">
        <f>IF(B144="","",IF(COUNTA(Helpers!$A$4:$A$8)=0,"No helper",INDEX(Helpers!$A$4:$A$8,MOD(B144-1,COUNTA(Helpers!$A$4:$A$8))+1)&amp;""))</f>
        <v/>
      </c>
    </row>
    <row r="145">
      <c r="A145" s="5" t="n"/>
      <c r="B145" s="6">
        <f>IF(A145="","",COUNTA($A$5:A145))</f>
        <v/>
      </c>
      <c r="C145" s="6">
        <f>IF(B145="","",IF($B$2="OK",INT((B145-1)/$B$1)+1,"Check batch size"))</f>
        <v/>
      </c>
      <c r="D145" s="6">
        <f>IF(B145="","",IF($B$2="OK",MOD(B145-1,$B$1)+1,"Check batch size"))</f>
        <v/>
      </c>
      <c r="E145" s="6">
        <f>IF(B145="","",IF(COUNTA(Helpers!$A$4:$A$8)=0,"No helper",INDEX(Helpers!$A$4:$A$8,MOD(B145-1,COUNTA(Helpers!$A$4:$A$8))+1)&amp;""))</f>
        <v/>
      </c>
    </row>
    <row r="146">
      <c r="A146" s="5" t="n"/>
      <c r="B146" s="6">
        <f>IF(A146="","",COUNTA($A$5:A146))</f>
        <v/>
      </c>
      <c r="C146" s="6">
        <f>IF(B146="","",IF($B$2="OK",INT((B146-1)/$B$1)+1,"Check batch size"))</f>
        <v/>
      </c>
      <c r="D146" s="6">
        <f>IF(B146="","",IF($B$2="OK",MOD(B146-1,$B$1)+1,"Check batch size"))</f>
        <v/>
      </c>
      <c r="E146" s="6">
        <f>IF(B146="","",IF(COUNTA(Helpers!$A$4:$A$8)=0,"No helper",INDEX(Helpers!$A$4:$A$8,MOD(B146-1,COUNTA(Helpers!$A$4:$A$8))+1)&amp;""))</f>
        <v/>
      </c>
    </row>
    <row r="147">
      <c r="A147" s="5" t="n"/>
      <c r="B147" s="6">
        <f>IF(A147="","",COUNTA($A$5:A147))</f>
        <v/>
      </c>
      <c r="C147" s="6">
        <f>IF(B147="","",IF($B$2="OK",INT((B147-1)/$B$1)+1,"Check batch size"))</f>
        <v/>
      </c>
      <c r="D147" s="6">
        <f>IF(B147="","",IF($B$2="OK",MOD(B147-1,$B$1)+1,"Check batch size"))</f>
        <v/>
      </c>
      <c r="E147" s="6">
        <f>IF(B147="","",IF(COUNTA(Helpers!$A$4:$A$8)=0,"No helper",INDEX(Helpers!$A$4:$A$8,MOD(B147-1,COUNTA(Helpers!$A$4:$A$8))+1)&amp;""))</f>
        <v/>
      </c>
    </row>
    <row r="148">
      <c r="A148" s="5" t="n"/>
      <c r="B148" s="6">
        <f>IF(A148="","",COUNTA($A$5:A148))</f>
        <v/>
      </c>
      <c r="C148" s="6">
        <f>IF(B148="","",IF($B$2="OK",INT((B148-1)/$B$1)+1,"Check batch size"))</f>
        <v/>
      </c>
      <c r="D148" s="6">
        <f>IF(B148="","",IF($B$2="OK",MOD(B148-1,$B$1)+1,"Check batch size"))</f>
        <v/>
      </c>
      <c r="E148" s="6">
        <f>IF(B148="","",IF(COUNTA(Helpers!$A$4:$A$8)=0,"No helper",INDEX(Helpers!$A$4:$A$8,MOD(B148-1,COUNTA(Helpers!$A$4:$A$8))+1)&amp;""))</f>
        <v/>
      </c>
    </row>
    <row r="149">
      <c r="A149" s="5" t="n"/>
      <c r="B149" s="6">
        <f>IF(A149="","",COUNTA($A$5:A149))</f>
        <v/>
      </c>
      <c r="C149" s="6">
        <f>IF(B149="","",IF($B$2="OK",INT((B149-1)/$B$1)+1,"Check batch size"))</f>
        <v/>
      </c>
      <c r="D149" s="6">
        <f>IF(B149="","",IF($B$2="OK",MOD(B149-1,$B$1)+1,"Check batch size"))</f>
        <v/>
      </c>
      <c r="E149" s="6">
        <f>IF(B149="","",IF(COUNTA(Helpers!$A$4:$A$8)=0,"No helper",INDEX(Helpers!$A$4:$A$8,MOD(B149-1,COUNTA(Helpers!$A$4:$A$8))+1)&amp;""))</f>
        <v/>
      </c>
    </row>
    <row r="150">
      <c r="A150" s="5" t="n"/>
      <c r="B150" s="6">
        <f>IF(A150="","",COUNTA($A$5:A150))</f>
        <v/>
      </c>
      <c r="C150" s="6">
        <f>IF(B150="","",IF($B$2="OK",INT((B150-1)/$B$1)+1,"Check batch size"))</f>
        <v/>
      </c>
      <c r="D150" s="6">
        <f>IF(B150="","",IF($B$2="OK",MOD(B150-1,$B$1)+1,"Check batch size"))</f>
        <v/>
      </c>
      <c r="E150" s="6">
        <f>IF(B150="","",IF(COUNTA(Helpers!$A$4:$A$8)=0,"No helper",INDEX(Helpers!$A$4:$A$8,MOD(B150-1,COUNTA(Helpers!$A$4:$A$8))+1)&amp;""))</f>
        <v/>
      </c>
    </row>
    <row r="151">
      <c r="A151" s="5" t="n"/>
      <c r="B151" s="6">
        <f>IF(A151="","",COUNTA($A$5:A151))</f>
        <v/>
      </c>
      <c r="C151" s="6">
        <f>IF(B151="","",IF($B$2="OK",INT((B151-1)/$B$1)+1,"Check batch size"))</f>
        <v/>
      </c>
      <c r="D151" s="6">
        <f>IF(B151="","",IF($B$2="OK",MOD(B151-1,$B$1)+1,"Check batch size"))</f>
        <v/>
      </c>
      <c r="E151" s="6">
        <f>IF(B151="","",IF(COUNTA(Helpers!$A$4:$A$8)=0,"No helper",INDEX(Helpers!$A$4:$A$8,MOD(B151-1,COUNTA(Helpers!$A$4:$A$8))+1)&amp;""))</f>
        <v/>
      </c>
    </row>
    <row r="152">
      <c r="A152" s="5" t="n"/>
      <c r="B152" s="6">
        <f>IF(A152="","",COUNTA($A$5:A152))</f>
        <v/>
      </c>
      <c r="C152" s="6">
        <f>IF(B152="","",IF($B$2="OK",INT((B152-1)/$B$1)+1,"Check batch size"))</f>
        <v/>
      </c>
      <c r="D152" s="6">
        <f>IF(B152="","",IF($B$2="OK",MOD(B152-1,$B$1)+1,"Check batch size"))</f>
        <v/>
      </c>
      <c r="E152" s="6">
        <f>IF(B152="","",IF(COUNTA(Helpers!$A$4:$A$8)=0,"No helper",INDEX(Helpers!$A$4:$A$8,MOD(B152-1,COUNTA(Helpers!$A$4:$A$8))+1)&amp;""))</f>
        <v/>
      </c>
    </row>
    <row r="153">
      <c r="A153" s="5" t="n"/>
      <c r="B153" s="6">
        <f>IF(A153="","",COUNTA($A$5:A153))</f>
        <v/>
      </c>
      <c r="C153" s="6">
        <f>IF(B153="","",IF($B$2="OK",INT((B153-1)/$B$1)+1,"Check batch size"))</f>
        <v/>
      </c>
      <c r="D153" s="6">
        <f>IF(B153="","",IF($B$2="OK",MOD(B153-1,$B$1)+1,"Check batch size"))</f>
        <v/>
      </c>
      <c r="E153" s="6">
        <f>IF(B153="","",IF(COUNTA(Helpers!$A$4:$A$8)=0,"No helper",INDEX(Helpers!$A$4:$A$8,MOD(B153-1,COUNTA(Helpers!$A$4:$A$8))+1)&amp;""))</f>
        <v/>
      </c>
    </row>
    <row r="154">
      <c r="A154" s="5" t="n"/>
      <c r="B154" s="6">
        <f>IF(A154="","",COUNTA($A$5:A154))</f>
        <v/>
      </c>
      <c r="C154" s="6">
        <f>IF(B154="","",IF($B$2="OK",INT((B154-1)/$B$1)+1,"Check batch size"))</f>
        <v/>
      </c>
      <c r="D154" s="6">
        <f>IF(B154="","",IF($B$2="OK",MOD(B154-1,$B$1)+1,"Check batch size"))</f>
        <v/>
      </c>
      <c r="E154" s="6">
        <f>IF(B154="","",IF(COUNTA(Helpers!$A$4:$A$8)=0,"No helper",INDEX(Helpers!$A$4:$A$8,MOD(B154-1,COUNTA(Helpers!$A$4:$A$8))+1)&amp;""))</f>
        <v/>
      </c>
    </row>
    <row r="155">
      <c r="A155" s="5" t="n"/>
      <c r="B155" s="6">
        <f>IF(A155="","",COUNTA($A$5:A155))</f>
        <v/>
      </c>
      <c r="C155" s="6">
        <f>IF(B155="","",IF($B$2="OK",INT((B155-1)/$B$1)+1,"Check batch size"))</f>
        <v/>
      </c>
      <c r="D155" s="6">
        <f>IF(B155="","",IF($B$2="OK",MOD(B155-1,$B$1)+1,"Check batch size"))</f>
        <v/>
      </c>
      <c r="E155" s="6">
        <f>IF(B155="","",IF(COUNTA(Helpers!$A$4:$A$8)=0,"No helper",INDEX(Helpers!$A$4:$A$8,MOD(B155-1,COUNTA(Helpers!$A$4:$A$8))+1)&amp;""))</f>
        <v/>
      </c>
    </row>
    <row r="156">
      <c r="A156" s="5" t="n"/>
      <c r="B156" s="6">
        <f>IF(A156="","",COUNTA($A$5:A156))</f>
        <v/>
      </c>
      <c r="C156" s="6">
        <f>IF(B156="","",IF($B$2="OK",INT((B156-1)/$B$1)+1,"Check batch size"))</f>
        <v/>
      </c>
      <c r="D156" s="6">
        <f>IF(B156="","",IF($B$2="OK",MOD(B156-1,$B$1)+1,"Check batch size"))</f>
        <v/>
      </c>
      <c r="E156" s="6">
        <f>IF(B156="","",IF(COUNTA(Helpers!$A$4:$A$8)=0,"No helper",INDEX(Helpers!$A$4:$A$8,MOD(B156-1,COUNTA(Helpers!$A$4:$A$8))+1)&amp;""))</f>
        <v/>
      </c>
    </row>
    <row r="157">
      <c r="A157" s="5" t="n"/>
      <c r="B157" s="6">
        <f>IF(A157="","",COUNTA($A$5:A157))</f>
        <v/>
      </c>
      <c r="C157" s="6">
        <f>IF(B157="","",IF($B$2="OK",INT((B157-1)/$B$1)+1,"Check batch size"))</f>
        <v/>
      </c>
      <c r="D157" s="6">
        <f>IF(B157="","",IF($B$2="OK",MOD(B157-1,$B$1)+1,"Check batch size"))</f>
        <v/>
      </c>
      <c r="E157" s="6">
        <f>IF(B157="","",IF(COUNTA(Helpers!$A$4:$A$8)=0,"No helper",INDEX(Helpers!$A$4:$A$8,MOD(B157-1,COUNTA(Helpers!$A$4:$A$8))+1)&amp;""))</f>
        <v/>
      </c>
    </row>
    <row r="158">
      <c r="A158" s="5" t="n"/>
      <c r="B158" s="6">
        <f>IF(A158="","",COUNTA($A$5:A158))</f>
        <v/>
      </c>
      <c r="C158" s="6">
        <f>IF(B158="","",IF($B$2="OK",INT((B158-1)/$B$1)+1,"Check batch size"))</f>
        <v/>
      </c>
      <c r="D158" s="6">
        <f>IF(B158="","",IF($B$2="OK",MOD(B158-1,$B$1)+1,"Check batch size"))</f>
        <v/>
      </c>
      <c r="E158" s="6">
        <f>IF(B158="","",IF(COUNTA(Helpers!$A$4:$A$8)=0,"No helper",INDEX(Helpers!$A$4:$A$8,MOD(B158-1,COUNTA(Helpers!$A$4:$A$8))+1)&amp;""))</f>
        <v/>
      </c>
    </row>
    <row r="159">
      <c r="A159" s="5" t="n"/>
      <c r="B159" s="6">
        <f>IF(A159="","",COUNTA($A$5:A159))</f>
        <v/>
      </c>
      <c r="C159" s="6">
        <f>IF(B159="","",IF($B$2="OK",INT((B159-1)/$B$1)+1,"Check batch size"))</f>
        <v/>
      </c>
      <c r="D159" s="6">
        <f>IF(B159="","",IF($B$2="OK",MOD(B159-1,$B$1)+1,"Check batch size"))</f>
        <v/>
      </c>
      <c r="E159" s="6">
        <f>IF(B159="","",IF(COUNTA(Helpers!$A$4:$A$8)=0,"No helper",INDEX(Helpers!$A$4:$A$8,MOD(B159-1,COUNTA(Helpers!$A$4:$A$8))+1)&amp;""))</f>
        <v/>
      </c>
    </row>
    <row r="160">
      <c r="A160" s="5" t="n"/>
      <c r="B160" s="6">
        <f>IF(A160="","",COUNTA($A$5:A160))</f>
        <v/>
      </c>
      <c r="C160" s="6">
        <f>IF(B160="","",IF($B$2="OK",INT((B160-1)/$B$1)+1,"Check batch size"))</f>
        <v/>
      </c>
      <c r="D160" s="6">
        <f>IF(B160="","",IF($B$2="OK",MOD(B160-1,$B$1)+1,"Check batch size"))</f>
        <v/>
      </c>
      <c r="E160" s="6">
        <f>IF(B160="","",IF(COUNTA(Helpers!$A$4:$A$8)=0,"No helper",INDEX(Helpers!$A$4:$A$8,MOD(B160-1,COUNTA(Helpers!$A$4:$A$8))+1)&amp;""))</f>
        <v/>
      </c>
    </row>
    <row r="161">
      <c r="A161" s="5" t="n"/>
      <c r="B161" s="6">
        <f>IF(A161="","",COUNTA($A$5:A161))</f>
        <v/>
      </c>
      <c r="C161" s="6">
        <f>IF(B161="","",IF($B$2="OK",INT((B161-1)/$B$1)+1,"Check batch size"))</f>
        <v/>
      </c>
      <c r="D161" s="6">
        <f>IF(B161="","",IF($B$2="OK",MOD(B161-1,$B$1)+1,"Check batch size"))</f>
        <v/>
      </c>
      <c r="E161" s="6">
        <f>IF(B161="","",IF(COUNTA(Helpers!$A$4:$A$8)=0,"No helper",INDEX(Helpers!$A$4:$A$8,MOD(B161-1,COUNTA(Helpers!$A$4:$A$8))+1)&amp;""))</f>
        <v/>
      </c>
    </row>
    <row r="162">
      <c r="A162" s="5" t="n"/>
      <c r="B162" s="6">
        <f>IF(A162="","",COUNTA($A$5:A162))</f>
        <v/>
      </c>
      <c r="C162" s="6">
        <f>IF(B162="","",IF($B$2="OK",INT((B162-1)/$B$1)+1,"Check batch size"))</f>
        <v/>
      </c>
      <c r="D162" s="6">
        <f>IF(B162="","",IF($B$2="OK",MOD(B162-1,$B$1)+1,"Check batch size"))</f>
        <v/>
      </c>
      <c r="E162" s="6">
        <f>IF(B162="","",IF(COUNTA(Helpers!$A$4:$A$8)=0,"No helper",INDEX(Helpers!$A$4:$A$8,MOD(B162-1,COUNTA(Helpers!$A$4:$A$8))+1)&amp;""))</f>
        <v/>
      </c>
    </row>
    <row r="163">
      <c r="A163" s="5" t="n"/>
      <c r="B163" s="6">
        <f>IF(A163="","",COUNTA($A$5:A163))</f>
        <v/>
      </c>
      <c r="C163" s="6">
        <f>IF(B163="","",IF($B$2="OK",INT((B163-1)/$B$1)+1,"Check batch size"))</f>
        <v/>
      </c>
      <c r="D163" s="6">
        <f>IF(B163="","",IF($B$2="OK",MOD(B163-1,$B$1)+1,"Check batch size"))</f>
        <v/>
      </c>
      <c r="E163" s="6">
        <f>IF(B163="","",IF(COUNTA(Helpers!$A$4:$A$8)=0,"No helper",INDEX(Helpers!$A$4:$A$8,MOD(B163-1,COUNTA(Helpers!$A$4:$A$8))+1)&amp;""))</f>
        <v/>
      </c>
    </row>
    <row r="164">
      <c r="A164" s="5" t="n"/>
      <c r="B164" s="6">
        <f>IF(A164="","",COUNTA($A$5:A164))</f>
        <v/>
      </c>
      <c r="C164" s="6">
        <f>IF(B164="","",IF($B$2="OK",INT((B164-1)/$B$1)+1,"Check batch size"))</f>
        <v/>
      </c>
      <c r="D164" s="6">
        <f>IF(B164="","",IF($B$2="OK",MOD(B164-1,$B$1)+1,"Check batch size"))</f>
        <v/>
      </c>
      <c r="E164" s="6">
        <f>IF(B164="","",IF(COUNTA(Helpers!$A$4:$A$8)=0,"No helper",INDEX(Helpers!$A$4:$A$8,MOD(B164-1,COUNTA(Helpers!$A$4:$A$8))+1)&amp;""))</f>
        <v/>
      </c>
    </row>
    <row r="165">
      <c r="A165" s="5" t="n"/>
      <c r="B165" s="6">
        <f>IF(A165="","",COUNTA($A$5:A165))</f>
        <v/>
      </c>
      <c r="C165" s="6">
        <f>IF(B165="","",IF($B$2="OK",INT((B165-1)/$B$1)+1,"Check batch size"))</f>
        <v/>
      </c>
      <c r="D165" s="6">
        <f>IF(B165="","",IF($B$2="OK",MOD(B165-1,$B$1)+1,"Check batch size"))</f>
        <v/>
      </c>
      <c r="E165" s="6">
        <f>IF(B165="","",IF(COUNTA(Helpers!$A$4:$A$8)=0,"No helper",INDEX(Helpers!$A$4:$A$8,MOD(B165-1,COUNTA(Helpers!$A$4:$A$8))+1)&amp;""))</f>
        <v/>
      </c>
    </row>
    <row r="166">
      <c r="A166" s="5" t="n"/>
      <c r="B166" s="6">
        <f>IF(A166="","",COUNTA($A$5:A166))</f>
        <v/>
      </c>
      <c r="C166" s="6">
        <f>IF(B166="","",IF($B$2="OK",INT((B166-1)/$B$1)+1,"Check batch size"))</f>
        <v/>
      </c>
      <c r="D166" s="6">
        <f>IF(B166="","",IF($B$2="OK",MOD(B166-1,$B$1)+1,"Check batch size"))</f>
        <v/>
      </c>
      <c r="E166" s="6">
        <f>IF(B166="","",IF(COUNTA(Helpers!$A$4:$A$8)=0,"No helper",INDEX(Helpers!$A$4:$A$8,MOD(B166-1,COUNTA(Helpers!$A$4:$A$8))+1)&amp;""))</f>
        <v/>
      </c>
    </row>
    <row r="167">
      <c r="A167" s="5" t="n"/>
      <c r="B167" s="6">
        <f>IF(A167="","",COUNTA($A$5:A167))</f>
        <v/>
      </c>
      <c r="C167" s="6">
        <f>IF(B167="","",IF($B$2="OK",INT((B167-1)/$B$1)+1,"Check batch size"))</f>
        <v/>
      </c>
      <c r="D167" s="6">
        <f>IF(B167="","",IF($B$2="OK",MOD(B167-1,$B$1)+1,"Check batch size"))</f>
        <v/>
      </c>
      <c r="E167" s="6">
        <f>IF(B167="","",IF(COUNTA(Helpers!$A$4:$A$8)=0,"No helper",INDEX(Helpers!$A$4:$A$8,MOD(B167-1,COUNTA(Helpers!$A$4:$A$8))+1)&amp;""))</f>
        <v/>
      </c>
    </row>
    <row r="168">
      <c r="A168" s="5" t="n"/>
      <c r="B168" s="6">
        <f>IF(A168="","",COUNTA($A$5:A168))</f>
        <v/>
      </c>
      <c r="C168" s="6">
        <f>IF(B168="","",IF($B$2="OK",INT((B168-1)/$B$1)+1,"Check batch size"))</f>
        <v/>
      </c>
      <c r="D168" s="6">
        <f>IF(B168="","",IF($B$2="OK",MOD(B168-1,$B$1)+1,"Check batch size"))</f>
        <v/>
      </c>
      <c r="E168" s="6">
        <f>IF(B168="","",IF(COUNTA(Helpers!$A$4:$A$8)=0,"No helper",INDEX(Helpers!$A$4:$A$8,MOD(B168-1,COUNTA(Helpers!$A$4:$A$8))+1)&amp;""))</f>
        <v/>
      </c>
    </row>
    <row r="169">
      <c r="A169" s="5" t="n"/>
      <c r="B169" s="6">
        <f>IF(A169="","",COUNTA($A$5:A169))</f>
        <v/>
      </c>
      <c r="C169" s="6">
        <f>IF(B169="","",IF($B$2="OK",INT((B169-1)/$B$1)+1,"Check batch size"))</f>
        <v/>
      </c>
      <c r="D169" s="6">
        <f>IF(B169="","",IF($B$2="OK",MOD(B169-1,$B$1)+1,"Check batch size"))</f>
        <v/>
      </c>
      <c r="E169" s="6">
        <f>IF(B169="","",IF(COUNTA(Helpers!$A$4:$A$8)=0,"No helper",INDEX(Helpers!$A$4:$A$8,MOD(B169-1,COUNTA(Helpers!$A$4:$A$8))+1)&amp;""))</f>
        <v/>
      </c>
    </row>
    <row r="170">
      <c r="A170" s="5" t="n"/>
      <c r="B170" s="6">
        <f>IF(A170="","",COUNTA($A$5:A170))</f>
        <v/>
      </c>
      <c r="C170" s="6">
        <f>IF(B170="","",IF($B$2="OK",INT((B170-1)/$B$1)+1,"Check batch size"))</f>
        <v/>
      </c>
      <c r="D170" s="6">
        <f>IF(B170="","",IF($B$2="OK",MOD(B170-1,$B$1)+1,"Check batch size"))</f>
        <v/>
      </c>
      <c r="E170" s="6">
        <f>IF(B170="","",IF(COUNTA(Helpers!$A$4:$A$8)=0,"No helper",INDEX(Helpers!$A$4:$A$8,MOD(B170-1,COUNTA(Helpers!$A$4:$A$8))+1)&amp;""))</f>
        <v/>
      </c>
    </row>
    <row r="171">
      <c r="A171" s="5" t="n"/>
      <c r="B171" s="6">
        <f>IF(A171="","",COUNTA($A$5:A171))</f>
        <v/>
      </c>
      <c r="C171" s="6">
        <f>IF(B171="","",IF($B$2="OK",INT((B171-1)/$B$1)+1,"Check batch size"))</f>
        <v/>
      </c>
      <c r="D171" s="6">
        <f>IF(B171="","",IF($B$2="OK",MOD(B171-1,$B$1)+1,"Check batch size"))</f>
        <v/>
      </c>
      <c r="E171" s="6">
        <f>IF(B171="","",IF(COUNTA(Helpers!$A$4:$A$8)=0,"No helper",INDEX(Helpers!$A$4:$A$8,MOD(B171-1,COUNTA(Helpers!$A$4:$A$8))+1)&amp;""))</f>
        <v/>
      </c>
    </row>
    <row r="172">
      <c r="A172" s="5" t="n"/>
      <c r="B172" s="6">
        <f>IF(A172="","",COUNTA($A$5:A172))</f>
        <v/>
      </c>
      <c r="C172" s="6">
        <f>IF(B172="","",IF($B$2="OK",INT((B172-1)/$B$1)+1,"Check batch size"))</f>
        <v/>
      </c>
      <c r="D172" s="6">
        <f>IF(B172="","",IF($B$2="OK",MOD(B172-1,$B$1)+1,"Check batch size"))</f>
        <v/>
      </c>
      <c r="E172" s="6">
        <f>IF(B172="","",IF(COUNTA(Helpers!$A$4:$A$8)=0,"No helper",INDEX(Helpers!$A$4:$A$8,MOD(B172-1,COUNTA(Helpers!$A$4:$A$8))+1)&amp;""))</f>
        <v/>
      </c>
    </row>
    <row r="173">
      <c r="A173" s="5" t="n"/>
      <c r="B173" s="6">
        <f>IF(A173="","",COUNTA($A$5:A173))</f>
        <v/>
      </c>
      <c r="C173" s="6">
        <f>IF(B173="","",IF($B$2="OK",INT((B173-1)/$B$1)+1,"Check batch size"))</f>
        <v/>
      </c>
      <c r="D173" s="6">
        <f>IF(B173="","",IF($B$2="OK",MOD(B173-1,$B$1)+1,"Check batch size"))</f>
        <v/>
      </c>
      <c r="E173" s="6">
        <f>IF(B173="","",IF(COUNTA(Helpers!$A$4:$A$8)=0,"No helper",INDEX(Helpers!$A$4:$A$8,MOD(B173-1,COUNTA(Helpers!$A$4:$A$8))+1)&amp;""))</f>
        <v/>
      </c>
    </row>
    <row r="174">
      <c r="A174" s="5" t="n"/>
      <c r="B174" s="6">
        <f>IF(A174="","",COUNTA($A$5:A174))</f>
        <v/>
      </c>
      <c r="C174" s="6">
        <f>IF(B174="","",IF($B$2="OK",INT((B174-1)/$B$1)+1,"Check batch size"))</f>
        <v/>
      </c>
      <c r="D174" s="6">
        <f>IF(B174="","",IF($B$2="OK",MOD(B174-1,$B$1)+1,"Check batch size"))</f>
        <v/>
      </c>
      <c r="E174" s="6">
        <f>IF(B174="","",IF(COUNTA(Helpers!$A$4:$A$8)=0,"No helper",INDEX(Helpers!$A$4:$A$8,MOD(B174-1,COUNTA(Helpers!$A$4:$A$8))+1)&amp;""))</f>
        <v/>
      </c>
    </row>
    <row r="175">
      <c r="A175" s="5" t="n"/>
      <c r="B175" s="6">
        <f>IF(A175="","",COUNTA($A$5:A175))</f>
        <v/>
      </c>
      <c r="C175" s="6">
        <f>IF(B175="","",IF($B$2="OK",INT((B175-1)/$B$1)+1,"Check batch size"))</f>
        <v/>
      </c>
      <c r="D175" s="6">
        <f>IF(B175="","",IF($B$2="OK",MOD(B175-1,$B$1)+1,"Check batch size"))</f>
        <v/>
      </c>
      <c r="E175" s="6">
        <f>IF(B175="","",IF(COUNTA(Helpers!$A$4:$A$8)=0,"No helper",INDEX(Helpers!$A$4:$A$8,MOD(B175-1,COUNTA(Helpers!$A$4:$A$8))+1)&amp;""))</f>
        <v/>
      </c>
    </row>
    <row r="176">
      <c r="A176" s="5" t="n"/>
      <c r="B176" s="6">
        <f>IF(A176="","",COUNTA($A$5:A176))</f>
        <v/>
      </c>
      <c r="C176" s="6">
        <f>IF(B176="","",IF($B$2="OK",INT((B176-1)/$B$1)+1,"Check batch size"))</f>
        <v/>
      </c>
      <c r="D176" s="6">
        <f>IF(B176="","",IF($B$2="OK",MOD(B176-1,$B$1)+1,"Check batch size"))</f>
        <v/>
      </c>
      <c r="E176" s="6">
        <f>IF(B176="","",IF(COUNTA(Helpers!$A$4:$A$8)=0,"No helper",INDEX(Helpers!$A$4:$A$8,MOD(B176-1,COUNTA(Helpers!$A$4:$A$8))+1)&amp;""))</f>
        <v/>
      </c>
    </row>
    <row r="177">
      <c r="A177" s="5" t="n"/>
      <c r="B177" s="6">
        <f>IF(A177="","",COUNTA($A$5:A177))</f>
        <v/>
      </c>
      <c r="C177" s="6">
        <f>IF(B177="","",IF($B$2="OK",INT((B177-1)/$B$1)+1,"Check batch size"))</f>
        <v/>
      </c>
      <c r="D177" s="6">
        <f>IF(B177="","",IF($B$2="OK",MOD(B177-1,$B$1)+1,"Check batch size"))</f>
        <v/>
      </c>
      <c r="E177" s="6">
        <f>IF(B177="","",IF(COUNTA(Helpers!$A$4:$A$8)=0,"No helper",INDEX(Helpers!$A$4:$A$8,MOD(B177-1,COUNTA(Helpers!$A$4:$A$8))+1)&amp;""))</f>
        <v/>
      </c>
    </row>
    <row r="178">
      <c r="A178" s="5" t="n"/>
      <c r="B178" s="6">
        <f>IF(A178="","",COUNTA($A$5:A178))</f>
        <v/>
      </c>
      <c r="C178" s="6">
        <f>IF(B178="","",IF($B$2="OK",INT((B178-1)/$B$1)+1,"Check batch size"))</f>
        <v/>
      </c>
      <c r="D178" s="6">
        <f>IF(B178="","",IF($B$2="OK",MOD(B178-1,$B$1)+1,"Check batch size"))</f>
        <v/>
      </c>
      <c r="E178" s="6">
        <f>IF(B178="","",IF(COUNTA(Helpers!$A$4:$A$8)=0,"No helper",INDEX(Helpers!$A$4:$A$8,MOD(B178-1,COUNTA(Helpers!$A$4:$A$8))+1)&amp;""))</f>
        <v/>
      </c>
    </row>
    <row r="179">
      <c r="A179" s="5" t="n"/>
      <c r="B179" s="6">
        <f>IF(A179="","",COUNTA($A$5:A179))</f>
        <v/>
      </c>
      <c r="C179" s="6">
        <f>IF(B179="","",IF($B$2="OK",INT((B179-1)/$B$1)+1,"Check batch size"))</f>
        <v/>
      </c>
      <c r="D179" s="6">
        <f>IF(B179="","",IF($B$2="OK",MOD(B179-1,$B$1)+1,"Check batch size"))</f>
        <v/>
      </c>
      <c r="E179" s="6">
        <f>IF(B179="","",IF(COUNTA(Helpers!$A$4:$A$8)=0,"No helper",INDEX(Helpers!$A$4:$A$8,MOD(B179-1,COUNTA(Helpers!$A$4:$A$8))+1)&amp;""))</f>
        <v/>
      </c>
    </row>
    <row r="180">
      <c r="A180" s="5" t="n"/>
      <c r="B180" s="6">
        <f>IF(A180="","",COUNTA($A$5:A180))</f>
        <v/>
      </c>
      <c r="C180" s="6">
        <f>IF(B180="","",IF($B$2="OK",INT((B180-1)/$B$1)+1,"Check batch size"))</f>
        <v/>
      </c>
      <c r="D180" s="6">
        <f>IF(B180="","",IF($B$2="OK",MOD(B180-1,$B$1)+1,"Check batch size"))</f>
        <v/>
      </c>
      <c r="E180" s="6">
        <f>IF(B180="","",IF(COUNTA(Helpers!$A$4:$A$8)=0,"No helper",INDEX(Helpers!$A$4:$A$8,MOD(B180-1,COUNTA(Helpers!$A$4:$A$8))+1)&amp;""))</f>
        <v/>
      </c>
    </row>
    <row r="181">
      <c r="A181" s="5" t="n"/>
      <c r="B181" s="6">
        <f>IF(A181="","",COUNTA($A$5:A181))</f>
        <v/>
      </c>
      <c r="C181" s="6">
        <f>IF(B181="","",IF($B$2="OK",INT((B181-1)/$B$1)+1,"Check batch size"))</f>
        <v/>
      </c>
      <c r="D181" s="6">
        <f>IF(B181="","",IF($B$2="OK",MOD(B181-1,$B$1)+1,"Check batch size"))</f>
        <v/>
      </c>
      <c r="E181" s="6">
        <f>IF(B181="","",IF(COUNTA(Helpers!$A$4:$A$8)=0,"No helper",INDEX(Helpers!$A$4:$A$8,MOD(B181-1,COUNTA(Helpers!$A$4:$A$8))+1)&amp;""))</f>
        <v/>
      </c>
    </row>
    <row r="182">
      <c r="A182" s="5" t="n"/>
      <c r="B182" s="6">
        <f>IF(A182="","",COUNTA($A$5:A182))</f>
        <v/>
      </c>
      <c r="C182" s="6">
        <f>IF(B182="","",IF($B$2="OK",INT((B182-1)/$B$1)+1,"Check batch size"))</f>
        <v/>
      </c>
      <c r="D182" s="6">
        <f>IF(B182="","",IF($B$2="OK",MOD(B182-1,$B$1)+1,"Check batch size"))</f>
        <v/>
      </c>
      <c r="E182" s="6">
        <f>IF(B182="","",IF(COUNTA(Helpers!$A$4:$A$8)=0,"No helper",INDEX(Helpers!$A$4:$A$8,MOD(B182-1,COUNTA(Helpers!$A$4:$A$8))+1)&amp;""))</f>
        <v/>
      </c>
    </row>
    <row r="183">
      <c r="A183" s="5" t="n"/>
      <c r="B183" s="6">
        <f>IF(A183="","",COUNTA($A$5:A183))</f>
        <v/>
      </c>
      <c r="C183" s="6">
        <f>IF(B183="","",IF($B$2="OK",INT((B183-1)/$B$1)+1,"Check batch size"))</f>
        <v/>
      </c>
      <c r="D183" s="6">
        <f>IF(B183="","",IF($B$2="OK",MOD(B183-1,$B$1)+1,"Check batch size"))</f>
        <v/>
      </c>
      <c r="E183" s="6">
        <f>IF(B183="","",IF(COUNTA(Helpers!$A$4:$A$8)=0,"No helper",INDEX(Helpers!$A$4:$A$8,MOD(B183-1,COUNTA(Helpers!$A$4:$A$8))+1)&amp;""))</f>
        <v/>
      </c>
    </row>
    <row r="184">
      <c r="A184" s="5" t="n"/>
      <c r="B184" s="6">
        <f>IF(A184="","",COUNTA($A$5:A184))</f>
        <v/>
      </c>
      <c r="C184" s="6">
        <f>IF(B184="","",IF($B$2="OK",INT((B184-1)/$B$1)+1,"Check batch size"))</f>
        <v/>
      </c>
      <c r="D184" s="6">
        <f>IF(B184="","",IF($B$2="OK",MOD(B184-1,$B$1)+1,"Check batch size"))</f>
        <v/>
      </c>
      <c r="E184" s="6">
        <f>IF(B184="","",IF(COUNTA(Helpers!$A$4:$A$8)=0,"No helper",INDEX(Helpers!$A$4:$A$8,MOD(B184-1,COUNTA(Helpers!$A$4:$A$8))+1)&amp;""))</f>
        <v/>
      </c>
    </row>
    <row r="185">
      <c r="A185" s="5" t="n"/>
      <c r="B185" s="6">
        <f>IF(A185="","",COUNTA($A$5:A185))</f>
        <v/>
      </c>
      <c r="C185" s="6">
        <f>IF(B185="","",IF($B$2="OK",INT((B185-1)/$B$1)+1,"Check batch size"))</f>
        <v/>
      </c>
      <c r="D185" s="6">
        <f>IF(B185="","",IF($B$2="OK",MOD(B185-1,$B$1)+1,"Check batch size"))</f>
        <v/>
      </c>
      <c r="E185" s="6">
        <f>IF(B185="","",IF(COUNTA(Helpers!$A$4:$A$8)=0,"No helper",INDEX(Helpers!$A$4:$A$8,MOD(B185-1,COUNTA(Helpers!$A$4:$A$8))+1)&amp;""))</f>
        <v/>
      </c>
    </row>
    <row r="186">
      <c r="A186" s="5" t="n"/>
      <c r="B186" s="6">
        <f>IF(A186="","",COUNTA($A$5:A186))</f>
        <v/>
      </c>
      <c r="C186" s="6">
        <f>IF(B186="","",IF($B$2="OK",INT((B186-1)/$B$1)+1,"Check batch size"))</f>
        <v/>
      </c>
      <c r="D186" s="6">
        <f>IF(B186="","",IF($B$2="OK",MOD(B186-1,$B$1)+1,"Check batch size"))</f>
        <v/>
      </c>
      <c r="E186" s="6">
        <f>IF(B186="","",IF(COUNTA(Helpers!$A$4:$A$8)=0,"No helper",INDEX(Helpers!$A$4:$A$8,MOD(B186-1,COUNTA(Helpers!$A$4:$A$8))+1)&amp;""))</f>
        <v/>
      </c>
    </row>
    <row r="187">
      <c r="A187" s="5" t="n"/>
      <c r="B187" s="6">
        <f>IF(A187="","",COUNTA($A$5:A187))</f>
        <v/>
      </c>
      <c r="C187" s="6">
        <f>IF(B187="","",IF($B$2="OK",INT((B187-1)/$B$1)+1,"Check batch size"))</f>
        <v/>
      </c>
      <c r="D187" s="6">
        <f>IF(B187="","",IF($B$2="OK",MOD(B187-1,$B$1)+1,"Check batch size"))</f>
        <v/>
      </c>
      <c r="E187" s="6">
        <f>IF(B187="","",IF(COUNTA(Helpers!$A$4:$A$8)=0,"No helper",INDEX(Helpers!$A$4:$A$8,MOD(B187-1,COUNTA(Helpers!$A$4:$A$8))+1)&amp;""))</f>
        <v/>
      </c>
    </row>
    <row r="188">
      <c r="A188" s="5" t="n"/>
      <c r="B188" s="6">
        <f>IF(A188="","",COUNTA($A$5:A188))</f>
        <v/>
      </c>
      <c r="C188" s="6">
        <f>IF(B188="","",IF($B$2="OK",INT((B188-1)/$B$1)+1,"Check batch size"))</f>
        <v/>
      </c>
      <c r="D188" s="6">
        <f>IF(B188="","",IF($B$2="OK",MOD(B188-1,$B$1)+1,"Check batch size"))</f>
        <v/>
      </c>
      <c r="E188" s="6">
        <f>IF(B188="","",IF(COUNTA(Helpers!$A$4:$A$8)=0,"No helper",INDEX(Helpers!$A$4:$A$8,MOD(B188-1,COUNTA(Helpers!$A$4:$A$8))+1)&amp;""))</f>
        <v/>
      </c>
    </row>
    <row r="189">
      <c r="A189" s="5" t="n"/>
      <c r="B189" s="6">
        <f>IF(A189="","",COUNTA($A$5:A189))</f>
        <v/>
      </c>
      <c r="C189" s="6">
        <f>IF(B189="","",IF($B$2="OK",INT((B189-1)/$B$1)+1,"Check batch size"))</f>
        <v/>
      </c>
      <c r="D189" s="6">
        <f>IF(B189="","",IF($B$2="OK",MOD(B189-1,$B$1)+1,"Check batch size"))</f>
        <v/>
      </c>
      <c r="E189" s="6">
        <f>IF(B189="","",IF(COUNTA(Helpers!$A$4:$A$8)=0,"No helper",INDEX(Helpers!$A$4:$A$8,MOD(B189-1,COUNTA(Helpers!$A$4:$A$8))+1)&amp;""))</f>
        <v/>
      </c>
    </row>
    <row r="190">
      <c r="A190" s="5" t="n"/>
      <c r="B190" s="6">
        <f>IF(A190="","",COUNTA($A$5:A190))</f>
        <v/>
      </c>
      <c r="C190" s="6">
        <f>IF(B190="","",IF($B$2="OK",INT((B190-1)/$B$1)+1,"Check batch size"))</f>
        <v/>
      </c>
      <c r="D190" s="6">
        <f>IF(B190="","",IF($B$2="OK",MOD(B190-1,$B$1)+1,"Check batch size"))</f>
        <v/>
      </c>
      <c r="E190" s="6">
        <f>IF(B190="","",IF(COUNTA(Helpers!$A$4:$A$8)=0,"No helper",INDEX(Helpers!$A$4:$A$8,MOD(B190-1,COUNTA(Helpers!$A$4:$A$8))+1)&amp;""))</f>
        <v/>
      </c>
    </row>
    <row r="191">
      <c r="A191" s="5" t="n"/>
      <c r="B191" s="6">
        <f>IF(A191="","",COUNTA($A$5:A191))</f>
        <v/>
      </c>
      <c r="C191" s="6">
        <f>IF(B191="","",IF($B$2="OK",INT((B191-1)/$B$1)+1,"Check batch size"))</f>
        <v/>
      </c>
      <c r="D191" s="6">
        <f>IF(B191="","",IF($B$2="OK",MOD(B191-1,$B$1)+1,"Check batch size"))</f>
        <v/>
      </c>
      <c r="E191" s="6">
        <f>IF(B191="","",IF(COUNTA(Helpers!$A$4:$A$8)=0,"No helper",INDEX(Helpers!$A$4:$A$8,MOD(B191-1,COUNTA(Helpers!$A$4:$A$8))+1)&amp;""))</f>
        <v/>
      </c>
    </row>
    <row r="192">
      <c r="A192" s="5" t="n"/>
      <c r="B192" s="6">
        <f>IF(A192="","",COUNTA($A$5:A192))</f>
        <v/>
      </c>
      <c r="C192" s="6">
        <f>IF(B192="","",IF($B$2="OK",INT((B192-1)/$B$1)+1,"Check batch size"))</f>
        <v/>
      </c>
      <c r="D192" s="6">
        <f>IF(B192="","",IF($B$2="OK",MOD(B192-1,$B$1)+1,"Check batch size"))</f>
        <v/>
      </c>
      <c r="E192" s="6">
        <f>IF(B192="","",IF(COUNTA(Helpers!$A$4:$A$8)=0,"No helper",INDEX(Helpers!$A$4:$A$8,MOD(B192-1,COUNTA(Helpers!$A$4:$A$8))+1)&amp;""))</f>
        <v/>
      </c>
    </row>
    <row r="193">
      <c r="A193" s="5" t="n"/>
      <c r="B193" s="6">
        <f>IF(A193="","",COUNTA($A$5:A193))</f>
        <v/>
      </c>
      <c r="C193" s="6">
        <f>IF(B193="","",IF($B$2="OK",INT((B193-1)/$B$1)+1,"Check batch size"))</f>
        <v/>
      </c>
      <c r="D193" s="6">
        <f>IF(B193="","",IF($B$2="OK",MOD(B193-1,$B$1)+1,"Check batch size"))</f>
        <v/>
      </c>
      <c r="E193" s="6">
        <f>IF(B193="","",IF(COUNTA(Helpers!$A$4:$A$8)=0,"No helper",INDEX(Helpers!$A$4:$A$8,MOD(B193-1,COUNTA(Helpers!$A$4:$A$8))+1)&amp;""))</f>
        <v/>
      </c>
    </row>
    <row r="194">
      <c r="A194" s="5" t="n"/>
      <c r="B194" s="6">
        <f>IF(A194="","",COUNTA($A$5:A194))</f>
        <v/>
      </c>
      <c r="C194" s="6">
        <f>IF(B194="","",IF($B$2="OK",INT((B194-1)/$B$1)+1,"Check batch size"))</f>
        <v/>
      </c>
      <c r="D194" s="6">
        <f>IF(B194="","",IF($B$2="OK",MOD(B194-1,$B$1)+1,"Check batch size"))</f>
        <v/>
      </c>
      <c r="E194" s="6">
        <f>IF(B194="","",IF(COUNTA(Helpers!$A$4:$A$8)=0,"No helper",INDEX(Helpers!$A$4:$A$8,MOD(B194-1,COUNTA(Helpers!$A$4:$A$8))+1)&amp;""))</f>
        <v/>
      </c>
    </row>
    <row r="195">
      <c r="A195" s="5" t="n"/>
      <c r="B195" s="6">
        <f>IF(A195="","",COUNTA($A$5:A195))</f>
        <v/>
      </c>
      <c r="C195" s="6">
        <f>IF(B195="","",IF($B$2="OK",INT((B195-1)/$B$1)+1,"Check batch size"))</f>
        <v/>
      </c>
      <c r="D195" s="6">
        <f>IF(B195="","",IF($B$2="OK",MOD(B195-1,$B$1)+1,"Check batch size"))</f>
        <v/>
      </c>
      <c r="E195" s="6">
        <f>IF(B195="","",IF(COUNTA(Helpers!$A$4:$A$8)=0,"No helper",INDEX(Helpers!$A$4:$A$8,MOD(B195-1,COUNTA(Helpers!$A$4:$A$8))+1)&amp;""))</f>
        <v/>
      </c>
    </row>
    <row r="196">
      <c r="A196" s="5" t="n"/>
      <c r="B196" s="6">
        <f>IF(A196="","",COUNTA($A$5:A196))</f>
        <v/>
      </c>
      <c r="C196" s="6">
        <f>IF(B196="","",IF($B$2="OK",INT((B196-1)/$B$1)+1,"Check batch size"))</f>
        <v/>
      </c>
      <c r="D196" s="6">
        <f>IF(B196="","",IF($B$2="OK",MOD(B196-1,$B$1)+1,"Check batch size"))</f>
        <v/>
      </c>
      <c r="E196" s="6">
        <f>IF(B196="","",IF(COUNTA(Helpers!$A$4:$A$8)=0,"No helper",INDEX(Helpers!$A$4:$A$8,MOD(B196-1,COUNTA(Helpers!$A$4:$A$8))+1)&amp;""))</f>
        <v/>
      </c>
    </row>
    <row r="197">
      <c r="A197" s="5" t="n"/>
      <c r="B197" s="6">
        <f>IF(A197="","",COUNTA($A$5:A197))</f>
        <v/>
      </c>
      <c r="C197" s="6">
        <f>IF(B197="","",IF($B$2="OK",INT((B197-1)/$B$1)+1,"Check batch size"))</f>
        <v/>
      </c>
      <c r="D197" s="6">
        <f>IF(B197="","",IF($B$2="OK",MOD(B197-1,$B$1)+1,"Check batch size"))</f>
        <v/>
      </c>
      <c r="E197" s="6">
        <f>IF(B197="","",IF(COUNTA(Helpers!$A$4:$A$8)=0,"No helper",INDEX(Helpers!$A$4:$A$8,MOD(B197-1,COUNTA(Helpers!$A$4:$A$8))+1)&amp;""))</f>
        <v/>
      </c>
    </row>
    <row r="198">
      <c r="A198" s="5" t="n"/>
      <c r="B198" s="6">
        <f>IF(A198="","",COUNTA($A$5:A198))</f>
        <v/>
      </c>
      <c r="C198" s="6">
        <f>IF(B198="","",IF($B$2="OK",INT((B198-1)/$B$1)+1,"Check batch size"))</f>
        <v/>
      </c>
      <c r="D198" s="6">
        <f>IF(B198="","",IF($B$2="OK",MOD(B198-1,$B$1)+1,"Check batch size"))</f>
        <v/>
      </c>
      <c r="E198" s="6">
        <f>IF(B198="","",IF(COUNTA(Helpers!$A$4:$A$8)=0,"No helper",INDEX(Helpers!$A$4:$A$8,MOD(B198-1,COUNTA(Helpers!$A$4:$A$8))+1)&amp;""))</f>
        <v/>
      </c>
    </row>
    <row r="199">
      <c r="A199" s="5" t="n"/>
      <c r="B199" s="6">
        <f>IF(A199="","",COUNTA($A$5:A199))</f>
        <v/>
      </c>
      <c r="C199" s="6">
        <f>IF(B199="","",IF($B$2="OK",INT((B199-1)/$B$1)+1,"Check batch size"))</f>
        <v/>
      </c>
      <c r="D199" s="6">
        <f>IF(B199="","",IF($B$2="OK",MOD(B199-1,$B$1)+1,"Check batch size"))</f>
        <v/>
      </c>
      <c r="E199" s="6">
        <f>IF(B199="","",IF(COUNTA(Helpers!$A$4:$A$8)=0,"No helper",INDEX(Helpers!$A$4:$A$8,MOD(B199-1,COUNTA(Helpers!$A$4:$A$8))+1)&amp;""))</f>
        <v/>
      </c>
    </row>
    <row r="200">
      <c r="A200" s="5" t="n"/>
      <c r="B200" s="6">
        <f>IF(A200="","",COUNTA($A$5:A200))</f>
        <v/>
      </c>
      <c r="C200" s="6">
        <f>IF(B200="","",IF($B$2="OK",INT((B200-1)/$B$1)+1,"Check batch size"))</f>
        <v/>
      </c>
      <c r="D200" s="6">
        <f>IF(B200="","",IF($B$2="OK",MOD(B200-1,$B$1)+1,"Check batch size"))</f>
        <v/>
      </c>
      <c r="E200" s="6">
        <f>IF(B200="","",IF(COUNTA(Helpers!$A$4:$A$8)=0,"No helper",INDEX(Helpers!$A$4:$A$8,MOD(B200-1,COUNTA(Helpers!$A$4:$A$8))+1)&amp;""))</f>
        <v/>
      </c>
    </row>
    <row r="201">
      <c r="A201" s="5" t="n"/>
      <c r="B201" s="6">
        <f>IF(A201="","",COUNTA($A$5:A201))</f>
        <v/>
      </c>
      <c r="C201" s="6">
        <f>IF(B201="","",IF($B$2="OK",INT((B201-1)/$B$1)+1,"Check batch size"))</f>
        <v/>
      </c>
      <c r="D201" s="6">
        <f>IF(B201="","",IF($B$2="OK",MOD(B201-1,$B$1)+1,"Check batch size"))</f>
        <v/>
      </c>
      <c r="E201" s="6">
        <f>IF(B201="","",IF(COUNTA(Helpers!$A$4:$A$8)=0,"No helper",INDEX(Helpers!$A$4:$A$8,MOD(B201-1,COUNTA(Helpers!$A$4:$A$8))+1)&amp;""))</f>
        <v/>
      </c>
    </row>
    <row r="202">
      <c r="A202" s="5" t="n"/>
      <c r="B202" s="6">
        <f>IF(A202="","",COUNTA($A$5:A202))</f>
        <v/>
      </c>
      <c r="C202" s="6">
        <f>IF(B202="","",IF($B$2="OK",INT((B202-1)/$B$1)+1,"Check batch size"))</f>
        <v/>
      </c>
      <c r="D202" s="6">
        <f>IF(B202="","",IF($B$2="OK",MOD(B202-1,$B$1)+1,"Check batch size"))</f>
        <v/>
      </c>
      <c r="E202" s="6">
        <f>IF(B202="","",IF(COUNTA(Helpers!$A$4:$A$8)=0,"No helper",INDEX(Helpers!$A$4:$A$8,MOD(B202-1,COUNTA(Helpers!$A$4:$A$8))+1)&amp;""))</f>
        <v/>
      </c>
    </row>
    <row r="203">
      <c r="A203" s="5" t="n"/>
      <c r="B203" s="6">
        <f>IF(A203="","",COUNTA($A$5:A203))</f>
        <v/>
      </c>
      <c r="C203" s="6">
        <f>IF(B203="","",IF($B$2="OK",INT((B203-1)/$B$1)+1,"Check batch size"))</f>
        <v/>
      </c>
      <c r="D203" s="6">
        <f>IF(B203="","",IF($B$2="OK",MOD(B203-1,$B$1)+1,"Check batch size"))</f>
        <v/>
      </c>
      <c r="E203" s="6">
        <f>IF(B203="","",IF(COUNTA(Helpers!$A$4:$A$8)=0,"No helper",INDEX(Helpers!$A$4:$A$8,MOD(B203-1,COUNTA(Helpers!$A$4:$A$8))+1)&amp;""))</f>
        <v/>
      </c>
    </row>
    <row r="204">
      <c r="A204" s="5" t="n"/>
      <c r="B204" s="6">
        <f>IF(A204="","",COUNTA($A$5:A204))</f>
        <v/>
      </c>
      <c r="C204" s="6">
        <f>IF(B204="","",IF($B$2="OK",INT((B204-1)/$B$1)+1,"Check batch size"))</f>
        <v/>
      </c>
      <c r="D204" s="6">
        <f>IF(B204="","",IF($B$2="OK",MOD(B204-1,$B$1)+1,"Check batch size"))</f>
        <v/>
      </c>
      <c r="E204" s="6">
        <f>IF(B204="","",IF(COUNTA(Helpers!$A$4:$A$8)=0,"No helper",INDEX(Helpers!$A$4:$A$8,MOD(B204-1,COUNTA(Helpers!$A$4:$A$8))+1)&amp;""))</f>
        <v/>
      </c>
    </row>
  </sheetData>
  <conditionalFormatting sqref="A5:E204">
    <cfRule type="expression" priority="1" dxfId="0">
      <formula>AND(ISNUMBER($D5),$D5=1)</formula>
    </cfRule>
  </conditionalFormatting>
  <conditionalFormatting sqref="B2">
    <cfRule type="expression" priority="2" dxfId="1">
      <formula>$B$2&lt;&gt;"OK"</formula>
    </cfRule>
  </conditionalFormatting>
  <pageMargins left="0.75" right="0.75" top="1" bottom="1" header="0.5" footer="0.5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8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7" t="inlineStr">
        <is>
          <t>Type 1 to 5 helper first names, no empty row between them. Orders are dealt out in this order.</t>
        </is>
      </c>
    </row>
    <row r="3" ht="24" customHeight="1">
      <c r="A3" s="4" t="inlineStr">
        <is>
          <t>Helper</t>
        </is>
      </c>
    </row>
    <row r="4">
      <c r="A4" s="2" t="inlineStr">
        <is>
          <t>Ana</t>
        </is>
      </c>
    </row>
    <row r="5">
      <c r="A5" s="2" t="inlineStr">
        <is>
          <t>Ben</t>
        </is>
      </c>
    </row>
    <row r="6">
      <c r="A6" s="2" t="inlineStr">
        <is>
          <t>Cora</t>
        </is>
      </c>
    </row>
    <row r="7">
      <c r="A7" s="2" t="n"/>
    </row>
    <row r="8">
      <c r="A8" s="2" t="n"/>
    </row>
  </sheetData>
  <pageMargins left="0.75" right="0.75" top="1" bottom="1" header="0.5" footer="0.5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3" customWidth="1" min="3" max="3"/>
    <col width="30" customWidth="1" min="4" max="4"/>
    <col width="12" customWidth="1" min="5" max="5"/>
  </cols>
  <sheetData>
    <row r="1">
      <c r="A1" s="1" t="inlineStr">
        <is>
          <t>Orders counted</t>
        </is>
      </c>
      <c r="B1" s="8">
        <f>COUNTA(Orders!A5:A204)</f>
        <v/>
      </c>
      <c r="D1" s="9" t="inlineStr">
        <is>
          <t>Helper</t>
        </is>
      </c>
      <c r="E1" s="9" t="inlineStr">
        <is>
          <t>Orders</t>
        </is>
      </c>
    </row>
    <row r="2">
      <c r="A2" s="1" t="inlineStr">
        <is>
          <t>Batch size</t>
        </is>
      </c>
      <c r="B2" s="8">
        <f>IF(Orders!B2="OK",Orders!B1,"")</f>
        <v/>
      </c>
      <c r="D2" s="3">
        <f>IF(Helpers!A4="","",Helpers!A4)</f>
        <v/>
      </c>
      <c r="E2" s="6">
        <f>IF(D2="","",COUNTIF(Orders!$E$5:$E$204,D2))</f>
        <v/>
      </c>
    </row>
    <row r="3">
      <c r="A3" s="1" t="inlineStr">
        <is>
          <t>Number of batches</t>
        </is>
      </c>
      <c r="B3" s="8">
        <f>IF(B2="","",ROUNDUP(B1/B2,0))</f>
        <v/>
      </c>
      <c r="D3" s="3">
        <f>IF(Helpers!A5="","",Helpers!A5)</f>
        <v/>
      </c>
      <c r="E3" s="6">
        <f>IF(D3="","",COUNTIF(Orders!$E$5:$E$204,D3))</f>
        <v/>
      </c>
    </row>
    <row r="4">
      <c r="A4" s="1" t="inlineStr">
        <is>
          <t>Orders in the last batch</t>
        </is>
      </c>
      <c r="B4" s="8">
        <f>IF(OR(B2="",B1=0),"",B1-(B3-1)*B2)</f>
        <v/>
      </c>
      <c r="D4" s="3">
        <f>IF(Helpers!A6="","",Helpers!A6)</f>
        <v/>
      </c>
      <c r="E4" s="6">
        <f>IF(D4="","",COUNTIF(Orders!$E$5:$E$204,D4))</f>
        <v/>
      </c>
    </row>
    <row r="5">
      <c r="A5" s="1" t="inlineStr">
        <is>
          <t>Helpers listed</t>
        </is>
      </c>
      <c r="B5" s="8">
        <f>COUNTA(Helpers!A4:A8)</f>
        <v/>
      </c>
      <c r="D5" s="3">
        <f>IF(Helpers!A7="","",Helpers!A7)</f>
        <v/>
      </c>
      <c r="E5" s="6">
        <f>IF(D5="","",COUNTIF(Orders!$E$5:$E$204,D5))</f>
        <v/>
      </c>
    </row>
    <row r="6">
      <c r="A6" s="1" t="inlineStr">
        <is>
          <t>Check: counts add up and helpers are fair</t>
        </is>
      </c>
      <c r="B6" s="6">
        <f>IF(AND(Orders!B2="OK",B5&gt;=1,SUMPRODUCT((Helpers!A4:A8&lt;&gt;"")*(ROW(Helpers!A4:A8)-ROW(Helpers!A4)+1&lt;=B5))=B5,SUMPRODUCT(--(Helpers!A4:A8&lt;&gt;""),--(COUNTIF(Helpers!A4:A8,Helpers!A4:A8)&gt;1))=0,E7=B1,E8&lt;=1,COUNTA(Orders!A205:A1000)=0,MAX(Orders!C5:C204)=B3),"OK","CHECK")</f>
        <v/>
      </c>
      <c r="D6" s="3">
        <f>IF(Helpers!A8="","",Helpers!A8)</f>
        <v/>
      </c>
      <c r="E6" s="6">
        <f>IF(D6="","",COUNTIF(Orders!$E$5:$E$204,D6))</f>
        <v/>
      </c>
    </row>
    <row r="7">
      <c r="D7" s="1" t="inlineStr">
        <is>
          <t>Total</t>
        </is>
      </c>
      <c r="E7" s="8">
        <f>SUM(E2:E6)</f>
        <v/>
      </c>
    </row>
    <row r="8">
      <c r="D8" s="1" t="inlineStr">
        <is>
          <t>Most minus fewest</t>
        </is>
      </c>
      <c r="E8" s="8">
        <f>IF(COUNT(E2:E6)=0,"",MAX(E2:E6)-MIN(E2:E6))</f>
        <v/>
      </c>
    </row>
  </sheetData>
  <conditionalFormatting sqref="B6">
    <cfRule type="expression" priority="1" dxfId="1">
      <formula>AND(B6&lt;&gt;"OK",B6&lt;&gt;"")</formula>
    </cfRule>
  </conditionalFormatting>
  <pageMargins left="0.75" right="0.75" top="1" bottom="1" header="0.5" footer="0.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Tidy Tabs: Split an Order List Into Batches and Assign Helpers in Turn</t>
        </is>
      </c>
    </row>
    <row r="2">
      <c r="A2" s="11" t="inlineStr"/>
    </row>
    <row r="3">
      <c r="A3" s="11" t="inlineStr">
        <is>
          <t>1. Orders tab: type the batch size in B1 (yellow, 10) and the order numbers in A5:A204. Yellow. The sample is 45 fictional order numbers. Helpers tab: type 1 to 5 first names in A4:A8, with no empty row between them (the sample has 3).</t>
        </is>
      </c>
    </row>
    <row r="4">
      <c r="A4" s="11" t="inlineStr">
        <is>
          <t>2. B2 shows OK when the batch size is a whole number of 1 or more. Otherwise Batch and Position show Check batch size.</t>
        </is>
      </c>
    </row>
    <row r="5">
      <c r="A5" s="11" t="inlineStr">
        <is>
          <t>3. Item no., B5: =IF(A5="","",COUNTA($A$5:A5)). It counts only filled rows, so an empty row in the middle of the list is skipped and the numbering stays 1, 2, 3 with no gap. A cell that holds only a space counts as filled.</t>
        </is>
      </c>
    </row>
    <row r="6">
      <c r="A6" s="11" t="inlineStr">
        <is>
          <t>4. Batch, C5: =INT((B5-1)/$B$1)+1. Position in batch, D5: =MOD(B5-1,$B$1)+1. With a batch size of 10, items 1 to 10 are batch 1 and item 11 is batch 2, position 1. The first row of each batch turns green.</t>
        </is>
      </c>
    </row>
    <row r="7">
      <c r="A7" s="11" t="inlineStr">
        <is>
          <t>5. Helper, E5: =INDEX(Helpers!$A$4:$A$8,MOD(B5-1,COUNTA(Helpers!$A$4:$A$8))+1)&amp;"". MOD cycles 0, 1, 2, 0, 1, 2 for three helpers, so the helpers are dealt orders in turn and each one gets no more than one order more than another. The helper rotation does not restart at a new batch.</t>
        </is>
      </c>
    </row>
    <row r="8">
      <c r="A8" s="11" t="inlineStr">
        <is>
          <t>6. Summary tab: orders counted, batch size, number of batches =ROUNDUP(B1/B2,0), orders in the last batch (smaller when the count does not divide evenly), the helpers listed, and a table of orders per helper with =COUNTIF. B6 shows OK when the helper counts add up to the orders, the most and fewest differ by 1 or less, the helpers have no empty row or duplicate name, the number of batches matches the highest batch number, and nothing is typed below row 204.</t>
        </is>
      </c>
    </row>
    <row r="9">
      <c r="A9" s="11" t="inlineStr">
        <is>
          <t>7. With no orders every result stays blank or 0. Delete a helper by clearing the cell and moving the names above up, so there is no empty row.</t>
        </is>
      </c>
    </row>
    <row r="10">
      <c r="A10" s="11" t="inlineStr">
        <is>
          <t>8. This splits and deals a list. It does not weigh how long an order takes.</t>
        </is>
      </c>
    </row>
    <row r="11">
      <c r="A11" s="11" t="inlineStr"/>
    </row>
    <row r="12">
      <c r="A12" s="11" t="inlineStr">
        <is>
          <t>Order numbers and names are fictional. Checked in LibreOffice Calc only; not opened in Excel or Google Sheets.</t>
        </is>
      </c>
    </row>
    <row r="13">
      <c r="A13" s="11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2026-10-27T07:37:10Z</dcterms:created>
  <dcterms:modified xmlns:dcterms="http://purl.org/dc/terms/" xmlns:xsi="http://www.w3.org/2001/XMLSchema-instance" xsi:type="dcterms:W3CDTF">2026-10-27T07:37:10Z</dcterms:modified>
</cp:coreProperties>
</file>