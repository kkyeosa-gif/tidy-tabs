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sheetId="1" state="visible" r:id="rId1"/>
    <sheet xmlns:r="http://schemas.openxmlformats.org/officeDocument/2006/relationships" name="Materials" sheetId="2" state="visible" r:id="rId2"/>
    <sheet xmlns:r="http://schemas.openxmlformats.org/officeDocument/2006/relationships" name="How to use" sheetId="3" state="visible" r:id="rId3"/>
  </sheets>
  <definedNames>
    <definedName name="_xlnm.Print_Titles" localSheetId="0">'Batch'!$1:$1</definedName>
    <definedName name="_xlnm.Print_Titles" localSheetId="1">'Materials'!$1:$1</definedName>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b val="1"/>
    </font>
    <font>
      <b val="1"/>
      <color rgb="00FFFFFF"/>
    </font>
    <font>
      <b val="1"/>
      <sz val="12"/>
    </font>
    <font>
      <b val="1"/>
      <sz val="13"/>
    </font>
  </fonts>
  <fills count="5">
    <fill>
      <patternFill/>
    </fill>
    <fill>
      <patternFill patternType="gray125"/>
    </fill>
    <fill>
      <patternFill patternType="solid">
        <fgColor rgb="00FFF2CC"/>
      </patternFill>
    </fill>
    <fill>
      <patternFill patternType="solid">
        <fgColor rgb="002E5E4E"/>
      </patternFill>
    </fill>
    <fill>
      <patternFill patternType="solid">
        <fgColor rgb="00EDEDED"/>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2" borderId="0" pivotButton="0" quotePrefix="0" xfId="0"/>
    <xf numFmtId="0" fontId="2" fillId="3" borderId="0" applyAlignment="1" pivotButton="0" quotePrefix="0" xfId="0">
      <alignment vertical="center" wrapText="1"/>
    </xf>
    <xf numFmtId="164" fontId="0" fillId="2" borderId="0" pivotButton="0" quotePrefix="0" xfId="0"/>
    <xf numFmtId="1" fontId="0" fillId="4" borderId="0" pivotButton="0" quotePrefix="0" xfId="0"/>
    <xf numFmtId="164" fontId="0" fillId="4" borderId="0" pivotButton="0" quotePrefix="0" xfId="0"/>
    <xf numFmtId="0" fontId="3" fillId="0" borderId="0" pivotButton="0" quotePrefix="0" xfId="0"/>
    <xf numFmtId="1" fontId="0" fillId="4" borderId="0" applyAlignment="1" pivotButton="0" quotePrefix="0" xfId="0">
      <alignment horizontal="right"/>
    </xf>
    <xf numFmtId="0" fontId="0" fillId="4" borderId="0" applyAlignment="1" pivotButton="0" quotePrefix="0" xfId="0">
      <alignment horizontal="right"/>
    </xf>
    <xf numFmtId="164" fontId="0" fillId="4" borderId="0" applyAlignment="1" pivotButton="0" quotePrefix="0" xfId="0">
      <alignment horizontal="right"/>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
  <sheetViews>
    <sheetView workbookViewId="0">
      <selection activeCell="A1" sqref="A1"/>
    </sheetView>
  </sheetViews>
  <sheetFormatPr baseColWidth="8" defaultRowHeight="15"/>
  <cols>
    <col width="34" customWidth="1" min="1" max="1"/>
    <col width="12" customWidth="1" min="2" max="2"/>
    <col width="56" customWidth="1" min="3" max="3"/>
  </cols>
  <sheetData>
    <row r="1">
      <c r="A1" s="1" t="inlineStr">
        <is>
          <t>Candles one batch makes</t>
        </is>
      </c>
      <c r="B1" s="2" t="n">
        <v>12</v>
      </c>
      <c r="C1" t="inlineStr">
        <is>
          <t>Typed. Any unit you count the finished product in.</t>
        </is>
      </c>
    </row>
    <row r="2">
      <c r="A2" s="1" t="inlineStr">
        <is>
          <t>Batches to plan for (N)</t>
        </is>
      </c>
      <c r="B2" s="2" t="n">
        <v>10</v>
      </c>
      <c r="C2" t="inlineStr">
        <is>
          <t>Typed. Used for the to-buy column on the Materials tab.</t>
        </is>
      </c>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F15"/>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15" customWidth="1" min="3" max="3"/>
    <col width="16" customWidth="1" min="4" max="4"/>
    <col width="18" customWidth="1" min="5" max="5"/>
    <col width="18" customWidth="1" min="6" max="6"/>
  </cols>
  <sheetData>
    <row r="1" ht="30" customHeight="1">
      <c r="A1" s="3" t="inlineStr">
        <is>
          <t>Material</t>
        </is>
      </c>
      <c r="B1" s="3" t="inlineStr">
        <is>
          <t>On hand</t>
        </is>
      </c>
      <c r="C1" s="3" t="inlineStr">
        <is>
          <t>Needed per batch</t>
        </is>
      </c>
      <c r="D1" s="3" t="inlineStr">
        <is>
          <t>Whole batches possible</t>
        </is>
      </c>
      <c r="E1" s="3" t="inlineStr">
        <is>
          <t>Left after the batches made</t>
        </is>
      </c>
      <c r="F1" s="3" t="inlineStr">
        <is>
          <t>To buy to make N batches</t>
        </is>
      </c>
    </row>
    <row r="2">
      <c r="A2" s="2" t="inlineStr">
        <is>
          <t>Soy wax (lb)</t>
        </is>
      </c>
      <c r="B2" s="4" t="n">
        <v>42.5</v>
      </c>
      <c r="C2" s="4" t="n">
        <v>4.5</v>
      </c>
      <c r="D2" s="5">
        <f>IF(AND(B2="",C2=""),"",IF(OR(NOT(ISNUMBER(B2)),AND(C2&lt;&gt;"",NOT(ISNUMBER(C2)))),"Check",IF(OR(B2&lt;0,C2&lt;0),"Check",IF(OR(C2="",C2=0),"",INT(ROUND(B2/C2,10))))))</f>
        <v/>
      </c>
      <c r="E2" s="6">
        <f>IF(AND(ISNUMBER(D2),ISNUMBER($B$10)),ROUND(B2-C2*$B$10,6),"")</f>
        <v/>
      </c>
      <c r="F2" s="6">
        <f>IF(AND(ISNUMBER(D2),ISNUMBER(Batch!$B$2)),ROUND(MAX(0,C2*Batch!$B$2-B2),6),"")</f>
        <v/>
      </c>
    </row>
    <row r="3">
      <c r="A3" s="2" t="inlineStr">
        <is>
          <t>Fragrance oil (oz)</t>
        </is>
      </c>
      <c r="B3" s="4" t="n">
        <v>30</v>
      </c>
      <c r="C3" s="4" t="n">
        <v>3.5</v>
      </c>
      <c r="D3" s="5">
        <f>IF(AND(B3="",C3=""),"",IF(OR(NOT(ISNUMBER(B3)),AND(C3&lt;&gt;"",NOT(ISNUMBER(C3)))),"Check",IF(OR(B3&lt;0,C3&lt;0),"Check",IF(OR(C3="",C3=0),"",INT(ROUND(B3/C3,10))))))</f>
        <v/>
      </c>
      <c r="E3" s="6">
        <f>IF(AND(ISNUMBER(D3),ISNUMBER($B$10)),ROUND(B3-C3*$B$10,6),"")</f>
        <v/>
      </c>
      <c r="F3" s="6">
        <f>IF(AND(ISNUMBER(D3),ISNUMBER(Batch!$B$2)),ROUND(MAX(0,C3*Batch!$B$2-B3),6),"")</f>
        <v/>
      </c>
    </row>
    <row r="4">
      <c r="A4" s="2" t="inlineStr">
        <is>
          <t>Cotton wicks</t>
        </is>
      </c>
      <c r="B4" s="4" t="n">
        <v>130</v>
      </c>
      <c r="C4" s="4" t="n">
        <v>12</v>
      </c>
      <c r="D4" s="5">
        <f>IF(AND(B4="",C4=""),"",IF(OR(NOT(ISNUMBER(B4)),AND(C4&lt;&gt;"",NOT(ISNUMBER(C4)))),"Check",IF(OR(B4&lt;0,C4&lt;0),"Check",IF(OR(C4="",C4=0),"",INT(ROUND(B4/C4,10))))))</f>
        <v/>
      </c>
      <c r="E4" s="6">
        <f>IF(AND(ISNUMBER(D4),ISNUMBER($B$10)),ROUND(B4-C4*$B$10,6),"")</f>
        <v/>
      </c>
      <c r="F4" s="6">
        <f>IF(AND(ISNUMBER(D4),ISNUMBER(Batch!$B$2)),ROUND(MAX(0,C4*Batch!$B$2-B4),6),"")</f>
        <v/>
      </c>
    </row>
    <row r="5">
      <c r="A5" s="2" t="inlineStr">
        <is>
          <t>8 oz jars</t>
        </is>
      </c>
      <c r="B5" s="4" t="n">
        <v>87</v>
      </c>
      <c r="C5" s="4" t="n">
        <v>12</v>
      </c>
      <c r="D5" s="5">
        <f>IF(AND(B5="",C5=""),"",IF(OR(NOT(ISNUMBER(B5)),AND(C5&lt;&gt;"",NOT(ISNUMBER(C5)))),"Check",IF(OR(B5&lt;0,C5&lt;0),"Check",IF(OR(C5="",C5=0),"",INT(ROUND(B5/C5,10))))))</f>
        <v/>
      </c>
      <c r="E5" s="6">
        <f>IF(AND(ISNUMBER(D5),ISNUMBER($B$10)),ROUND(B5-C5*$B$10,6),"")</f>
        <v/>
      </c>
      <c r="F5" s="6">
        <f>IF(AND(ISNUMBER(D5),ISNUMBER(Batch!$B$2)),ROUND(MAX(0,C5*Batch!$B$2-B5),6),"")</f>
        <v/>
      </c>
    </row>
    <row r="6">
      <c r="A6" s="2" t="inlineStr">
        <is>
          <t>Labels</t>
        </is>
      </c>
      <c r="B6" s="4" t="n">
        <v>150</v>
      </c>
      <c r="C6" s="4" t="n">
        <v>12</v>
      </c>
      <c r="D6" s="5">
        <f>IF(AND(B6="",C6=""),"",IF(OR(NOT(ISNUMBER(B6)),AND(C6&lt;&gt;"",NOT(ISNUMBER(C6)))),"Check",IF(OR(B6&lt;0,C6&lt;0),"Check",IF(OR(C6="",C6=0),"",INT(ROUND(B6/C6,10))))))</f>
        <v/>
      </c>
      <c r="E6" s="6">
        <f>IF(AND(ISNUMBER(D6),ISNUMBER($B$10)),ROUND(B6-C6*$B$10,6),"")</f>
        <v/>
      </c>
      <c r="F6" s="6">
        <f>IF(AND(ISNUMBER(D6),ISNUMBER(Batch!$B$2)),ROUND(MAX(0,C6*Batch!$B$2-B6),6),"")</f>
        <v/>
      </c>
    </row>
    <row r="7">
      <c r="A7" s="2" t="inlineStr">
        <is>
          <t>Shipping boxes</t>
        </is>
      </c>
      <c r="B7" s="4" t="n">
        <v>100</v>
      </c>
      <c r="C7" s="4" t="n">
        <v>12</v>
      </c>
      <c r="D7" s="5">
        <f>IF(AND(B7="",C7=""),"",IF(OR(NOT(ISNUMBER(B7)),AND(C7&lt;&gt;"",NOT(ISNUMBER(C7)))),"Check",IF(OR(B7&lt;0,C7&lt;0),"Check",IF(OR(C7="",C7=0),"",INT(ROUND(B7/C7,10))))))</f>
        <v/>
      </c>
      <c r="E7" s="6">
        <f>IF(AND(ISNUMBER(D7),ISNUMBER($B$10)),ROUND(B7-C7*$B$10,6),"")</f>
        <v/>
      </c>
      <c r="F7" s="6">
        <f>IF(AND(ISNUMBER(D7),ISNUMBER(Batch!$B$2)),ROUND(MAX(0,C7*Batch!$B$2-B7),6),"")</f>
        <v/>
      </c>
    </row>
    <row r="9">
      <c r="A9" s="7" t="inlineStr">
        <is>
          <t>Results</t>
        </is>
      </c>
    </row>
    <row r="10">
      <c r="A10" s="1" t="inlineStr">
        <is>
          <t>Batches you can make</t>
        </is>
      </c>
      <c r="B10" s="8">
        <f>IF(COUNTIF(D2:D7,"Check")&gt;0,"Check inputs",IF(COUNT(D2:D7)=0,"No materials",MIN(D2:D7)))</f>
        <v/>
      </c>
    </row>
    <row r="11">
      <c r="A11" s="1" t="inlineStr">
        <is>
          <t>Material that runs out first</t>
        </is>
      </c>
      <c r="B11" s="9">
        <f>IF(ISNUMBER(B10),INDEX(A2:A7,MATCH(B10,D2:D7,0))&amp;"","")</f>
        <v/>
      </c>
    </row>
    <row r="12">
      <c r="A12" s="1" t="inlineStr">
        <is>
          <t>Units made</t>
        </is>
      </c>
      <c r="B12" s="10">
        <f>IF(AND(ISNUMBER(B10),ISNUMBER(Batch!B1)),B10*Batch!B1,"")</f>
        <v/>
      </c>
    </row>
    <row r="13">
      <c r="A13" s="1" t="inlineStr">
        <is>
          <t>Batches to plan for (N)</t>
        </is>
      </c>
      <c r="B13" s="10">
        <f>IF(ISNUMBER(Batch!B2),Batch!B2,"")</f>
        <v/>
      </c>
    </row>
    <row r="14">
      <c r="A14" s="1" t="inlineStr">
        <is>
          <t>Materials to buy for N batches</t>
        </is>
      </c>
      <c r="B14" s="8">
        <f>IF(COUNT(F2:F7)=0,"",COUNTIF(F2:F7,"&gt;0"))</f>
        <v/>
      </c>
    </row>
    <row r="15">
      <c r="A15" s="1" t="inlineStr">
        <is>
          <t>Check: no negative leftover, limit under one batch</t>
        </is>
      </c>
      <c r="B15" s="9">
        <f>IF(NOT(ISNUMBER(B10)),"No result",IF(AND(MIN(E2:E7)&gt;=0,INDEX(E2:E7,MATCH(B10,D2:D7,0))&lt;INDEX(C2:C7,MATCH(B10,D2:D7,0))),"OK","CHECK"))</f>
        <v/>
      </c>
    </row>
  </sheetData>
  <conditionalFormatting sqref="B15">
    <cfRule type="expression" priority="1" dxfId="0">
      <formula>AND(B15&lt;&gt;"OK",B15&lt;&gt;"")</formula>
    </cfRule>
  </conditionalFormatting>
  <conditionalFormatting sqref="A2:F7">
    <cfRule type="expression" priority="2" dxfId="0">
      <formula>AND(ISNUMBER($D2),ISNUMBER($B$10),$D2=$B$10)</formula>
    </cfRule>
  </conditionalFormatting>
  <conditionalFormatting sqref="D2:D7">
    <cfRule type="expression" priority="3" dxfId="0">
      <formula>D2="Check"</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11" t="inlineStr">
        <is>
          <t>Tidy Tabs: How Many Batches From the Materials on Hand</t>
        </is>
      </c>
    </row>
    <row r="2">
      <c r="A2" s="12" t="inlineStr"/>
    </row>
    <row r="3">
      <c r="A3" s="12" t="inlineStr">
        <is>
          <t>1. Batch tab: type how many finished items one batch makes (B1) and how many batches you want to plan for (B2). Both are yellow.</t>
        </is>
      </c>
    </row>
    <row r="4">
      <c r="A4" s="12" t="inlineStr">
        <is>
          <t>2. Materials tab, rows 2 to 7: the material name (A), how much you have (B) and how much one batch needs (C). Use the same unit in B and C for a row (pounds with pounds, ounces with ounces). They are yellow.</t>
        </is>
      </c>
    </row>
    <row r="5">
      <c r="A5" s="12" t="inlineStr">
        <is>
          <t>3. D2 is the whole batches that material allows: INT(B2/C2), written as INT(ROUND(B2/C2,10)), which is INT(B2/C2) with a guard against tiny binary rounding errors in decimal divisions such as 0.3 / 0.1. Rows with a blank or 0 in C are left out (no #DIV/0!). Text or a negative number shows Check.</t>
        </is>
      </c>
    </row>
    <row r="6">
      <c r="A6" s="12" t="inlineStr">
        <is>
          <t>4. B10 is =MIN(D2:D7): the whole batches you can make. B11 names the material behind it with INDEX and MATCH. If two materials tie, the first one listed is shown. B12 is B10 times the batch yield.</t>
        </is>
      </c>
    </row>
    <row r="7">
      <c r="A7" s="12" t="inlineStr">
        <is>
          <t>5. Column E is what is left of each material after B10 batches (B2-C2*$B$10). Column F is what to buy to make N batches in total, =MAX(0,C2*N-B2), where N is Batch!B2. The row that limits the batches is shaded.</t>
        </is>
      </c>
    </row>
    <row r="8">
      <c r="A8" s="12" t="inlineStr">
        <is>
          <t>6. B15 shows OK when no leftover is negative and the limiting material has less than one batch left.</t>
        </is>
      </c>
    </row>
    <row r="9">
      <c r="A9" s="12" t="inlineStr">
        <is>
          <t>7. Whole batches only. The sheet does not know recipes, yields, shelf life or safety rules. It only divides what you have by what you use.</t>
        </is>
      </c>
    </row>
    <row r="10">
      <c r="A10" s="12" t="inlineStr"/>
    </row>
    <row r="11">
      <c r="A11" s="12" t="inlineStr">
        <is>
          <t>Materials and amounts are fictional. Checked in LibreOffice Calc only; not opened in Excel or Google Sheets.</t>
        </is>
      </c>
    </row>
    <row r="12">
      <c r="A12" s="12"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2026-10-20T07:45:00Z</dcterms:created>
  <dcterms:modified xmlns:dcterms="http://purl.org/dc/terms/" xmlns:xsi="http://www.w3.org/2001/XMLSchema-instance" xsi:type="dcterms:W3CDTF">2026-10-20T07:45:00Z</dcterms:modified>
</cp:coreProperties>
</file>