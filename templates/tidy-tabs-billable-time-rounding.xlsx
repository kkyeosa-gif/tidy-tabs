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 log" sheetId="1" state="visible" r:id="rId1"/>
    <sheet xmlns:r="http://schemas.openxmlformats.org/officeDocument/2006/relationships" name="Settings" sheetId="2" state="visible" r:id="rId2"/>
    <sheet xmlns:r="http://schemas.openxmlformats.org/officeDocument/2006/relationships" name="How to use" sheetId="3" state="visible" r:id="rId3"/>
  </sheets>
  <definedNames>
    <definedName name="_xlnm.Print_Titles" localSheetId="0">'Time log'!$4:$4</definedName>
    <definedName name="_xlnm.Print_Area" localSheetId="0">'Time log'!$A$1:$M$64</definedName>
    <definedName name="_xlnm.Print_Titles" localSheetId="1">'Settings'!$1:$1</definedName>
  </definedNames>
  <calcPr calcId="124519" fullCalcOnLoad="1"/>
</workbook>
</file>

<file path=xl/styles.xml><?xml version="1.0" encoding="utf-8"?>
<styleSheet xmlns="http://schemas.openxmlformats.org/spreadsheetml/2006/main">
  <numFmts count="2">
    <numFmt numFmtId="164" formatCode="mm/dd/yyyy"/>
    <numFmt numFmtId="165" formatCode="&quot;$&quot;#,##0.00"/>
  </numFmts>
  <fonts count="5">
    <font>
      <name val="Calibri"/>
      <family val="2"/>
      <color theme="1"/>
      <sz val="11"/>
      <scheme val="minor"/>
    </font>
    <font>
      <i val="1"/>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4" fontId="0" fillId="3" borderId="0" pivotButton="0" quotePrefix="0" xfId="0"/>
    <xf numFmtId="0" fontId="0" fillId="3" borderId="0" pivotButton="0" quotePrefix="0" xfId="0"/>
    <xf numFmtId="18" fontId="0" fillId="3" borderId="0" pivotButton="0" quotePrefix="0" xfId="0"/>
    <xf numFmtId="1" fontId="0" fillId="4" borderId="0" applyAlignment="1" pivotButton="0" quotePrefix="0" xfId="0">
      <alignment horizontal="right"/>
    </xf>
    <xf numFmtId="2" fontId="0" fillId="4" borderId="0" applyAlignment="1" pivotButton="0" quotePrefix="0" xfId="0">
      <alignment horizontal="right"/>
    </xf>
    <xf numFmtId="165" fontId="0" fillId="4" borderId="0" applyAlignment="1" pivotButton="0" quotePrefix="0" xfId="0">
      <alignment horizontal="right"/>
    </xf>
    <xf numFmtId="0" fontId="3" fillId="0" borderId="0" pivotButton="0" quotePrefix="0" xfId="0"/>
    <xf numFmtId="3" fontId="0" fillId="4" borderId="0" applyAlignment="1" pivotButton="0" quotePrefix="0" xfId="0">
      <alignment horizontal="right"/>
    </xf>
    <xf numFmtId="0" fontId="3" fillId="0" borderId="0" applyAlignment="1" pivotButton="0" quotePrefix="0" xfId="0">
      <alignment vertical="center" wrapText="1"/>
    </xf>
    <xf numFmtId="0" fontId="0" fillId="4" borderId="0" applyAlignment="1" pivotButton="0" quotePrefix="0" xfId="0">
      <alignment horizontal="right"/>
    </xf>
    <xf numFmtId="165" fontId="0" fillId="3" borderId="0" pivotButton="0" quotePrefix="0" xfId="0"/>
    <xf numFmtId="0" fontId="0" fillId="4"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64"/>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20" customWidth="1" min="3" max="3"/>
    <col width="11" customWidth="1" min="4" max="4"/>
    <col width="11" customWidth="1" min="5" max="5"/>
    <col width="11" customWidth="1" min="6" max="6"/>
    <col width="11" customWidth="1" min="7" max="7"/>
    <col width="10" customWidth="1" min="8" max="8"/>
    <col width="12" customWidth="1" min="9" max="9"/>
    <col width="12" customWidth="1" min="10" max="10"/>
    <col width="3" customWidth="1" min="11" max="11"/>
    <col width="44" customWidth="1" min="12" max="12"/>
    <col width="14" customWidth="1" min="13" max="13"/>
  </cols>
  <sheetData>
    <row r="1">
      <c r="A1" s="1" t="inlineStr">
        <is>
          <t>Fictional freelance bookkeeper. Block size and rate are on the Settings tab. Yellow cells are yours to change.</t>
        </is>
      </c>
    </row>
    <row r="2">
      <c r="A2" s="1" t="inlineStr">
        <is>
          <t>Start and End are clock times on the same day. A row with End before Start shows Check times.</t>
        </is>
      </c>
    </row>
    <row r="4" ht="46" customHeight="1">
      <c r="A4" s="2" t="inlineStr">
        <is>
          <t>Date</t>
        </is>
      </c>
      <c r="B4" s="2" t="inlineStr">
        <is>
          <t>Client</t>
        </is>
      </c>
      <c r="C4" s="2" t="inlineStr">
        <is>
          <t>Task</t>
        </is>
      </c>
      <c r="D4" s="2" t="inlineStr">
        <is>
          <t>Start</t>
        </is>
      </c>
      <c r="E4" s="2" t="inlineStr">
        <is>
          <t>End</t>
        </is>
      </c>
      <c r="F4" s="2" t="inlineStr">
        <is>
          <t>Minutes worked</t>
        </is>
      </c>
      <c r="G4" s="2" t="inlineStr">
        <is>
          <t>Billed minutes</t>
        </is>
      </c>
      <c r="H4" s="2" t="inlineStr">
        <is>
          <t>Billed hours</t>
        </is>
      </c>
      <c r="I4" s="2" t="inlineStr">
        <is>
          <t>Amount</t>
        </is>
      </c>
      <c r="J4" s="2" t="inlineStr">
        <is>
          <t>Extra minutes billed</t>
        </is>
      </c>
    </row>
    <row r="5">
      <c r="A5" s="3" t="n">
        <v>46300</v>
      </c>
      <c r="B5" s="4" t="inlineStr">
        <is>
          <t>Maple Dental</t>
        </is>
      </c>
      <c r="C5" s="4" t="inlineStr">
        <is>
          <t>Bank reconciliation</t>
        </is>
      </c>
      <c r="D5" s="5" t="n">
        <v>0.3763888888888889</v>
      </c>
      <c r="E5" s="5" t="n">
        <v>0.4090277777777778</v>
      </c>
      <c r="F5" s="6">
        <f>IF(AND(D5="",E5=""),"",IF(AND(ISNUMBER(D5),ISNUMBER(E5)),IF(E5&gt;=D5,ROUND((E5-D5)*1440,0),"Check times"),"Check times"))</f>
        <v/>
      </c>
      <c r="G5" s="6">
        <f>IF(ISNUMBER(F5),IF(Settings!$B$3&lt;&gt;"OK","Check settings",ROUNDUP(F5/Settings!$B$1,0)*Settings!$B$1),"")</f>
        <v/>
      </c>
      <c r="H5" s="7">
        <f>IF(ISNUMBER(G5),G5/60,"")</f>
        <v/>
      </c>
      <c r="I5" s="8">
        <f>IF(ISNUMBER(H5),ROUND(H5*Settings!$B$2,2),"")</f>
        <v/>
      </c>
      <c r="J5" s="6">
        <f>IF(ISNUMBER(G5),G5-F5,"")</f>
        <v/>
      </c>
      <c r="L5" s="9" t="inlineStr">
        <is>
          <t>Entries with a number of minutes</t>
        </is>
      </c>
      <c r="M5" s="6">
        <f>COUNT(F5:F64)</f>
        <v/>
      </c>
    </row>
    <row r="6">
      <c r="A6" s="3" t="n">
        <v>46300</v>
      </c>
      <c r="B6" s="4" t="inlineStr">
        <is>
          <t>Harbor Yoga</t>
        </is>
      </c>
      <c r="C6" s="4" t="inlineStr">
        <is>
          <t>Invoices</t>
        </is>
      </c>
      <c r="D6" s="5" t="n">
        <v>0.4166666666666667</v>
      </c>
      <c r="E6" s="5" t="n">
        <v>0.4479166666666667</v>
      </c>
      <c r="F6" s="6">
        <f>IF(AND(D6="",E6=""),"",IF(AND(ISNUMBER(D6),ISNUMBER(E6)),IF(E6&gt;=D6,ROUND((E6-D6)*1440,0),"Check times"),"Check times"))</f>
        <v/>
      </c>
      <c r="G6" s="6">
        <f>IF(ISNUMBER(F6),IF(Settings!$B$3&lt;&gt;"OK","Check settings",ROUNDUP(F6/Settings!$B$1,0)*Settings!$B$1),"")</f>
        <v/>
      </c>
      <c r="H6" s="7">
        <f>IF(ISNUMBER(G6),G6/60,"")</f>
        <v/>
      </c>
      <c r="I6" s="8">
        <f>IF(ISNUMBER(H6),ROUND(H6*Settings!$B$2,2),"")</f>
        <v/>
      </c>
      <c r="J6" s="6">
        <f>IF(ISNUMBER(G6),G6-F6,"")</f>
        <v/>
      </c>
      <c r="L6" s="9" t="inlineStr">
        <is>
          <t>Total actual minutes</t>
        </is>
      </c>
      <c r="M6" s="10">
        <f>SUM(F5:F64)</f>
        <v/>
      </c>
    </row>
    <row r="7">
      <c r="A7" s="3" t="n">
        <v>46300</v>
      </c>
      <c r="B7" s="4" t="inlineStr">
        <is>
          <t>Pine Street Bakery</t>
        </is>
      </c>
      <c r="C7" s="4" t="inlineStr">
        <is>
          <t>Payroll prep</t>
        </is>
      </c>
      <c r="D7" s="5" t="n">
        <v>0.4166666666666667</v>
      </c>
      <c r="E7" s="5" t="n">
        <v>0.4486111111111111</v>
      </c>
      <c r="F7" s="6">
        <f>IF(AND(D7="",E7=""),"",IF(AND(ISNUMBER(D7),ISNUMBER(E7)),IF(E7&gt;=D7,ROUND((E7-D7)*1440,0),"Check times"),"Check times"))</f>
        <v/>
      </c>
      <c r="G7" s="6">
        <f>IF(ISNUMBER(F7),IF(Settings!$B$3&lt;&gt;"OK","Check settings",ROUNDUP(F7/Settings!$B$1,0)*Settings!$B$1),"")</f>
        <v/>
      </c>
      <c r="H7" s="7">
        <f>IF(ISNUMBER(G7),G7/60,"")</f>
        <v/>
      </c>
      <c r="I7" s="8">
        <f>IF(ISNUMBER(H7),ROUND(H7*Settings!$B$2,2),"")</f>
        <v/>
      </c>
      <c r="J7" s="6">
        <f>IF(ISNUMBER(G7),G7-F7,"")</f>
        <v/>
      </c>
      <c r="L7" s="9" t="inlineStr">
        <is>
          <t>Total billed minutes</t>
        </is>
      </c>
      <c r="M7" s="10">
        <f>SUM(G5:G64)</f>
        <v/>
      </c>
    </row>
    <row r="8">
      <c r="A8" s="3" t="n">
        <v>46301</v>
      </c>
      <c r="B8" s="4" t="inlineStr">
        <is>
          <t>Maple Dental</t>
        </is>
      </c>
      <c r="C8" s="4" t="inlineStr">
        <is>
          <t>Phone call</t>
        </is>
      </c>
      <c r="D8" s="5" t="n">
        <v>0.5520833333333334</v>
      </c>
      <c r="E8" s="5" t="n">
        <v>0.5520833333333334</v>
      </c>
      <c r="F8" s="6">
        <f>IF(AND(D8="",E8=""),"",IF(AND(ISNUMBER(D8),ISNUMBER(E8)),IF(E8&gt;=D8,ROUND((E8-D8)*1440,0),"Check times"),"Check times"))</f>
        <v/>
      </c>
      <c r="G8" s="6">
        <f>IF(ISNUMBER(F8),IF(Settings!$B$3&lt;&gt;"OK","Check settings",ROUNDUP(F8/Settings!$B$1,0)*Settings!$B$1),"")</f>
        <v/>
      </c>
      <c r="H8" s="7">
        <f>IF(ISNUMBER(G8),G8/60,"")</f>
        <v/>
      </c>
      <c r="I8" s="8">
        <f>IF(ISNUMBER(H8),ROUND(H8*Settings!$B$2,2),"")</f>
        <v/>
      </c>
      <c r="J8" s="6">
        <f>IF(ISNUMBER(G8),G8-F8,"")</f>
        <v/>
      </c>
      <c r="L8" s="9" t="inlineStr">
        <is>
          <t>Extra minutes billed because of rounding</t>
        </is>
      </c>
      <c r="M8" s="10">
        <f>M7-M6</f>
        <v/>
      </c>
    </row>
    <row r="9">
      <c r="A9" s="3" t="n">
        <v>46301</v>
      </c>
      <c r="B9" s="4" t="inlineStr">
        <is>
          <t>Harbor Yoga</t>
        </is>
      </c>
      <c r="C9" s="4" t="inlineStr">
        <is>
          <t>Month-end close</t>
        </is>
      </c>
      <c r="D9" s="5" t="n">
        <v>0.3541666666666667</v>
      </c>
      <c r="E9" s="5" t="n">
        <v>0.3965277777777778</v>
      </c>
      <c r="F9" s="6">
        <f>IF(AND(D9="",E9=""),"",IF(AND(ISNUMBER(D9),ISNUMBER(E9)),IF(E9&gt;=D9,ROUND((E9-D9)*1440,0),"Check times"),"Check times"))</f>
        <v/>
      </c>
      <c r="G9" s="6">
        <f>IF(ISNUMBER(F9),IF(Settings!$B$3&lt;&gt;"OK","Check settings",ROUNDUP(F9/Settings!$B$1,0)*Settings!$B$1),"")</f>
        <v/>
      </c>
      <c r="H9" s="7">
        <f>IF(ISNUMBER(G9),G9/60,"")</f>
        <v/>
      </c>
      <c r="I9" s="8">
        <f>IF(ISNUMBER(H9),ROUND(H9*Settings!$B$2,2),"")</f>
        <v/>
      </c>
      <c r="J9" s="6">
        <f>IF(ISNUMBER(G9),G9-F9,"")</f>
        <v/>
      </c>
      <c r="L9" s="9" t="inlineStr">
        <is>
          <t>Total amount</t>
        </is>
      </c>
      <c r="M9" s="8">
        <f>SUM(I5:I64)</f>
        <v/>
      </c>
    </row>
    <row r="10">
      <c r="A10" s="3" t="n">
        <v>46301</v>
      </c>
      <c r="B10" s="4" t="inlineStr">
        <is>
          <t>Cedar Cycles</t>
        </is>
      </c>
      <c r="C10" s="4" t="inlineStr">
        <is>
          <t>Quick question</t>
        </is>
      </c>
      <c r="D10" s="5" t="n">
        <v>0.5833333333333334</v>
      </c>
      <c r="E10" s="5" t="n">
        <v>0.5840277777777778</v>
      </c>
      <c r="F10" s="6">
        <f>IF(AND(D10="",E10=""),"",IF(AND(ISNUMBER(D10),ISNUMBER(E10)),IF(E10&gt;=D10,ROUND((E10-D10)*1440,0),"Check times"),"Check times"))</f>
        <v/>
      </c>
      <c r="G10" s="6">
        <f>IF(ISNUMBER(F10),IF(Settings!$B$3&lt;&gt;"OK","Check settings",ROUNDUP(F10/Settings!$B$1,0)*Settings!$B$1),"")</f>
        <v/>
      </c>
      <c r="H10" s="7">
        <f>IF(ISNUMBER(G10),G10/60,"")</f>
        <v/>
      </c>
      <c r="I10" s="8">
        <f>IF(ISNUMBER(H10),ROUND(H10*Settings!$B$2,2),"")</f>
        <v/>
      </c>
      <c r="J10" s="6">
        <f>IF(ISNUMBER(G10),G10-F10,"")</f>
        <v/>
      </c>
      <c r="L10" s="9" t="inlineStr">
        <is>
          <t>Rows that show Check times</t>
        </is>
      </c>
      <c r="M10" s="6">
        <f>COUNTIF(F5:F64,"Check*")</f>
        <v/>
      </c>
    </row>
    <row r="11" ht="46" customHeight="1">
      <c r="A11" s="3" t="n">
        <v>46302</v>
      </c>
      <c r="B11" s="4" t="inlineStr">
        <is>
          <t>Pine Street Bakery</t>
        </is>
      </c>
      <c r="C11" s="4" t="inlineStr">
        <is>
          <t>Sales tax report</t>
        </is>
      </c>
      <c r="D11" s="5" t="n">
        <v>0.4652777777777778</v>
      </c>
      <c r="E11" s="5" t="n">
        <v>0.5277777777777778</v>
      </c>
      <c r="F11" s="6">
        <f>IF(AND(D11="",E11=""),"",IF(AND(ISNUMBER(D11),ISNUMBER(E11)),IF(E11&gt;=D11,ROUND((E11-D11)*1440,0),"Check times"),"Check times"))</f>
        <v/>
      </c>
      <c r="G11" s="6">
        <f>IF(ISNUMBER(F11),IF(Settings!$B$3&lt;&gt;"OK","Check settings",ROUNDUP(F11/Settings!$B$1,0)*Settings!$B$1),"")</f>
        <v/>
      </c>
      <c r="H11" s="7">
        <f>IF(ISNUMBER(G11),G11/60,"")</f>
        <v/>
      </c>
      <c r="I11" s="8">
        <f>IF(ISNUMBER(H11),ROUND(H11*Settings!$B$2,2),"")</f>
        <v/>
      </c>
      <c r="J11" s="6">
        <f>IF(ISNUMBER(G11),G11-F11,"")</f>
        <v/>
      </c>
      <c r="L11" s="11" t="inlineStr">
        <is>
          <t>Check: settings valid, every billed total is a whole number of blocks, extra is under one block</t>
        </is>
      </c>
      <c r="M11" s="12">
        <f>IF(AND(Settings!B3="OK",COUNT(G5:G64)=COUNT(F5:F64),SUMPRODUCT(--ISNUMBER(G5:G64),--(IFERROR(MOD(G5:G64,Settings!B1),0)&lt;&gt;0))=0,COUNTIF(J5:J64,"&lt;0")=0,COUNTIF(J5:J64,"&gt;="&amp;Settings!B1)=0,ROUND(M8-SUM(J5:J64),6)=0,COUNTA(A65:E500)=0),"OK","CHECK")</f>
        <v/>
      </c>
    </row>
    <row r="12">
      <c r="A12" s="3" t="n">
        <v>46302</v>
      </c>
      <c r="B12" s="4" t="inlineStr">
        <is>
          <t>Cedar Cycles</t>
        </is>
      </c>
      <c r="C12" s="4" t="inlineStr">
        <is>
          <t>Receipts sort</t>
        </is>
      </c>
      <c r="D12" s="5" t="n">
        <v>0.6284722222222222</v>
      </c>
      <c r="E12" s="5" t="n">
        <v>0.6388888888888888</v>
      </c>
      <c r="F12" s="6">
        <f>IF(AND(D12="",E12=""),"",IF(AND(ISNUMBER(D12),ISNUMBER(E12)),IF(E12&gt;=D12,ROUND((E12-D12)*1440,0),"Check times"),"Check times"))</f>
        <v/>
      </c>
      <c r="G12" s="6">
        <f>IF(ISNUMBER(F12),IF(Settings!$B$3&lt;&gt;"OK","Check settings",ROUNDUP(F12/Settings!$B$1,0)*Settings!$B$1),"")</f>
        <v/>
      </c>
      <c r="H12" s="7">
        <f>IF(ISNUMBER(G12),G12/60,"")</f>
        <v/>
      </c>
      <c r="I12" s="8">
        <f>IF(ISNUMBER(H12),ROUND(H12*Settings!$B$2,2),"")</f>
        <v/>
      </c>
      <c r="J12" s="6">
        <f>IF(ISNUMBER(G12),G12-F12,"")</f>
        <v/>
      </c>
    </row>
    <row r="13">
      <c r="A13" s="3" t="n">
        <v>46303</v>
      </c>
      <c r="B13" s="4" t="inlineStr">
        <is>
          <t>Maple Dental</t>
        </is>
      </c>
      <c r="C13" s="4" t="inlineStr">
        <is>
          <t>Vendor bills</t>
        </is>
      </c>
      <c r="D13" s="5" t="n">
        <v>0.375</v>
      </c>
      <c r="E13" s="5" t="n">
        <v>0.4263888888888889</v>
      </c>
      <c r="F13" s="6">
        <f>IF(AND(D13="",E13=""),"",IF(AND(ISNUMBER(D13),ISNUMBER(E13)),IF(E13&gt;=D13,ROUND((E13-D13)*1440,0),"Check times"),"Check times"))</f>
        <v/>
      </c>
      <c r="G13" s="6">
        <f>IF(ISNUMBER(F13),IF(Settings!$B$3&lt;&gt;"OK","Check settings",ROUNDUP(F13/Settings!$B$1,0)*Settings!$B$1),"")</f>
        <v/>
      </c>
      <c r="H13" s="7">
        <f>IF(ISNUMBER(G13),G13/60,"")</f>
        <v/>
      </c>
      <c r="I13" s="8">
        <f>IF(ISNUMBER(H13),ROUND(H13*Settings!$B$2,2),"")</f>
        <v/>
      </c>
      <c r="J13" s="6">
        <f>IF(ISNUMBER(G13),G13-F13,"")</f>
        <v/>
      </c>
    </row>
    <row r="14">
      <c r="A14" s="3" t="n">
        <v>46303</v>
      </c>
      <c r="B14" s="4" t="inlineStr">
        <is>
          <t>Harbor Yoga</t>
        </is>
      </c>
      <c r="C14" s="4" t="inlineStr">
        <is>
          <t>Budget review</t>
        </is>
      </c>
      <c r="D14" s="5" t="n">
        <v>0.6875</v>
      </c>
      <c r="E14" s="5" t="n">
        <v>0.7097222222222223</v>
      </c>
      <c r="F14" s="6">
        <f>IF(AND(D14="",E14=""),"",IF(AND(ISNUMBER(D14),ISNUMBER(E14)),IF(E14&gt;=D14,ROUND((E14-D14)*1440,0),"Check times"),"Check times"))</f>
        <v/>
      </c>
      <c r="G14" s="6">
        <f>IF(ISNUMBER(F14),IF(Settings!$B$3&lt;&gt;"OK","Check settings",ROUNDUP(F14/Settings!$B$1,0)*Settings!$B$1),"")</f>
        <v/>
      </c>
      <c r="H14" s="7">
        <f>IF(ISNUMBER(G14),G14/60,"")</f>
        <v/>
      </c>
      <c r="I14" s="8">
        <f>IF(ISNUMBER(H14),ROUND(H14*Settings!$B$2,2),"")</f>
        <v/>
      </c>
      <c r="J14" s="6">
        <f>IF(ISNUMBER(G14),G14-F14,"")</f>
        <v/>
      </c>
    </row>
    <row r="15">
      <c r="A15" s="3" t="n">
        <v>46304</v>
      </c>
      <c r="B15" s="4" t="inlineStr">
        <is>
          <t>Pine Street Bakery</t>
        </is>
      </c>
      <c r="C15" s="4" t="inlineStr">
        <is>
          <t>Cleanup of old entries</t>
        </is>
      </c>
      <c r="D15" s="5" t="n">
        <v>0.3333333333333333</v>
      </c>
      <c r="E15" s="5" t="n">
        <v>0.4583333333333333</v>
      </c>
      <c r="F15" s="6">
        <f>IF(AND(D15="",E15=""),"",IF(AND(ISNUMBER(D15),ISNUMBER(E15)),IF(E15&gt;=D15,ROUND((E15-D15)*1440,0),"Check times"),"Check times"))</f>
        <v/>
      </c>
      <c r="G15" s="6">
        <f>IF(ISNUMBER(F15),IF(Settings!$B$3&lt;&gt;"OK","Check settings",ROUNDUP(F15/Settings!$B$1,0)*Settings!$B$1),"")</f>
        <v/>
      </c>
      <c r="H15" s="7">
        <f>IF(ISNUMBER(G15),G15/60,"")</f>
        <v/>
      </c>
      <c r="I15" s="8">
        <f>IF(ISNUMBER(H15),ROUND(H15*Settings!$B$2,2),"")</f>
        <v/>
      </c>
      <c r="J15" s="6">
        <f>IF(ISNUMBER(G15),G15-F15,"")</f>
        <v/>
      </c>
    </row>
    <row r="16">
      <c r="A16" s="3" t="n">
        <v>46304</v>
      </c>
      <c r="B16" s="4" t="inlineStr">
        <is>
          <t>Cedar Cycles</t>
        </is>
      </c>
      <c r="C16" s="4" t="inlineStr">
        <is>
          <t>Email follow-up</t>
        </is>
      </c>
      <c r="D16" s="5" t="n">
        <v>0.5416666666666666</v>
      </c>
      <c r="E16" s="5" t="n">
        <v>0.5465277777777777</v>
      </c>
      <c r="F16" s="6">
        <f>IF(AND(D16="",E16=""),"",IF(AND(ISNUMBER(D16),ISNUMBER(E16)),IF(E16&gt;=D16,ROUND((E16-D16)*1440,0),"Check times"),"Check times"))</f>
        <v/>
      </c>
      <c r="G16" s="6">
        <f>IF(ISNUMBER(F16),IF(Settings!$B$3&lt;&gt;"OK","Check settings",ROUNDUP(F16/Settings!$B$1,0)*Settings!$B$1),"")</f>
        <v/>
      </c>
      <c r="H16" s="7">
        <f>IF(ISNUMBER(G16),G16/60,"")</f>
        <v/>
      </c>
      <c r="I16" s="8">
        <f>IF(ISNUMBER(H16),ROUND(H16*Settings!$B$2,2),"")</f>
        <v/>
      </c>
      <c r="J16" s="6">
        <f>IF(ISNUMBER(G16),G16-F16,"")</f>
        <v/>
      </c>
    </row>
    <row r="17">
      <c r="A17" s="3" t="n">
        <v>46307</v>
      </c>
      <c r="B17" s="4" t="inlineStr">
        <is>
          <t>Maple Dental</t>
        </is>
      </c>
      <c r="C17" s="4" t="inlineStr">
        <is>
          <t>Quarter planning</t>
        </is>
      </c>
      <c r="D17" s="5" t="n">
        <v>0.4305555555555556</v>
      </c>
      <c r="E17" s="5" t="n">
        <v>0.4826388888888889</v>
      </c>
      <c r="F17" s="6">
        <f>IF(AND(D17="",E17=""),"",IF(AND(ISNUMBER(D17),ISNUMBER(E17)),IF(E17&gt;=D17,ROUND((E17-D17)*1440,0),"Check times"),"Check times"))</f>
        <v/>
      </c>
      <c r="G17" s="6">
        <f>IF(ISNUMBER(F17),IF(Settings!$B$3&lt;&gt;"OK","Check settings",ROUNDUP(F17/Settings!$B$1,0)*Settings!$B$1),"")</f>
        <v/>
      </c>
      <c r="H17" s="7">
        <f>IF(ISNUMBER(G17),G17/60,"")</f>
        <v/>
      </c>
      <c r="I17" s="8">
        <f>IF(ISNUMBER(H17),ROUND(H17*Settings!$B$2,2),"")</f>
        <v/>
      </c>
      <c r="J17" s="6">
        <f>IF(ISNUMBER(G17),G17-F17,"")</f>
        <v/>
      </c>
    </row>
    <row r="18">
      <c r="A18" s="3" t="n">
        <v>46307</v>
      </c>
      <c r="B18" s="4" t="inlineStr">
        <is>
          <t>Harbor Yoga</t>
        </is>
      </c>
      <c r="C18" s="4" t="inlineStr">
        <is>
          <t>Year-end checklist</t>
        </is>
      </c>
      <c r="D18" s="5" t="n">
        <v>0.5930555555555556</v>
      </c>
      <c r="E18" s="5" t="n">
        <v>0.6659722222222222</v>
      </c>
      <c r="F18" s="6">
        <f>IF(AND(D18="",E18=""),"",IF(AND(ISNUMBER(D18),ISNUMBER(E18)),IF(E18&gt;=D18,ROUND((E18-D18)*1440,0),"Check times"),"Check times"))</f>
        <v/>
      </c>
      <c r="G18" s="6">
        <f>IF(ISNUMBER(F18),IF(Settings!$B$3&lt;&gt;"OK","Check settings",ROUNDUP(F18/Settings!$B$1,0)*Settings!$B$1),"")</f>
        <v/>
      </c>
      <c r="H18" s="7">
        <f>IF(ISNUMBER(G18),G18/60,"")</f>
        <v/>
      </c>
      <c r="I18" s="8">
        <f>IF(ISNUMBER(H18),ROUND(H18*Settings!$B$2,2),"")</f>
        <v/>
      </c>
      <c r="J18" s="6">
        <f>IF(ISNUMBER(G18),G18-F18,"")</f>
        <v/>
      </c>
    </row>
    <row r="19">
      <c r="A19" s="3" t="n">
        <v>46308</v>
      </c>
      <c r="B19" s="4" t="inlineStr">
        <is>
          <t>Pine Street Bakery</t>
        </is>
      </c>
      <c r="C19" s="4" t="inlineStr">
        <is>
          <t>Invoices</t>
        </is>
      </c>
      <c r="D19" s="5" t="n">
        <v>0.40625</v>
      </c>
      <c r="E19" s="5" t="n">
        <v>0.4208333333333333</v>
      </c>
      <c r="F19" s="6">
        <f>IF(AND(D19="",E19=""),"",IF(AND(ISNUMBER(D19),ISNUMBER(E19)),IF(E19&gt;=D19,ROUND((E19-D19)*1440,0),"Check times"),"Check times"))</f>
        <v/>
      </c>
      <c r="G19" s="6">
        <f>IF(ISNUMBER(F19),IF(Settings!$B$3&lt;&gt;"OK","Check settings",ROUNDUP(F19/Settings!$B$1,0)*Settings!$B$1),"")</f>
        <v/>
      </c>
      <c r="H19" s="7">
        <f>IF(ISNUMBER(G19),G19/60,"")</f>
        <v/>
      </c>
      <c r="I19" s="8">
        <f>IF(ISNUMBER(H19),ROUND(H19*Settings!$B$2,2),"")</f>
        <v/>
      </c>
      <c r="J19" s="6">
        <f>IF(ISNUMBER(G19),G19-F19,"")</f>
        <v/>
      </c>
    </row>
    <row r="20">
      <c r="A20" s="3" t="n"/>
      <c r="B20" s="4" t="n"/>
      <c r="C20" s="4" t="n"/>
      <c r="D20" s="5" t="n"/>
      <c r="E20" s="5" t="n"/>
      <c r="F20" s="6">
        <f>IF(AND(D20="",E20=""),"",IF(AND(ISNUMBER(D20),ISNUMBER(E20)),IF(E20&gt;=D20,ROUND((E20-D20)*1440,0),"Check times"),"Check times"))</f>
        <v/>
      </c>
      <c r="G20" s="6">
        <f>IF(ISNUMBER(F20),IF(Settings!$B$3&lt;&gt;"OK","Check settings",ROUNDUP(F20/Settings!$B$1,0)*Settings!$B$1),"")</f>
        <v/>
      </c>
      <c r="H20" s="7">
        <f>IF(ISNUMBER(G20),G20/60,"")</f>
        <v/>
      </c>
      <c r="I20" s="8">
        <f>IF(ISNUMBER(H20),ROUND(H20*Settings!$B$2,2),"")</f>
        <v/>
      </c>
      <c r="J20" s="6">
        <f>IF(ISNUMBER(G20),G20-F20,"")</f>
        <v/>
      </c>
    </row>
    <row r="21">
      <c r="A21" s="3" t="n"/>
      <c r="B21" s="4" t="n"/>
      <c r="C21" s="4" t="n"/>
      <c r="D21" s="5" t="n"/>
      <c r="E21" s="5" t="n"/>
      <c r="F21" s="6">
        <f>IF(AND(D21="",E21=""),"",IF(AND(ISNUMBER(D21),ISNUMBER(E21)),IF(E21&gt;=D21,ROUND((E21-D21)*1440,0),"Check times"),"Check times"))</f>
        <v/>
      </c>
      <c r="G21" s="6">
        <f>IF(ISNUMBER(F21),IF(Settings!$B$3&lt;&gt;"OK","Check settings",ROUNDUP(F21/Settings!$B$1,0)*Settings!$B$1),"")</f>
        <v/>
      </c>
      <c r="H21" s="7">
        <f>IF(ISNUMBER(G21),G21/60,"")</f>
        <v/>
      </c>
      <c r="I21" s="8">
        <f>IF(ISNUMBER(H21),ROUND(H21*Settings!$B$2,2),"")</f>
        <v/>
      </c>
      <c r="J21" s="6">
        <f>IF(ISNUMBER(G21),G21-F21,"")</f>
        <v/>
      </c>
    </row>
    <row r="22">
      <c r="A22" s="3" t="n"/>
      <c r="B22" s="4" t="n"/>
      <c r="C22" s="4" t="n"/>
      <c r="D22" s="5" t="n"/>
      <c r="E22" s="5" t="n"/>
      <c r="F22" s="6">
        <f>IF(AND(D22="",E22=""),"",IF(AND(ISNUMBER(D22),ISNUMBER(E22)),IF(E22&gt;=D22,ROUND((E22-D22)*1440,0),"Check times"),"Check times"))</f>
        <v/>
      </c>
      <c r="G22" s="6">
        <f>IF(ISNUMBER(F22),IF(Settings!$B$3&lt;&gt;"OK","Check settings",ROUNDUP(F22/Settings!$B$1,0)*Settings!$B$1),"")</f>
        <v/>
      </c>
      <c r="H22" s="7">
        <f>IF(ISNUMBER(G22),G22/60,"")</f>
        <v/>
      </c>
      <c r="I22" s="8">
        <f>IF(ISNUMBER(H22),ROUND(H22*Settings!$B$2,2),"")</f>
        <v/>
      </c>
      <c r="J22" s="6">
        <f>IF(ISNUMBER(G22),G22-F22,"")</f>
        <v/>
      </c>
    </row>
    <row r="23">
      <c r="A23" s="3" t="n"/>
      <c r="B23" s="4" t="n"/>
      <c r="C23" s="4" t="n"/>
      <c r="D23" s="5" t="n"/>
      <c r="E23" s="5" t="n"/>
      <c r="F23" s="6">
        <f>IF(AND(D23="",E23=""),"",IF(AND(ISNUMBER(D23),ISNUMBER(E23)),IF(E23&gt;=D23,ROUND((E23-D23)*1440,0),"Check times"),"Check times"))</f>
        <v/>
      </c>
      <c r="G23" s="6">
        <f>IF(ISNUMBER(F23),IF(Settings!$B$3&lt;&gt;"OK","Check settings",ROUNDUP(F23/Settings!$B$1,0)*Settings!$B$1),"")</f>
        <v/>
      </c>
      <c r="H23" s="7">
        <f>IF(ISNUMBER(G23),G23/60,"")</f>
        <v/>
      </c>
      <c r="I23" s="8">
        <f>IF(ISNUMBER(H23),ROUND(H23*Settings!$B$2,2),"")</f>
        <v/>
      </c>
      <c r="J23" s="6">
        <f>IF(ISNUMBER(G23),G23-F23,"")</f>
        <v/>
      </c>
    </row>
    <row r="24">
      <c r="A24" s="3" t="n"/>
      <c r="B24" s="4" t="n"/>
      <c r="C24" s="4" t="n"/>
      <c r="D24" s="5" t="n"/>
      <c r="E24" s="5" t="n"/>
      <c r="F24" s="6">
        <f>IF(AND(D24="",E24=""),"",IF(AND(ISNUMBER(D24),ISNUMBER(E24)),IF(E24&gt;=D24,ROUND((E24-D24)*1440,0),"Check times"),"Check times"))</f>
        <v/>
      </c>
      <c r="G24" s="6">
        <f>IF(ISNUMBER(F24),IF(Settings!$B$3&lt;&gt;"OK","Check settings",ROUNDUP(F24/Settings!$B$1,0)*Settings!$B$1),"")</f>
        <v/>
      </c>
      <c r="H24" s="7">
        <f>IF(ISNUMBER(G24),G24/60,"")</f>
        <v/>
      </c>
      <c r="I24" s="8">
        <f>IF(ISNUMBER(H24),ROUND(H24*Settings!$B$2,2),"")</f>
        <v/>
      </c>
      <c r="J24" s="6">
        <f>IF(ISNUMBER(G24),G24-F24,"")</f>
        <v/>
      </c>
    </row>
    <row r="25">
      <c r="A25" s="3" t="n"/>
      <c r="B25" s="4" t="n"/>
      <c r="C25" s="4" t="n"/>
      <c r="D25" s="5" t="n"/>
      <c r="E25" s="5" t="n"/>
      <c r="F25" s="6">
        <f>IF(AND(D25="",E25=""),"",IF(AND(ISNUMBER(D25),ISNUMBER(E25)),IF(E25&gt;=D25,ROUND((E25-D25)*1440,0),"Check times"),"Check times"))</f>
        <v/>
      </c>
      <c r="G25" s="6">
        <f>IF(ISNUMBER(F25),IF(Settings!$B$3&lt;&gt;"OK","Check settings",ROUNDUP(F25/Settings!$B$1,0)*Settings!$B$1),"")</f>
        <v/>
      </c>
      <c r="H25" s="7">
        <f>IF(ISNUMBER(G25),G25/60,"")</f>
        <v/>
      </c>
      <c r="I25" s="8">
        <f>IF(ISNUMBER(H25),ROUND(H25*Settings!$B$2,2),"")</f>
        <v/>
      </c>
      <c r="J25" s="6">
        <f>IF(ISNUMBER(G25),G25-F25,"")</f>
        <v/>
      </c>
    </row>
    <row r="26">
      <c r="A26" s="3" t="n"/>
      <c r="B26" s="4" t="n"/>
      <c r="C26" s="4" t="n"/>
      <c r="D26" s="5" t="n"/>
      <c r="E26" s="5" t="n"/>
      <c r="F26" s="6">
        <f>IF(AND(D26="",E26=""),"",IF(AND(ISNUMBER(D26),ISNUMBER(E26)),IF(E26&gt;=D26,ROUND((E26-D26)*1440,0),"Check times"),"Check times"))</f>
        <v/>
      </c>
      <c r="G26" s="6">
        <f>IF(ISNUMBER(F26),IF(Settings!$B$3&lt;&gt;"OK","Check settings",ROUNDUP(F26/Settings!$B$1,0)*Settings!$B$1),"")</f>
        <v/>
      </c>
      <c r="H26" s="7">
        <f>IF(ISNUMBER(G26),G26/60,"")</f>
        <v/>
      </c>
      <c r="I26" s="8">
        <f>IF(ISNUMBER(H26),ROUND(H26*Settings!$B$2,2),"")</f>
        <v/>
      </c>
      <c r="J26" s="6">
        <f>IF(ISNUMBER(G26),G26-F26,"")</f>
        <v/>
      </c>
    </row>
    <row r="27">
      <c r="A27" s="3" t="n"/>
      <c r="B27" s="4" t="n"/>
      <c r="C27" s="4" t="n"/>
      <c r="D27" s="5" t="n"/>
      <c r="E27" s="5" t="n"/>
      <c r="F27" s="6">
        <f>IF(AND(D27="",E27=""),"",IF(AND(ISNUMBER(D27),ISNUMBER(E27)),IF(E27&gt;=D27,ROUND((E27-D27)*1440,0),"Check times"),"Check times"))</f>
        <v/>
      </c>
      <c r="G27" s="6">
        <f>IF(ISNUMBER(F27),IF(Settings!$B$3&lt;&gt;"OK","Check settings",ROUNDUP(F27/Settings!$B$1,0)*Settings!$B$1),"")</f>
        <v/>
      </c>
      <c r="H27" s="7">
        <f>IF(ISNUMBER(G27),G27/60,"")</f>
        <v/>
      </c>
      <c r="I27" s="8">
        <f>IF(ISNUMBER(H27),ROUND(H27*Settings!$B$2,2),"")</f>
        <v/>
      </c>
      <c r="J27" s="6">
        <f>IF(ISNUMBER(G27),G27-F27,"")</f>
        <v/>
      </c>
    </row>
    <row r="28">
      <c r="A28" s="3" t="n"/>
      <c r="B28" s="4" t="n"/>
      <c r="C28" s="4" t="n"/>
      <c r="D28" s="5" t="n"/>
      <c r="E28" s="5" t="n"/>
      <c r="F28" s="6">
        <f>IF(AND(D28="",E28=""),"",IF(AND(ISNUMBER(D28),ISNUMBER(E28)),IF(E28&gt;=D28,ROUND((E28-D28)*1440,0),"Check times"),"Check times"))</f>
        <v/>
      </c>
      <c r="G28" s="6">
        <f>IF(ISNUMBER(F28),IF(Settings!$B$3&lt;&gt;"OK","Check settings",ROUNDUP(F28/Settings!$B$1,0)*Settings!$B$1),"")</f>
        <v/>
      </c>
      <c r="H28" s="7">
        <f>IF(ISNUMBER(G28),G28/60,"")</f>
        <v/>
      </c>
      <c r="I28" s="8">
        <f>IF(ISNUMBER(H28),ROUND(H28*Settings!$B$2,2),"")</f>
        <v/>
      </c>
      <c r="J28" s="6">
        <f>IF(ISNUMBER(G28),G28-F28,"")</f>
        <v/>
      </c>
    </row>
    <row r="29">
      <c r="A29" s="3" t="n"/>
      <c r="B29" s="4" t="n"/>
      <c r="C29" s="4" t="n"/>
      <c r="D29" s="5" t="n"/>
      <c r="E29" s="5" t="n"/>
      <c r="F29" s="6">
        <f>IF(AND(D29="",E29=""),"",IF(AND(ISNUMBER(D29),ISNUMBER(E29)),IF(E29&gt;=D29,ROUND((E29-D29)*1440,0),"Check times"),"Check times"))</f>
        <v/>
      </c>
      <c r="G29" s="6">
        <f>IF(ISNUMBER(F29),IF(Settings!$B$3&lt;&gt;"OK","Check settings",ROUNDUP(F29/Settings!$B$1,0)*Settings!$B$1),"")</f>
        <v/>
      </c>
      <c r="H29" s="7">
        <f>IF(ISNUMBER(G29),G29/60,"")</f>
        <v/>
      </c>
      <c r="I29" s="8">
        <f>IF(ISNUMBER(H29),ROUND(H29*Settings!$B$2,2),"")</f>
        <v/>
      </c>
      <c r="J29" s="6">
        <f>IF(ISNUMBER(G29),G29-F29,"")</f>
        <v/>
      </c>
    </row>
    <row r="30">
      <c r="A30" s="3" t="n"/>
      <c r="B30" s="4" t="n"/>
      <c r="C30" s="4" t="n"/>
      <c r="D30" s="5" t="n"/>
      <c r="E30" s="5" t="n"/>
      <c r="F30" s="6">
        <f>IF(AND(D30="",E30=""),"",IF(AND(ISNUMBER(D30),ISNUMBER(E30)),IF(E30&gt;=D30,ROUND((E30-D30)*1440,0),"Check times"),"Check times"))</f>
        <v/>
      </c>
      <c r="G30" s="6">
        <f>IF(ISNUMBER(F30),IF(Settings!$B$3&lt;&gt;"OK","Check settings",ROUNDUP(F30/Settings!$B$1,0)*Settings!$B$1),"")</f>
        <v/>
      </c>
      <c r="H30" s="7">
        <f>IF(ISNUMBER(G30),G30/60,"")</f>
        <v/>
      </c>
      <c r="I30" s="8">
        <f>IF(ISNUMBER(H30),ROUND(H30*Settings!$B$2,2),"")</f>
        <v/>
      </c>
      <c r="J30" s="6">
        <f>IF(ISNUMBER(G30),G30-F30,"")</f>
        <v/>
      </c>
    </row>
    <row r="31">
      <c r="A31" s="3" t="n"/>
      <c r="B31" s="4" t="n"/>
      <c r="C31" s="4" t="n"/>
      <c r="D31" s="5" t="n"/>
      <c r="E31" s="5" t="n"/>
      <c r="F31" s="6">
        <f>IF(AND(D31="",E31=""),"",IF(AND(ISNUMBER(D31),ISNUMBER(E31)),IF(E31&gt;=D31,ROUND((E31-D31)*1440,0),"Check times"),"Check times"))</f>
        <v/>
      </c>
      <c r="G31" s="6">
        <f>IF(ISNUMBER(F31),IF(Settings!$B$3&lt;&gt;"OK","Check settings",ROUNDUP(F31/Settings!$B$1,0)*Settings!$B$1),"")</f>
        <v/>
      </c>
      <c r="H31" s="7">
        <f>IF(ISNUMBER(G31),G31/60,"")</f>
        <v/>
      </c>
      <c r="I31" s="8">
        <f>IF(ISNUMBER(H31),ROUND(H31*Settings!$B$2,2),"")</f>
        <v/>
      </c>
      <c r="J31" s="6">
        <f>IF(ISNUMBER(G31),G31-F31,"")</f>
        <v/>
      </c>
    </row>
    <row r="32">
      <c r="A32" s="3" t="n"/>
      <c r="B32" s="4" t="n"/>
      <c r="C32" s="4" t="n"/>
      <c r="D32" s="5" t="n"/>
      <c r="E32" s="5" t="n"/>
      <c r="F32" s="6">
        <f>IF(AND(D32="",E32=""),"",IF(AND(ISNUMBER(D32),ISNUMBER(E32)),IF(E32&gt;=D32,ROUND((E32-D32)*1440,0),"Check times"),"Check times"))</f>
        <v/>
      </c>
      <c r="G32" s="6">
        <f>IF(ISNUMBER(F32),IF(Settings!$B$3&lt;&gt;"OK","Check settings",ROUNDUP(F32/Settings!$B$1,0)*Settings!$B$1),"")</f>
        <v/>
      </c>
      <c r="H32" s="7">
        <f>IF(ISNUMBER(G32),G32/60,"")</f>
        <v/>
      </c>
      <c r="I32" s="8">
        <f>IF(ISNUMBER(H32),ROUND(H32*Settings!$B$2,2),"")</f>
        <v/>
      </c>
      <c r="J32" s="6">
        <f>IF(ISNUMBER(G32),G32-F32,"")</f>
        <v/>
      </c>
    </row>
    <row r="33">
      <c r="A33" s="3" t="n"/>
      <c r="B33" s="4" t="n"/>
      <c r="C33" s="4" t="n"/>
      <c r="D33" s="5" t="n"/>
      <c r="E33" s="5" t="n"/>
      <c r="F33" s="6">
        <f>IF(AND(D33="",E33=""),"",IF(AND(ISNUMBER(D33),ISNUMBER(E33)),IF(E33&gt;=D33,ROUND((E33-D33)*1440,0),"Check times"),"Check times"))</f>
        <v/>
      </c>
      <c r="G33" s="6">
        <f>IF(ISNUMBER(F33),IF(Settings!$B$3&lt;&gt;"OK","Check settings",ROUNDUP(F33/Settings!$B$1,0)*Settings!$B$1),"")</f>
        <v/>
      </c>
      <c r="H33" s="7">
        <f>IF(ISNUMBER(G33),G33/60,"")</f>
        <v/>
      </c>
      <c r="I33" s="8">
        <f>IF(ISNUMBER(H33),ROUND(H33*Settings!$B$2,2),"")</f>
        <v/>
      </c>
      <c r="J33" s="6">
        <f>IF(ISNUMBER(G33),G33-F33,"")</f>
        <v/>
      </c>
    </row>
    <row r="34">
      <c r="A34" s="3" t="n"/>
      <c r="B34" s="4" t="n"/>
      <c r="C34" s="4" t="n"/>
      <c r="D34" s="5" t="n"/>
      <c r="E34" s="5" t="n"/>
      <c r="F34" s="6">
        <f>IF(AND(D34="",E34=""),"",IF(AND(ISNUMBER(D34),ISNUMBER(E34)),IF(E34&gt;=D34,ROUND((E34-D34)*1440,0),"Check times"),"Check times"))</f>
        <v/>
      </c>
      <c r="G34" s="6">
        <f>IF(ISNUMBER(F34),IF(Settings!$B$3&lt;&gt;"OK","Check settings",ROUNDUP(F34/Settings!$B$1,0)*Settings!$B$1),"")</f>
        <v/>
      </c>
      <c r="H34" s="7">
        <f>IF(ISNUMBER(G34),G34/60,"")</f>
        <v/>
      </c>
      <c r="I34" s="8">
        <f>IF(ISNUMBER(H34),ROUND(H34*Settings!$B$2,2),"")</f>
        <v/>
      </c>
      <c r="J34" s="6">
        <f>IF(ISNUMBER(G34),G34-F34,"")</f>
        <v/>
      </c>
    </row>
    <row r="35">
      <c r="A35" s="3" t="n"/>
      <c r="B35" s="4" t="n"/>
      <c r="C35" s="4" t="n"/>
      <c r="D35" s="5" t="n"/>
      <c r="E35" s="5" t="n"/>
      <c r="F35" s="6">
        <f>IF(AND(D35="",E35=""),"",IF(AND(ISNUMBER(D35),ISNUMBER(E35)),IF(E35&gt;=D35,ROUND((E35-D35)*1440,0),"Check times"),"Check times"))</f>
        <v/>
      </c>
      <c r="G35" s="6">
        <f>IF(ISNUMBER(F35),IF(Settings!$B$3&lt;&gt;"OK","Check settings",ROUNDUP(F35/Settings!$B$1,0)*Settings!$B$1),"")</f>
        <v/>
      </c>
      <c r="H35" s="7">
        <f>IF(ISNUMBER(G35),G35/60,"")</f>
        <v/>
      </c>
      <c r="I35" s="8">
        <f>IF(ISNUMBER(H35),ROUND(H35*Settings!$B$2,2),"")</f>
        <v/>
      </c>
      <c r="J35" s="6">
        <f>IF(ISNUMBER(G35),G35-F35,"")</f>
        <v/>
      </c>
    </row>
    <row r="36">
      <c r="A36" s="3" t="n"/>
      <c r="B36" s="4" t="n"/>
      <c r="C36" s="4" t="n"/>
      <c r="D36" s="5" t="n"/>
      <c r="E36" s="5" t="n"/>
      <c r="F36" s="6">
        <f>IF(AND(D36="",E36=""),"",IF(AND(ISNUMBER(D36),ISNUMBER(E36)),IF(E36&gt;=D36,ROUND((E36-D36)*1440,0),"Check times"),"Check times"))</f>
        <v/>
      </c>
      <c r="G36" s="6">
        <f>IF(ISNUMBER(F36),IF(Settings!$B$3&lt;&gt;"OK","Check settings",ROUNDUP(F36/Settings!$B$1,0)*Settings!$B$1),"")</f>
        <v/>
      </c>
      <c r="H36" s="7">
        <f>IF(ISNUMBER(G36),G36/60,"")</f>
        <v/>
      </c>
      <c r="I36" s="8">
        <f>IF(ISNUMBER(H36),ROUND(H36*Settings!$B$2,2),"")</f>
        <v/>
      </c>
      <c r="J36" s="6">
        <f>IF(ISNUMBER(G36),G36-F36,"")</f>
        <v/>
      </c>
    </row>
    <row r="37">
      <c r="A37" s="3" t="n"/>
      <c r="B37" s="4" t="n"/>
      <c r="C37" s="4" t="n"/>
      <c r="D37" s="5" t="n"/>
      <c r="E37" s="5" t="n"/>
      <c r="F37" s="6">
        <f>IF(AND(D37="",E37=""),"",IF(AND(ISNUMBER(D37),ISNUMBER(E37)),IF(E37&gt;=D37,ROUND((E37-D37)*1440,0),"Check times"),"Check times"))</f>
        <v/>
      </c>
      <c r="G37" s="6">
        <f>IF(ISNUMBER(F37),IF(Settings!$B$3&lt;&gt;"OK","Check settings",ROUNDUP(F37/Settings!$B$1,0)*Settings!$B$1),"")</f>
        <v/>
      </c>
      <c r="H37" s="7">
        <f>IF(ISNUMBER(G37),G37/60,"")</f>
        <v/>
      </c>
      <c r="I37" s="8">
        <f>IF(ISNUMBER(H37),ROUND(H37*Settings!$B$2,2),"")</f>
        <v/>
      </c>
      <c r="J37" s="6">
        <f>IF(ISNUMBER(G37),G37-F37,"")</f>
        <v/>
      </c>
    </row>
    <row r="38">
      <c r="A38" s="3" t="n"/>
      <c r="B38" s="4" t="n"/>
      <c r="C38" s="4" t="n"/>
      <c r="D38" s="5" t="n"/>
      <c r="E38" s="5" t="n"/>
      <c r="F38" s="6">
        <f>IF(AND(D38="",E38=""),"",IF(AND(ISNUMBER(D38),ISNUMBER(E38)),IF(E38&gt;=D38,ROUND((E38-D38)*1440,0),"Check times"),"Check times"))</f>
        <v/>
      </c>
      <c r="G38" s="6">
        <f>IF(ISNUMBER(F38),IF(Settings!$B$3&lt;&gt;"OK","Check settings",ROUNDUP(F38/Settings!$B$1,0)*Settings!$B$1),"")</f>
        <v/>
      </c>
      <c r="H38" s="7">
        <f>IF(ISNUMBER(G38),G38/60,"")</f>
        <v/>
      </c>
      <c r="I38" s="8">
        <f>IF(ISNUMBER(H38),ROUND(H38*Settings!$B$2,2),"")</f>
        <v/>
      </c>
      <c r="J38" s="6">
        <f>IF(ISNUMBER(G38),G38-F38,"")</f>
        <v/>
      </c>
    </row>
    <row r="39">
      <c r="A39" s="3" t="n"/>
      <c r="B39" s="4" t="n"/>
      <c r="C39" s="4" t="n"/>
      <c r="D39" s="5" t="n"/>
      <c r="E39" s="5" t="n"/>
      <c r="F39" s="6">
        <f>IF(AND(D39="",E39=""),"",IF(AND(ISNUMBER(D39),ISNUMBER(E39)),IF(E39&gt;=D39,ROUND((E39-D39)*1440,0),"Check times"),"Check times"))</f>
        <v/>
      </c>
      <c r="G39" s="6">
        <f>IF(ISNUMBER(F39),IF(Settings!$B$3&lt;&gt;"OK","Check settings",ROUNDUP(F39/Settings!$B$1,0)*Settings!$B$1),"")</f>
        <v/>
      </c>
      <c r="H39" s="7">
        <f>IF(ISNUMBER(G39),G39/60,"")</f>
        <v/>
      </c>
      <c r="I39" s="8">
        <f>IF(ISNUMBER(H39),ROUND(H39*Settings!$B$2,2),"")</f>
        <v/>
      </c>
      <c r="J39" s="6">
        <f>IF(ISNUMBER(G39),G39-F39,"")</f>
        <v/>
      </c>
    </row>
    <row r="40">
      <c r="A40" s="3" t="n"/>
      <c r="B40" s="4" t="n"/>
      <c r="C40" s="4" t="n"/>
      <c r="D40" s="5" t="n"/>
      <c r="E40" s="5" t="n"/>
      <c r="F40" s="6">
        <f>IF(AND(D40="",E40=""),"",IF(AND(ISNUMBER(D40),ISNUMBER(E40)),IF(E40&gt;=D40,ROUND((E40-D40)*1440,0),"Check times"),"Check times"))</f>
        <v/>
      </c>
      <c r="G40" s="6">
        <f>IF(ISNUMBER(F40),IF(Settings!$B$3&lt;&gt;"OK","Check settings",ROUNDUP(F40/Settings!$B$1,0)*Settings!$B$1),"")</f>
        <v/>
      </c>
      <c r="H40" s="7">
        <f>IF(ISNUMBER(G40),G40/60,"")</f>
        <v/>
      </c>
      <c r="I40" s="8">
        <f>IF(ISNUMBER(H40),ROUND(H40*Settings!$B$2,2),"")</f>
        <v/>
      </c>
      <c r="J40" s="6">
        <f>IF(ISNUMBER(G40),G40-F40,"")</f>
        <v/>
      </c>
    </row>
    <row r="41">
      <c r="A41" s="3" t="n"/>
      <c r="B41" s="4" t="n"/>
      <c r="C41" s="4" t="n"/>
      <c r="D41" s="5" t="n"/>
      <c r="E41" s="5" t="n"/>
      <c r="F41" s="6">
        <f>IF(AND(D41="",E41=""),"",IF(AND(ISNUMBER(D41),ISNUMBER(E41)),IF(E41&gt;=D41,ROUND((E41-D41)*1440,0),"Check times"),"Check times"))</f>
        <v/>
      </c>
      <c r="G41" s="6">
        <f>IF(ISNUMBER(F41),IF(Settings!$B$3&lt;&gt;"OK","Check settings",ROUNDUP(F41/Settings!$B$1,0)*Settings!$B$1),"")</f>
        <v/>
      </c>
      <c r="H41" s="7">
        <f>IF(ISNUMBER(G41),G41/60,"")</f>
        <v/>
      </c>
      <c r="I41" s="8">
        <f>IF(ISNUMBER(H41),ROUND(H41*Settings!$B$2,2),"")</f>
        <v/>
      </c>
      <c r="J41" s="6">
        <f>IF(ISNUMBER(G41),G41-F41,"")</f>
        <v/>
      </c>
    </row>
    <row r="42">
      <c r="A42" s="3" t="n"/>
      <c r="B42" s="4" t="n"/>
      <c r="C42" s="4" t="n"/>
      <c r="D42" s="5" t="n"/>
      <c r="E42" s="5" t="n"/>
      <c r="F42" s="6">
        <f>IF(AND(D42="",E42=""),"",IF(AND(ISNUMBER(D42),ISNUMBER(E42)),IF(E42&gt;=D42,ROUND((E42-D42)*1440,0),"Check times"),"Check times"))</f>
        <v/>
      </c>
      <c r="G42" s="6">
        <f>IF(ISNUMBER(F42),IF(Settings!$B$3&lt;&gt;"OK","Check settings",ROUNDUP(F42/Settings!$B$1,0)*Settings!$B$1),"")</f>
        <v/>
      </c>
      <c r="H42" s="7">
        <f>IF(ISNUMBER(G42),G42/60,"")</f>
        <v/>
      </c>
      <c r="I42" s="8">
        <f>IF(ISNUMBER(H42),ROUND(H42*Settings!$B$2,2),"")</f>
        <v/>
      </c>
      <c r="J42" s="6">
        <f>IF(ISNUMBER(G42),G42-F42,"")</f>
        <v/>
      </c>
    </row>
    <row r="43">
      <c r="A43" s="3" t="n"/>
      <c r="B43" s="4" t="n"/>
      <c r="C43" s="4" t="n"/>
      <c r="D43" s="5" t="n"/>
      <c r="E43" s="5" t="n"/>
      <c r="F43" s="6">
        <f>IF(AND(D43="",E43=""),"",IF(AND(ISNUMBER(D43),ISNUMBER(E43)),IF(E43&gt;=D43,ROUND((E43-D43)*1440,0),"Check times"),"Check times"))</f>
        <v/>
      </c>
      <c r="G43" s="6">
        <f>IF(ISNUMBER(F43),IF(Settings!$B$3&lt;&gt;"OK","Check settings",ROUNDUP(F43/Settings!$B$1,0)*Settings!$B$1),"")</f>
        <v/>
      </c>
      <c r="H43" s="7">
        <f>IF(ISNUMBER(G43),G43/60,"")</f>
        <v/>
      </c>
      <c r="I43" s="8">
        <f>IF(ISNUMBER(H43),ROUND(H43*Settings!$B$2,2),"")</f>
        <v/>
      </c>
      <c r="J43" s="6">
        <f>IF(ISNUMBER(G43),G43-F43,"")</f>
        <v/>
      </c>
    </row>
    <row r="44">
      <c r="A44" s="3" t="n"/>
      <c r="B44" s="4" t="n"/>
      <c r="C44" s="4" t="n"/>
      <c r="D44" s="5" t="n"/>
      <c r="E44" s="5" t="n"/>
      <c r="F44" s="6">
        <f>IF(AND(D44="",E44=""),"",IF(AND(ISNUMBER(D44),ISNUMBER(E44)),IF(E44&gt;=D44,ROUND((E44-D44)*1440,0),"Check times"),"Check times"))</f>
        <v/>
      </c>
      <c r="G44" s="6">
        <f>IF(ISNUMBER(F44),IF(Settings!$B$3&lt;&gt;"OK","Check settings",ROUNDUP(F44/Settings!$B$1,0)*Settings!$B$1),"")</f>
        <v/>
      </c>
      <c r="H44" s="7">
        <f>IF(ISNUMBER(G44),G44/60,"")</f>
        <v/>
      </c>
      <c r="I44" s="8">
        <f>IF(ISNUMBER(H44),ROUND(H44*Settings!$B$2,2),"")</f>
        <v/>
      </c>
      <c r="J44" s="6">
        <f>IF(ISNUMBER(G44),G44-F44,"")</f>
        <v/>
      </c>
    </row>
    <row r="45">
      <c r="A45" s="3" t="n"/>
      <c r="B45" s="4" t="n"/>
      <c r="C45" s="4" t="n"/>
      <c r="D45" s="5" t="n"/>
      <c r="E45" s="5" t="n"/>
      <c r="F45" s="6">
        <f>IF(AND(D45="",E45=""),"",IF(AND(ISNUMBER(D45),ISNUMBER(E45)),IF(E45&gt;=D45,ROUND((E45-D45)*1440,0),"Check times"),"Check times"))</f>
        <v/>
      </c>
      <c r="G45" s="6">
        <f>IF(ISNUMBER(F45),IF(Settings!$B$3&lt;&gt;"OK","Check settings",ROUNDUP(F45/Settings!$B$1,0)*Settings!$B$1),"")</f>
        <v/>
      </c>
      <c r="H45" s="7">
        <f>IF(ISNUMBER(G45),G45/60,"")</f>
        <v/>
      </c>
      <c r="I45" s="8">
        <f>IF(ISNUMBER(H45),ROUND(H45*Settings!$B$2,2),"")</f>
        <v/>
      </c>
      <c r="J45" s="6">
        <f>IF(ISNUMBER(G45),G45-F45,"")</f>
        <v/>
      </c>
    </row>
    <row r="46">
      <c r="A46" s="3" t="n"/>
      <c r="B46" s="4" t="n"/>
      <c r="C46" s="4" t="n"/>
      <c r="D46" s="5" t="n"/>
      <c r="E46" s="5" t="n"/>
      <c r="F46" s="6">
        <f>IF(AND(D46="",E46=""),"",IF(AND(ISNUMBER(D46),ISNUMBER(E46)),IF(E46&gt;=D46,ROUND((E46-D46)*1440,0),"Check times"),"Check times"))</f>
        <v/>
      </c>
      <c r="G46" s="6">
        <f>IF(ISNUMBER(F46),IF(Settings!$B$3&lt;&gt;"OK","Check settings",ROUNDUP(F46/Settings!$B$1,0)*Settings!$B$1),"")</f>
        <v/>
      </c>
      <c r="H46" s="7">
        <f>IF(ISNUMBER(G46),G46/60,"")</f>
        <v/>
      </c>
      <c r="I46" s="8">
        <f>IF(ISNUMBER(H46),ROUND(H46*Settings!$B$2,2),"")</f>
        <v/>
      </c>
      <c r="J46" s="6">
        <f>IF(ISNUMBER(G46),G46-F46,"")</f>
        <v/>
      </c>
    </row>
    <row r="47">
      <c r="A47" s="3" t="n"/>
      <c r="B47" s="4" t="n"/>
      <c r="C47" s="4" t="n"/>
      <c r="D47" s="5" t="n"/>
      <c r="E47" s="5" t="n"/>
      <c r="F47" s="6">
        <f>IF(AND(D47="",E47=""),"",IF(AND(ISNUMBER(D47),ISNUMBER(E47)),IF(E47&gt;=D47,ROUND((E47-D47)*1440,0),"Check times"),"Check times"))</f>
        <v/>
      </c>
      <c r="G47" s="6">
        <f>IF(ISNUMBER(F47),IF(Settings!$B$3&lt;&gt;"OK","Check settings",ROUNDUP(F47/Settings!$B$1,0)*Settings!$B$1),"")</f>
        <v/>
      </c>
      <c r="H47" s="7">
        <f>IF(ISNUMBER(G47),G47/60,"")</f>
        <v/>
      </c>
      <c r="I47" s="8">
        <f>IF(ISNUMBER(H47),ROUND(H47*Settings!$B$2,2),"")</f>
        <v/>
      </c>
      <c r="J47" s="6">
        <f>IF(ISNUMBER(G47),G47-F47,"")</f>
        <v/>
      </c>
    </row>
    <row r="48">
      <c r="A48" s="3" t="n"/>
      <c r="B48" s="4" t="n"/>
      <c r="C48" s="4" t="n"/>
      <c r="D48" s="5" t="n"/>
      <c r="E48" s="5" t="n"/>
      <c r="F48" s="6">
        <f>IF(AND(D48="",E48=""),"",IF(AND(ISNUMBER(D48),ISNUMBER(E48)),IF(E48&gt;=D48,ROUND((E48-D48)*1440,0),"Check times"),"Check times"))</f>
        <v/>
      </c>
      <c r="G48" s="6">
        <f>IF(ISNUMBER(F48),IF(Settings!$B$3&lt;&gt;"OK","Check settings",ROUNDUP(F48/Settings!$B$1,0)*Settings!$B$1),"")</f>
        <v/>
      </c>
      <c r="H48" s="7">
        <f>IF(ISNUMBER(G48),G48/60,"")</f>
        <v/>
      </c>
      <c r="I48" s="8">
        <f>IF(ISNUMBER(H48),ROUND(H48*Settings!$B$2,2),"")</f>
        <v/>
      </c>
      <c r="J48" s="6">
        <f>IF(ISNUMBER(G48),G48-F48,"")</f>
        <v/>
      </c>
    </row>
    <row r="49">
      <c r="A49" s="3" t="n"/>
      <c r="B49" s="4" t="n"/>
      <c r="C49" s="4" t="n"/>
      <c r="D49" s="5" t="n"/>
      <c r="E49" s="5" t="n"/>
      <c r="F49" s="6">
        <f>IF(AND(D49="",E49=""),"",IF(AND(ISNUMBER(D49),ISNUMBER(E49)),IF(E49&gt;=D49,ROUND((E49-D49)*1440,0),"Check times"),"Check times"))</f>
        <v/>
      </c>
      <c r="G49" s="6">
        <f>IF(ISNUMBER(F49),IF(Settings!$B$3&lt;&gt;"OK","Check settings",ROUNDUP(F49/Settings!$B$1,0)*Settings!$B$1),"")</f>
        <v/>
      </c>
      <c r="H49" s="7">
        <f>IF(ISNUMBER(G49),G49/60,"")</f>
        <v/>
      </c>
      <c r="I49" s="8">
        <f>IF(ISNUMBER(H49),ROUND(H49*Settings!$B$2,2),"")</f>
        <v/>
      </c>
      <c r="J49" s="6">
        <f>IF(ISNUMBER(G49),G49-F49,"")</f>
        <v/>
      </c>
    </row>
    <row r="50">
      <c r="A50" s="3" t="n"/>
      <c r="B50" s="4" t="n"/>
      <c r="C50" s="4" t="n"/>
      <c r="D50" s="5" t="n"/>
      <c r="E50" s="5" t="n"/>
      <c r="F50" s="6">
        <f>IF(AND(D50="",E50=""),"",IF(AND(ISNUMBER(D50),ISNUMBER(E50)),IF(E50&gt;=D50,ROUND((E50-D50)*1440,0),"Check times"),"Check times"))</f>
        <v/>
      </c>
      <c r="G50" s="6">
        <f>IF(ISNUMBER(F50),IF(Settings!$B$3&lt;&gt;"OK","Check settings",ROUNDUP(F50/Settings!$B$1,0)*Settings!$B$1),"")</f>
        <v/>
      </c>
      <c r="H50" s="7">
        <f>IF(ISNUMBER(G50),G50/60,"")</f>
        <v/>
      </c>
      <c r="I50" s="8">
        <f>IF(ISNUMBER(H50),ROUND(H50*Settings!$B$2,2),"")</f>
        <v/>
      </c>
      <c r="J50" s="6">
        <f>IF(ISNUMBER(G50),G50-F50,"")</f>
        <v/>
      </c>
    </row>
    <row r="51">
      <c r="A51" s="3" t="n"/>
      <c r="B51" s="4" t="n"/>
      <c r="C51" s="4" t="n"/>
      <c r="D51" s="5" t="n"/>
      <c r="E51" s="5" t="n"/>
      <c r="F51" s="6">
        <f>IF(AND(D51="",E51=""),"",IF(AND(ISNUMBER(D51),ISNUMBER(E51)),IF(E51&gt;=D51,ROUND((E51-D51)*1440,0),"Check times"),"Check times"))</f>
        <v/>
      </c>
      <c r="G51" s="6">
        <f>IF(ISNUMBER(F51),IF(Settings!$B$3&lt;&gt;"OK","Check settings",ROUNDUP(F51/Settings!$B$1,0)*Settings!$B$1),"")</f>
        <v/>
      </c>
      <c r="H51" s="7">
        <f>IF(ISNUMBER(G51),G51/60,"")</f>
        <v/>
      </c>
      <c r="I51" s="8">
        <f>IF(ISNUMBER(H51),ROUND(H51*Settings!$B$2,2),"")</f>
        <v/>
      </c>
      <c r="J51" s="6">
        <f>IF(ISNUMBER(G51),G51-F51,"")</f>
        <v/>
      </c>
    </row>
    <row r="52">
      <c r="A52" s="3" t="n"/>
      <c r="B52" s="4" t="n"/>
      <c r="C52" s="4" t="n"/>
      <c r="D52" s="5" t="n"/>
      <c r="E52" s="5" t="n"/>
      <c r="F52" s="6">
        <f>IF(AND(D52="",E52=""),"",IF(AND(ISNUMBER(D52),ISNUMBER(E52)),IF(E52&gt;=D52,ROUND((E52-D52)*1440,0),"Check times"),"Check times"))</f>
        <v/>
      </c>
      <c r="G52" s="6">
        <f>IF(ISNUMBER(F52),IF(Settings!$B$3&lt;&gt;"OK","Check settings",ROUNDUP(F52/Settings!$B$1,0)*Settings!$B$1),"")</f>
        <v/>
      </c>
      <c r="H52" s="7">
        <f>IF(ISNUMBER(G52),G52/60,"")</f>
        <v/>
      </c>
      <c r="I52" s="8">
        <f>IF(ISNUMBER(H52),ROUND(H52*Settings!$B$2,2),"")</f>
        <v/>
      </c>
      <c r="J52" s="6">
        <f>IF(ISNUMBER(G52),G52-F52,"")</f>
        <v/>
      </c>
    </row>
    <row r="53">
      <c r="A53" s="3" t="n"/>
      <c r="B53" s="4" t="n"/>
      <c r="C53" s="4" t="n"/>
      <c r="D53" s="5" t="n"/>
      <c r="E53" s="5" t="n"/>
      <c r="F53" s="6">
        <f>IF(AND(D53="",E53=""),"",IF(AND(ISNUMBER(D53),ISNUMBER(E53)),IF(E53&gt;=D53,ROUND((E53-D53)*1440,0),"Check times"),"Check times"))</f>
        <v/>
      </c>
      <c r="G53" s="6">
        <f>IF(ISNUMBER(F53),IF(Settings!$B$3&lt;&gt;"OK","Check settings",ROUNDUP(F53/Settings!$B$1,0)*Settings!$B$1),"")</f>
        <v/>
      </c>
      <c r="H53" s="7">
        <f>IF(ISNUMBER(G53),G53/60,"")</f>
        <v/>
      </c>
      <c r="I53" s="8">
        <f>IF(ISNUMBER(H53),ROUND(H53*Settings!$B$2,2),"")</f>
        <v/>
      </c>
      <c r="J53" s="6">
        <f>IF(ISNUMBER(G53),G53-F53,"")</f>
        <v/>
      </c>
    </row>
    <row r="54">
      <c r="A54" s="3" t="n"/>
      <c r="B54" s="4" t="n"/>
      <c r="C54" s="4" t="n"/>
      <c r="D54" s="5" t="n"/>
      <c r="E54" s="5" t="n"/>
      <c r="F54" s="6">
        <f>IF(AND(D54="",E54=""),"",IF(AND(ISNUMBER(D54),ISNUMBER(E54)),IF(E54&gt;=D54,ROUND((E54-D54)*1440,0),"Check times"),"Check times"))</f>
        <v/>
      </c>
      <c r="G54" s="6">
        <f>IF(ISNUMBER(F54),IF(Settings!$B$3&lt;&gt;"OK","Check settings",ROUNDUP(F54/Settings!$B$1,0)*Settings!$B$1),"")</f>
        <v/>
      </c>
      <c r="H54" s="7">
        <f>IF(ISNUMBER(G54),G54/60,"")</f>
        <v/>
      </c>
      <c r="I54" s="8">
        <f>IF(ISNUMBER(H54),ROUND(H54*Settings!$B$2,2),"")</f>
        <v/>
      </c>
      <c r="J54" s="6">
        <f>IF(ISNUMBER(G54),G54-F54,"")</f>
        <v/>
      </c>
    </row>
    <row r="55">
      <c r="A55" s="3" t="n"/>
      <c r="B55" s="4" t="n"/>
      <c r="C55" s="4" t="n"/>
      <c r="D55" s="5" t="n"/>
      <c r="E55" s="5" t="n"/>
      <c r="F55" s="6">
        <f>IF(AND(D55="",E55=""),"",IF(AND(ISNUMBER(D55),ISNUMBER(E55)),IF(E55&gt;=D55,ROUND((E55-D55)*1440,0),"Check times"),"Check times"))</f>
        <v/>
      </c>
      <c r="G55" s="6">
        <f>IF(ISNUMBER(F55),IF(Settings!$B$3&lt;&gt;"OK","Check settings",ROUNDUP(F55/Settings!$B$1,0)*Settings!$B$1),"")</f>
        <v/>
      </c>
      <c r="H55" s="7">
        <f>IF(ISNUMBER(G55),G55/60,"")</f>
        <v/>
      </c>
      <c r="I55" s="8">
        <f>IF(ISNUMBER(H55),ROUND(H55*Settings!$B$2,2),"")</f>
        <v/>
      </c>
      <c r="J55" s="6">
        <f>IF(ISNUMBER(G55),G55-F55,"")</f>
        <v/>
      </c>
    </row>
    <row r="56">
      <c r="A56" s="3" t="n"/>
      <c r="B56" s="4" t="n"/>
      <c r="C56" s="4" t="n"/>
      <c r="D56" s="5" t="n"/>
      <c r="E56" s="5" t="n"/>
      <c r="F56" s="6">
        <f>IF(AND(D56="",E56=""),"",IF(AND(ISNUMBER(D56),ISNUMBER(E56)),IF(E56&gt;=D56,ROUND((E56-D56)*1440,0),"Check times"),"Check times"))</f>
        <v/>
      </c>
      <c r="G56" s="6">
        <f>IF(ISNUMBER(F56),IF(Settings!$B$3&lt;&gt;"OK","Check settings",ROUNDUP(F56/Settings!$B$1,0)*Settings!$B$1),"")</f>
        <v/>
      </c>
      <c r="H56" s="7">
        <f>IF(ISNUMBER(G56),G56/60,"")</f>
        <v/>
      </c>
      <c r="I56" s="8">
        <f>IF(ISNUMBER(H56),ROUND(H56*Settings!$B$2,2),"")</f>
        <v/>
      </c>
      <c r="J56" s="6">
        <f>IF(ISNUMBER(G56),G56-F56,"")</f>
        <v/>
      </c>
    </row>
    <row r="57">
      <c r="A57" s="3" t="n"/>
      <c r="B57" s="4" t="n"/>
      <c r="C57" s="4" t="n"/>
      <c r="D57" s="5" t="n"/>
      <c r="E57" s="5" t="n"/>
      <c r="F57" s="6">
        <f>IF(AND(D57="",E57=""),"",IF(AND(ISNUMBER(D57),ISNUMBER(E57)),IF(E57&gt;=D57,ROUND((E57-D57)*1440,0),"Check times"),"Check times"))</f>
        <v/>
      </c>
      <c r="G57" s="6">
        <f>IF(ISNUMBER(F57),IF(Settings!$B$3&lt;&gt;"OK","Check settings",ROUNDUP(F57/Settings!$B$1,0)*Settings!$B$1),"")</f>
        <v/>
      </c>
      <c r="H57" s="7">
        <f>IF(ISNUMBER(G57),G57/60,"")</f>
        <v/>
      </c>
      <c r="I57" s="8">
        <f>IF(ISNUMBER(H57),ROUND(H57*Settings!$B$2,2),"")</f>
        <v/>
      </c>
      <c r="J57" s="6">
        <f>IF(ISNUMBER(G57),G57-F57,"")</f>
        <v/>
      </c>
    </row>
    <row r="58">
      <c r="A58" s="3" t="n"/>
      <c r="B58" s="4" t="n"/>
      <c r="C58" s="4" t="n"/>
      <c r="D58" s="5" t="n"/>
      <c r="E58" s="5" t="n"/>
      <c r="F58" s="6">
        <f>IF(AND(D58="",E58=""),"",IF(AND(ISNUMBER(D58),ISNUMBER(E58)),IF(E58&gt;=D58,ROUND((E58-D58)*1440,0),"Check times"),"Check times"))</f>
        <v/>
      </c>
      <c r="G58" s="6">
        <f>IF(ISNUMBER(F58),IF(Settings!$B$3&lt;&gt;"OK","Check settings",ROUNDUP(F58/Settings!$B$1,0)*Settings!$B$1),"")</f>
        <v/>
      </c>
      <c r="H58" s="7">
        <f>IF(ISNUMBER(G58),G58/60,"")</f>
        <v/>
      </c>
      <c r="I58" s="8">
        <f>IF(ISNUMBER(H58),ROUND(H58*Settings!$B$2,2),"")</f>
        <v/>
      </c>
      <c r="J58" s="6">
        <f>IF(ISNUMBER(G58),G58-F58,"")</f>
        <v/>
      </c>
    </row>
    <row r="59">
      <c r="A59" s="3" t="n"/>
      <c r="B59" s="4" t="n"/>
      <c r="C59" s="4" t="n"/>
      <c r="D59" s="5" t="n"/>
      <c r="E59" s="5" t="n"/>
      <c r="F59" s="6">
        <f>IF(AND(D59="",E59=""),"",IF(AND(ISNUMBER(D59),ISNUMBER(E59)),IF(E59&gt;=D59,ROUND((E59-D59)*1440,0),"Check times"),"Check times"))</f>
        <v/>
      </c>
      <c r="G59" s="6">
        <f>IF(ISNUMBER(F59),IF(Settings!$B$3&lt;&gt;"OK","Check settings",ROUNDUP(F59/Settings!$B$1,0)*Settings!$B$1),"")</f>
        <v/>
      </c>
      <c r="H59" s="7">
        <f>IF(ISNUMBER(G59),G59/60,"")</f>
        <v/>
      </c>
      <c r="I59" s="8">
        <f>IF(ISNUMBER(H59),ROUND(H59*Settings!$B$2,2),"")</f>
        <v/>
      </c>
      <c r="J59" s="6">
        <f>IF(ISNUMBER(G59),G59-F59,"")</f>
        <v/>
      </c>
    </row>
    <row r="60">
      <c r="A60" s="3" t="n"/>
      <c r="B60" s="4" t="n"/>
      <c r="C60" s="4" t="n"/>
      <c r="D60" s="5" t="n"/>
      <c r="E60" s="5" t="n"/>
      <c r="F60" s="6">
        <f>IF(AND(D60="",E60=""),"",IF(AND(ISNUMBER(D60),ISNUMBER(E60)),IF(E60&gt;=D60,ROUND((E60-D60)*1440,0),"Check times"),"Check times"))</f>
        <v/>
      </c>
      <c r="G60" s="6">
        <f>IF(ISNUMBER(F60),IF(Settings!$B$3&lt;&gt;"OK","Check settings",ROUNDUP(F60/Settings!$B$1,0)*Settings!$B$1),"")</f>
        <v/>
      </c>
      <c r="H60" s="7">
        <f>IF(ISNUMBER(G60),G60/60,"")</f>
        <v/>
      </c>
      <c r="I60" s="8">
        <f>IF(ISNUMBER(H60),ROUND(H60*Settings!$B$2,2),"")</f>
        <v/>
      </c>
      <c r="J60" s="6">
        <f>IF(ISNUMBER(G60),G60-F60,"")</f>
        <v/>
      </c>
    </row>
    <row r="61">
      <c r="A61" s="3" t="n"/>
      <c r="B61" s="4" t="n"/>
      <c r="C61" s="4" t="n"/>
      <c r="D61" s="5" t="n"/>
      <c r="E61" s="5" t="n"/>
      <c r="F61" s="6">
        <f>IF(AND(D61="",E61=""),"",IF(AND(ISNUMBER(D61),ISNUMBER(E61)),IF(E61&gt;=D61,ROUND((E61-D61)*1440,0),"Check times"),"Check times"))</f>
        <v/>
      </c>
      <c r="G61" s="6">
        <f>IF(ISNUMBER(F61),IF(Settings!$B$3&lt;&gt;"OK","Check settings",ROUNDUP(F61/Settings!$B$1,0)*Settings!$B$1),"")</f>
        <v/>
      </c>
      <c r="H61" s="7">
        <f>IF(ISNUMBER(G61),G61/60,"")</f>
        <v/>
      </c>
      <c r="I61" s="8">
        <f>IF(ISNUMBER(H61),ROUND(H61*Settings!$B$2,2),"")</f>
        <v/>
      </c>
      <c r="J61" s="6">
        <f>IF(ISNUMBER(G61),G61-F61,"")</f>
        <v/>
      </c>
    </row>
    <row r="62">
      <c r="A62" s="3" t="n"/>
      <c r="B62" s="4" t="n"/>
      <c r="C62" s="4" t="n"/>
      <c r="D62" s="5" t="n"/>
      <c r="E62" s="5" t="n"/>
      <c r="F62" s="6">
        <f>IF(AND(D62="",E62=""),"",IF(AND(ISNUMBER(D62),ISNUMBER(E62)),IF(E62&gt;=D62,ROUND((E62-D62)*1440,0),"Check times"),"Check times"))</f>
        <v/>
      </c>
      <c r="G62" s="6">
        <f>IF(ISNUMBER(F62),IF(Settings!$B$3&lt;&gt;"OK","Check settings",ROUNDUP(F62/Settings!$B$1,0)*Settings!$B$1),"")</f>
        <v/>
      </c>
      <c r="H62" s="7">
        <f>IF(ISNUMBER(G62),G62/60,"")</f>
        <v/>
      </c>
      <c r="I62" s="8">
        <f>IF(ISNUMBER(H62),ROUND(H62*Settings!$B$2,2),"")</f>
        <v/>
      </c>
      <c r="J62" s="6">
        <f>IF(ISNUMBER(G62),G62-F62,"")</f>
        <v/>
      </c>
    </row>
    <row r="63">
      <c r="A63" s="3" t="n"/>
      <c r="B63" s="4" t="n"/>
      <c r="C63" s="4" t="n"/>
      <c r="D63" s="5" t="n"/>
      <c r="E63" s="5" t="n"/>
      <c r="F63" s="6">
        <f>IF(AND(D63="",E63=""),"",IF(AND(ISNUMBER(D63),ISNUMBER(E63)),IF(E63&gt;=D63,ROUND((E63-D63)*1440,0),"Check times"),"Check times"))</f>
        <v/>
      </c>
      <c r="G63" s="6">
        <f>IF(ISNUMBER(F63),IF(Settings!$B$3&lt;&gt;"OK","Check settings",ROUNDUP(F63/Settings!$B$1,0)*Settings!$B$1),"")</f>
        <v/>
      </c>
      <c r="H63" s="7">
        <f>IF(ISNUMBER(G63),G63/60,"")</f>
        <v/>
      </c>
      <c r="I63" s="8">
        <f>IF(ISNUMBER(H63),ROUND(H63*Settings!$B$2,2),"")</f>
        <v/>
      </c>
      <c r="J63" s="6">
        <f>IF(ISNUMBER(G63),G63-F63,"")</f>
        <v/>
      </c>
    </row>
    <row r="64">
      <c r="A64" s="3" t="n"/>
      <c r="B64" s="4" t="n"/>
      <c r="C64" s="4" t="n"/>
      <c r="D64" s="5" t="n"/>
      <c r="E64" s="5" t="n"/>
      <c r="F64" s="6">
        <f>IF(AND(D64="",E64=""),"",IF(AND(ISNUMBER(D64),ISNUMBER(E64)),IF(E64&gt;=D64,ROUND((E64-D64)*1440,0),"Check times"),"Check times"))</f>
        <v/>
      </c>
      <c r="G64" s="6">
        <f>IF(ISNUMBER(F64),IF(Settings!$B$3&lt;&gt;"OK","Check settings",ROUNDUP(F64/Settings!$B$1,0)*Settings!$B$1),"")</f>
        <v/>
      </c>
      <c r="H64" s="7">
        <f>IF(ISNUMBER(G64),G64/60,"")</f>
        <v/>
      </c>
      <c r="I64" s="8">
        <f>IF(ISNUMBER(H64),ROUND(H64*Settings!$B$2,2),"")</f>
        <v/>
      </c>
      <c r="J64" s="6">
        <f>IF(ISNUMBER(G64),G64-F64,"")</f>
        <v/>
      </c>
    </row>
  </sheetData>
  <conditionalFormatting sqref="F5:G64">
    <cfRule type="expression" priority="1" dxfId="0">
      <formula>LEFT(F5,5)="Check"</formula>
    </cfRule>
  </conditionalFormatting>
  <conditionalFormatting sqref="M11">
    <cfRule type="expression" priority="2" dxfId="0">
      <formula>AND(M11&lt;&gt;"OK",M11&lt;&gt;"")</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B5"/>
  <sheetViews>
    <sheetView workbookViewId="0">
      <selection activeCell="A1" sqref="A1"/>
    </sheetView>
  </sheetViews>
  <sheetFormatPr baseColWidth="8" defaultRowHeight="15"/>
  <cols>
    <col width="26" customWidth="1" min="1" max="1"/>
    <col width="44" customWidth="1" min="2" max="2"/>
  </cols>
  <sheetData>
    <row r="1">
      <c r="A1" s="9" t="inlineStr">
        <is>
          <t>Block size in minutes</t>
        </is>
      </c>
      <c r="B1" s="4" t="n">
        <v>15</v>
      </c>
    </row>
    <row r="2">
      <c r="A2" s="9" t="inlineStr">
        <is>
          <t>Hourly rate</t>
        </is>
      </c>
      <c r="B2" s="13" t="n">
        <v>85</v>
      </c>
    </row>
    <row r="3">
      <c r="A3" s="9" t="inlineStr">
        <is>
          <t>Settings check</t>
        </is>
      </c>
      <c r="B3" s="14">
        <f>IF(AND(ISNUMBER(B1),ISNUMBER(B2)),IF(AND(B1&gt;=1,B1&lt;=480,B1=INT(B1),B2&gt;=0),"OK","Block: whole minutes from 1 to 480. Rate: 0 or more"),"Type a number in each yellow cell")</f>
        <v/>
      </c>
    </row>
    <row r="5">
      <c r="A5" s="1" t="inlineStr">
        <is>
          <t>Try 6 for six-minute blocks or 30 for half-hour blocks. A block of 1 bills every minute.</t>
        </is>
      </c>
    </row>
  </sheetData>
  <conditionalFormatting sqref="B3">
    <cfRule type="expression" priority="1" dxfId="0">
      <formula>$B$3&lt;&gt;"OK"</formula>
    </cfRule>
  </conditionalFormatting>
  <dataValidations count="1">
    <dataValidation sqref="B1" showDropDown="0" showInputMessage="0" showErrorMessage="0" allowBlank="0" type="whole" operator="between">
      <formula1>1</formula1>
      <formula2>480</formula2>
    </dataValidation>
  </dataValidations>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5" t="inlineStr">
        <is>
          <t>Tidy Tabs: Round Billable Time Up to 15-Minute Blocks</t>
        </is>
      </c>
    </row>
    <row r="2">
      <c r="A2" s="16" t="inlineStr"/>
    </row>
    <row r="3">
      <c r="A3" s="16" t="inlineStr">
        <is>
          <t>1. Settings tab: type the block size in minutes in B1 (yellow, 15) and the hourly rate in B2 (yellow, $85.00). B3 shows OK when the block is a whole number from 1 to 480 and the rate is 0 or more.</t>
        </is>
      </c>
    </row>
    <row r="4">
      <c r="A4" s="16" t="inlineStr">
        <is>
          <t>2. Time log tab: one row per entry. Type the date, client, task, start and end time in A5:E64 (yellow). The sample is 15 fictional entries. Start and End are clock times on the same day.</t>
        </is>
      </c>
    </row>
    <row r="5">
      <c r="A5" s="16" t="inlineStr">
        <is>
          <t>3. Minutes worked, F5: =ROUND((E5-D5)*1440,0). A time is a fraction of a day, so times 1440 gives whole minutes. Rounding to a whole minute removes the tiny float tail (and any seconds).</t>
        </is>
      </c>
    </row>
    <row r="6">
      <c r="A6" s="16" t="inlineStr">
        <is>
          <t>4. Billed minutes, G5: =ROUNDUP(F5/Settings!$B$1,0)*Settings!$B$1. Divide by the block, round up to a whole number of blocks, multiply back. With a 15 minute block, 45 stays 45, 46 becomes 60, 0 stays 0, 1 becomes 15.</t>
        </is>
      </c>
    </row>
    <row r="7">
      <c r="A7" s="16" t="inlineStr">
        <is>
          <t>5. Billed hours, H5: =G5/60. Amount, I5: =ROUND(H5*Settings!$B$2,2). Extra minutes billed, J5: =G5-F5, the minutes added by rounding (never negative, always less than one block).</t>
        </is>
      </c>
    </row>
    <row r="8">
      <c r="A8" s="16" t="inlineStr">
        <is>
          <t>6. Summary, L5:M11: entries, total actual minutes, total billed minutes, the extra minutes billed because of rounding, the total amount, and the rows that show Check times. M11 shows OK when the settings are valid, every billed number is a whole number of blocks, the extra minutes are under one block and nothing is typed below row 64.</t>
        </is>
      </c>
    </row>
    <row r="9">
      <c r="A9" s="16" t="inlineStr">
        <is>
          <t>7. An End before the Start, or a Start without an End, shows Check times and is left out of the totals. A shift that runs past midnight is not handled here.</t>
        </is>
      </c>
    </row>
    <row r="10">
      <c r="A10" s="16" t="inlineStr">
        <is>
          <t>8. This is only the rounding arithmetic. It does not say what a client agreement allows.</t>
        </is>
      </c>
    </row>
    <row r="11">
      <c r="A11" s="16" t="inlineStr"/>
    </row>
    <row r="12">
      <c r="A12" s="16" t="inlineStr">
        <is>
          <t>Clients, tasks and amounts are fictional. Checked in LibreOffice Calc only; not opened in Excel or Google Sheets.</t>
        </is>
      </c>
    </row>
    <row r="13">
      <c r="A13" s="16"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2026-10-29T07:41:14Z</dcterms:created>
  <dcterms:modified xmlns:dcterms="http://purl.org/dc/terms/" xmlns:xsi="http://www.w3.org/2001/XMLSchema-instance" xsi:type="dcterms:W3CDTF">2026-10-29T07:41:14Z</dcterms:modified>
</cp:coreProperties>
</file>