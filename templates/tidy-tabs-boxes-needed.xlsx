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How to use" sheetId="2" state="visible" r:id="rId2"/>
  </sheets>
  <definedNames>
    <definedName name="_xlnm.Print_Titles" localSheetId="0">'Orders'!$1:$1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3" borderId="0" pivotButton="0" quotePrefix="0" xfId="0"/>
    <xf numFmtId="1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1" customWidth="1" min="6" max="6"/>
    <col width="12" customWidth="1" min="7" max="7"/>
    <col width="4" customWidth="1" min="8" max="8"/>
    <col width="28" customWidth="1" min="9" max="9"/>
    <col width="12" customWidth="1" min="10" max="10"/>
  </cols>
  <sheetData>
    <row r="1" ht="30" customHeight="1">
      <c r="A1" s="1" t="inlineStr">
        <is>
          <t>Item</t>
        </is>
      </c>
      <c r="B1" s="1" t="inlineStr">
        <is>
          <t>Units to ship</t>
        </is>
      </c>
      <c r="C1" s="1" t="inlineStr">
        <is>
          <t>Units per box</t>
        </is>
      </c>
      <c r="D1" s="1" t="inlineStr">
        <is>
          <t>Boxes needed</t>
        </is>
      </c>
      <c r="E1" s="1" t="inlineStr">
        <is>
          <t>Units in last box</t>
        </is>
      </c>
      <c r="F1" s="1" t="inlineStr">
        <is>
          <t>Empty slots</t>
        </is>
      </c>
      <c r="G1" s="1" t="inlineStr">
        <is>
          <t>Box cost</t>
        </is>
      </c>
      <c r="I1" s="2" t="inlineStr">
        <is>
          <t>Cost and totals</t>
        </is>
      </c>
    </row>
    <row r="2">
      <c r="A2" s="3" t="inlineStr">
        <is>
          <t>Soy candle 8 oz</t>
        </is>
      </c>
      <c r="B2" s="3" t="n">
        <v>50</v>
      </c>
      <c r="C2" s="3" t="n">
        <v>12</v>
      </c>
      <c r="D2" s="4">
        <f>IF(AND(ISNUMBER(B2),ISNUMBER(C2),C2&gt;0),ROUNDUP(B2/C2,0),"")</f>
        <v/>
      </c>
      <c r="E2" s="4">
        <f>IF(OR(D2="",B2=0),"",B2-(D2-1)*C2)</f>
        <v/>
      </c>
      <c r="F2" s="4">
        <f>IF(D2="","",D2*C2-B2)</f>
        <v/>
      </c>
      <c r="G2" s="5">
        <f>IF(D2="","",D2*$J$2)</f>
        <v/>
      </c>
      <c r="I2" t="inlineStr">
        <is>
          <t>Cost per box</t>
        </is>
      </c>
      <c r="J2" s="6" t="n">
        <v>1.45</v>
      </c>
    </row>
    <row r="3">
      <c r="A3" s="3" t="inlineStr">
        <is>
          <t>Soap bars</t>
        </is>
      </c>
      <c r="B3" s="3" t="n">
        <v>30</v>
      </c>
      <c r="C3" s="3" t="n">
        <v>8</v>
      </c>
      <c r="D3" s="4">
        <f>IF(AND(ISNUMBER(B3),ISNUMBER(C3),C3&gt;0),ROUNDUP(B3/C3,0),"")</f>
        <v/>
      </c>
      <c r="E3" s="4">
        <f>IF(OR(D3="",B3=0),"",B3-(D3-1)*C3)</f>
        <v/>
      </c>
      <c r="F3" s="4">
        <f>IF(D3="","",D3*C3-B3)</f>
        <v/>
      </c>
      <c r="G3" s="5">
        <f>IF(D3="","",D3*$J$2)</f>
        <v/>
      </c>
    </row>
    <row r="4">
      <c r="A4" s="3" t="inlineStr">
        <is>
          <t>Earring cards</t>
        </is>
      </c>
      <c r="B4" s="3" t="n">
        <v>17</v>
      </c>
      <c r="C4" s="3" t="n">
        <v>20</v>
      </c>
      <c r="D4" s="4">
        <f>IF(AND(ISNUMBER(B4),ISNUMBER(C4),C4&gt;0),ROUNDUP(B4/C4,0),"")</f>
        <v/>
      </c>
      <c r="E4" s="4">
        <f>IF(OR(D4="",B4=0),"",B4-(D4-1)*C4)</f>
        <v/>
      </c>
      <c r="F4" s="4">
        <f>IF(D4="","",D4*C4-B4)</f>
        <v/>
      </c>
      <c r="G4" s="5">
        <f>IF(D4="","",D4*$J$2)</f>
        <v/>
      </c>
      <c r="I4" t="inlineStr">
        <is>
          <t>Total boxes</t>
        </is>
      </c>
      <c r="J4" s="7">
        <f>SUM(D2:D30)</f>
        <v/>
      </c>
    </row>
    <row r="5">
      <c r="A5" s="3" t="inlineStr">
        <is>
          <t>Ceramic mugs</t>
        </is>
      </c>
      <c r="B5" s="3" t="n">
        <v>26</v>
      </c>
      <c r="C5" s="3" t="n">
        <v>6</v>
      </c>
      <c r="D5" s="4">
        <f>IF(AND(ISNUMBER(B5),ISNUMBER(C5),C5&gt;0),ROUNDUP(B5/C5,0),"")</f>
        <v/>
      </c>
      <c r="E5" s="4">
        <f>IF(OR(D5="",B5=0),"",B5-(D5-1)*C5)</f>
        <v/>
      </c>
      <c r="F5" s="4">
        <f>IF(D5="","",D5*C5-B5)</f>
        <v/>
      </c>
      <c r="G5" s="5">
        <f>IF(D5="","",D5*$J$2)</f>
        <v/>
      </c>
      <c r="I5" t="inlineStr">
        <is>
          <t>Total box cost</t>
        </is>
      </c>
      <c r="J5" s="5">
        <f>SUM(G2:G30)</f>
        <v/>
      </c>
    </row>
    <row r="6">
      <c r="A6" s="3" t="inlineStr">
        <is>
          <t>Linen tote bags</t>
        </is>
      </c>
      <c r="B6" s="3" t="n">
        <v>48</v>
      </c>
      <c r="C6" s="3" t="n">
        <v>12</v>
      </c>
      <c r="D6" s="4">
        <f>IF(AND(ISNUMBER(B6),ISNUMBER(C6),C6&gt;0),ROUNDUP(B6/C6,0),"")</f>
        <v/>
      </c>
      <c r="E6" s="4">
        <f>IF(OR(D6="",B6=0),"",B6-(D6-1)*C6)</f>
        <v/>
      </c>
      <c r="F6" s="4">
        <f>IF(D6="","",D6*C6-B6)</f>
        <v/>
      </c>
      <c r="G6" s="5">
        <f>IF(D6="","",D6*$J$2)</f>
        <v/>
      </c>
      <c r="I6" t="inlineStr">
        <is>
          <t>Total empty slots</t>
        </is>
      </c>
      <c r="J6" s="7">
        <f>SUM(F2:F30)</f>
        <v/>
      </c>
    </row>
    <row r="7">
      <c r="A7" s="3" t="inlineStr">
        <is>
          <t>Birthday cards</t>
        </is>
      </c>
      <c r="B7" s="3" t="n">
        <v>130</v>
      </c>
      <c r="C7" s="3" t="n">
        <v>25</v>
      </c>
      <c r="D7" s="4">
        <f>IF(AND(ISNUMBER(B7),ISNUMBER(C7),C7&gt;0),ROUNDUP(B7/C7,0),"")</f>
        <v/>
      </c>
      <c r="E7" s="4">
        <f>IF(OR(D7="",B7=0),"",B7-(D7-1)*C7)</f>
        <v/>
      </c>
      <c r="F7" s="4">
        <f>IF(D7="","",D7*C7-B7)</f>
        <v/>
      </c>
      <c r="G7" s="5">
        <f>IF(D7="","",D7*$J$2)</f>
        <v/>
      </c>
    </row>
    <row r="8">
      <c r="A8" s="3" t="inlineStr">
        <is>
          <t>Gift tag sets</t>
        </is>
      </c>
      <c r="B8" s="3" t="n">
        <v>0</v>
      </c>
      <c r="C8" s="3" t="n">
        <v>40</v>
      </c>
      <c r="D8" s="4">
        <f>IF(AND(ISNUMBER(B8),ISNUMBER(C8),C8&gt;0),ROUNDUP(B8/C8,0),"")</f>
        <v/>
      </c>
      <c r="E8" s="4">
        <f>IF(OR(D8="",B8=0),"",B8-(D8-1)*C8)</f>
        <v/>
      </c>
      <c r="F8" s="4">
        <f>IF(D8="","",D8*C8-B8)</f>
        <v/>
      </c>
      <c r="G8" s="5">
        <f>IF(D8="","",D8*$J$2)</f>
        <v/>
      </c>
    </row>
    <row r="9">
      <c r="A9" s="3" t="n"/>
      <c r="B9" s="3" t="n"/>
      <c r="C9" s="3" t="n"/>
      <c r="D9" s="4">
        <f>IF(AND(ISNUMBER(B9),ISNUMBER(C9),C9&gt;0),ROUNDUP(B9/C9,0),"")</f>
        <v/>
      </c>
      <c r="E9" s="4">
        <f>IF(OR(D9="",B9=0),"",B9-(D9-1)*C9)</f>
        <v/>
      </c>
      <c r="F9" s="4">
        <f>IF(D9="","",D9*C9-B9)</f>
        <v/>
      </c>
      <c r="G9" s="5">
        <f>IF(D9="","",D9*$J$2)</f>
        <v/>
      </c>
    </row>
    <row r="10">
      <c r="A10" s="3" t="n"/>
      <c r="B10" s="3" t="n"/>
      <c r="C10" s="3" t="n"/>
      <c r="D10" s="4">
        <f>IF(AND(ISNUMBER(B10),ISNUMBER(C10),C10&gt;0),ROUNDUP(B10/C10,0),"")</f>
        <v/>
      </c>
      <c r="E10" s="4">
        <f>IF(OR(D10="",B10=0),"",B10-(D10-1)*C10)</f>
        <v/>
      </c>
      <c r="F10" s="4">
        <f>IF(D10="","",D10*C10-B10)</f>
        <v/>
      </c>
      <c r="G10" s="5">
        <f>IF(D10="","",D10*$J$2)</f>
        <v/>
      </c>
    </row>
    <row r="11">
      <c r="A11" s="3" t="n"/>
      <c r="B11" s="3" t="n"/>
      <c r="C11" s="3" t="n"/>
      <c r="D11" s="4">
        <f>IF(AND(ISNUMBER(B11),ISNUMBER(C11),C11&gt;0),ROUNDUP(B11/C11,0),"")</f>
        <v/>
      </c>
      <c r="E11" s="4">
        <f>IF(OR(D11="",B11=0),"",B11-(D11-1)*C11)</f>
        <v/>
      </c>
      <c r="F11" s="4">
        <f>IF(D11="","",D11*C11-B11)</f>
        <v/>
      </c>
      <c r="G11" s="5">
        <f>IF(D11="","",D11*$J$2)</f>
        <v/>
      </c>
    </row>
    <row r="12">
      <c r="A12" s="3" t="n"/>
      <c r="B12" s="3" t="n"/>
      <c r="C12" s="3" t="n"/>
      <c r="D12" s="4">
        <f>IF(AND(ISNUMBER(B12),ISNUMBER(C12),C12&gt;0),ROUNDUP(B12/C12,0),"")</f>
        <v/>
      </c>
      <c r="E12" s="4">
        <f>IF(OR(D12="",B12=0),"",B12-(D12-1)*C12)</f>
        <v/>
      </c>
      <c r="F12" s="4">
        <f>IF(D12="","",D12*C12-B12)</f>
        <v/>
      </c>
      <c r="G12" s="5">
        <f>IF(D12="","",D12*$J$2)</f>
        <v/>
      </c>
    </row>
    <row r="13">
      <c r="A13" s="3" t="n"/>
      <c r="B13" s="3" t="n"/>
      <c r="C13" s="3" t="n"/>
      <c r="D13" s="4">
        <f>IF(AND(ISNUMBER(B13),ISNUMBER(C13),C13&gt;0),ROUNDUP(B13/C13,0),"")</f>
        <v/>
      </c>
      <c r="E13" s="4">
        <f>IF(OR(D13="",B13=0),"",B13-(D13-1)*C13)</f>
        <v/>
      </c>
      <c r="F13" s="4">
        <f>IF(D13="","",D13*C13-B13)</f>
        <v/>
      </c>
      <c r="G13" s="5">
        <f>IF(D13="","",D13*$J$2)</f>
        <v/>
      </c>
    </row>
    <row r="14">
      <c r="A14" s="3" t="n"/>
      <c r="B14" s="3" t="n"/>
      <c r="C14" s="3" t="n"/>
      <c r="D14" s="4">
        <f>IF(AND(ISNUMBER(B14),ISNUMBER(C14),C14&gt;0),ROUNDUP(B14/C14,0),"")</f>
        <v/>
      </c>
      <c r="E14" s="4">
        <f>IF(OR(D14="",B14=0),"",B14-(D14-1)*C14)</f>
        <v/>
      </c>
      <c r="F14" s="4">
        <f>IF(D14="","",D14*C14-B14)</f>
        <v/>
      </c>
      <c r="G14" s="5">
        <f>IF(D14="","",D14*$J$2)</f>
        <v/>
      </c>
    </row>
    <row r="15">
      <c r="A15" s="3" t="n"/>
      <c r="B15" s="3" t="n"/>
      <c r="C15" s="3" t="n"/>
      <c r="D15" s="4">
        <f>IF(AND(ISNUMBER(B15),ISNUMBER(C15),C15&gt;0),ROUNDUP(B15/C15,0),"")</f>
        <v/>
      </c>
      <c r="E15" s="4">
        <f>IF(OR(D15="",B15=0),"",B15-(D15-1)*C15)</f>
        <v/>
      </c>
      <c r="F15" s="4">
        <f>IF(D15="","",D15*C15-B15)</f>
        <v/>
      </c>
      <c r="G15" s="5">
        <f>IF(D15="","",D15*$J$2)</f>
        <v/>
      </c>
    </row>
    <row r="16">
      <c r="A16" s="3" t="n"/>
      <c r="B16" s="3" t="n"/>
      <c r="C16" s="3" t="n"/>
      <c r="D16" s="4">
        <f>IF(AND(ISNUMBER(B16),ISNUMBER(C16),C16&gt;0),ROUNDUP(B16/C16,0),"")</f>
        <v/>
      </c>
      <c r="E16" s="4">
        <f>IF(OR(D16="",B16=0),"",B16-(D16-1)*C16)</f>
        <v/>
      </c>
      <c r="F16" s="4">
        <f>IF(D16="","",D16*C16-B16)</f>
        <v/>
      </c>
      <c r="G16" s="5">
        <f>IF(D16="","",D16*$J$2)</f>
        <v/>
      </c>
    </row>
    <row r="17">
      <c r="A17" s="3" t="n"/>
      <c r="B17" s="3" t="n"/>
      <c r="C17" s="3" t="n"/>
      <c r="D17" s="4">
        <f>IF(AND(ISNUMBER(B17),ISNUMBER(C17),C17&gt;0),ROUNDUP(B17/C17,0),"")</f>
        <v/>
      </c>
      <c r="E17" s="4">
        <f>IF(OR(D17="",B17=0),"",B17-(D17-1)*C17)</f>
        <v/>
      </c>
      <c r="F17" s="4">
        <f>IF(D17="","",D17*C17-B17)</f>
        <v/>
      </c>
      <c r="G17" s="5">
        <f>IF(D17="","",D17*$J$2)</f>
        <v/>
      </c>
    </row>
    <row r="18">
      <c r="A18" s="3" t="n"/>
      <c r="B18" s="3" t="n"/>
      <c r="C18" s="3" t="n"/>
      <c r="D18" s="4">
        <f>IF(AND(ISNUMBER(B18),ISNUMBER(C18),C18&gt;0),ROUNDUP(B18/C18,0),"")</f>
        <v/>
      </c>
      <c r="E18" s="4">
        <f>IF(OR(D18="",B18=0),"",B18-(D18-1)*C18)</f>
        <v/>
      </c>
      <c r="F18" s="4">
        <f>IF(D18="","",D18*C18-B18)</f>
        <v/>
      </c>
      <c r="G18" s="5">
        <f>IF(D18="","",D18*$J$2)</f>
        <v/>
      </c>
    </row>
    <row r="19">
      <c r="A19" s="3" t="n"/>
      <c r="B19" s="3" t="n"/>
      <c r="C19" s="3" t="n"/>
      <c r="D19" s="4">
        <f>IF(AND(ISNUMBER(B19),ISNUMBER(C19),C19&gt;0),ROUNDUP(B19/C19,0),"")</f>
        <v/>
      </c>
      <c r="E19" s="4">
        <f>IF(OR(D19="",B19=0),"",B19-(D19-1)*C19)</f>
        <v/>
      </c>
      <c r="F19" s="4">
        <f>IF(D19="","",D19*C19-B19)</f>
        <v/>
      </c>
      <c r="G19" s="5">
        <f>IF(D19="","",D19*$J$2)</f>
        <v/>
      </c>
    </row>
    <row r="20">
      <c r="A20" s="3" t="n"/>
      <c r="B20" s="3" t="n"/>
      <c r="C20" s="3" t="n"/>
      <c r="D20" s="4">
        <f>IF(AND(ISNUMBER(B20),ISNUMBER(C20),C20&gt;0),ROUNDUP(B20/C20,0),"")</f>
        <v/>
      </c>
      <c r="E20" s="4">
        <f>IF(OR(D20="",B20=0),"",B20-(D20-1)*C20)</f>
        <v/>
      </c>
      <c r="F20" s="4">
        <f>IF(D20="","",D20*C20-B20)</f>
        <v/>
      </c>
      <c r="G20" s="5">
        <f>IF(D20="","",D20*$J$2)</f>
        <v/>
      </c>
    </row>
    <row r="21">
      <c r="A21" s="3" t="n"/>
      <c r="B21" s="3" t="n"/>
      <c r="C21" s="3" t="n"/>
      <c r="D21" s="4">
        <f>IF(AND(ISNUMBER(B21),ISNUMBER(C21),C21&gt;0),ROUNDUP(B21/C21,0),"")</f>
        <v/>
      </c>
      <c r="E21" s="4">
        <f>IF(OR(D21="",B21=0),"",B21-(D21-1)*C21)</f>
        <v/>
      </c>
      <c r="F21" s="4">
        <f>IF(D21="","",D21*C21-B21)</f>
        <v/>
      </c>
      <c r="G21" s="5">
        <f>IF(D21="","",D21*$J$2)</f>
        <v/>
      </c>
    </row>
    <row r="22">
      <c r="A22" s="3" t="n"/>
      <c r="B22" s="3" t="n"/>
      <c r="C22" s="3" t="n"/>
      <c r="D22" s="4">
        <f>IF(AND(ISNUMBER(B22),ISNUMBER(C22),C22&gt;0),ROUNDUP(B22/C22,0),"")</f>
        <v/>
      </c>
      <c r="E22" s="4">
        <f>IF(OR(D22="",B22=0),"",B22-(D22-1)*C22)</f>
        <v/>
      </c>
      <c r="F22" s="4">
        <f>IF(D22="","",D22*C22-B22)</f>
        <v/>
      </c>
      <c r="G22" s="5">
        <f>IF(D22="","",D22*$J$2)</f>
        <v/>
      </c>
    </row>
    <row r="23">
      <c r="A23" s="3" t="n"/>
      <c r="B23" s="3" t="n"/>
      <c r="C23" s="3" t="n"/>
      <c r="D23" s="4">
        <f>IF(AND(ISNUMBER(B23),ISNUMBER(C23),C23&gt;0),ROUNDUP(B23/C23,0),"")</f>
        <v/>
      </c>
      <c r="E23" s="4">
        <f>IF(OR(D23="",B23=0),"",B23-(D23-1)*C23)</f>
        <v/>
      </c>
      <c r="F23" s="4">
        <f>IF(D23="","",D23*C23-B23)</f>
        <v/>
      </c>
      <c r="G23" s="5">
        <f>IF(D23="","",D23*$J$2)</f>
        <v/>
      </c>
    </row>
    <row r="24">
      <c r="A24" s="3" t="n"/>
      <c r="B24" s="3" t="n"/>
      <c r="C24" s="3" t="n"/>
      <c r="D24" s="4">
        <f>IF(AND(ISNUMBER(B24),ISNUMBER(C24),C24&gt;0),ROUNDUP(B24/C24,0),"")</f>
        <v/>
      </c>
      <c r="E24" s="4">
        <f>IF(OR(D24="",B24=0),"",B24-(D24-1)*C24)</f>
        <v/>
      </c>
      <c r="F24" s="4">
        <f>IF(D24="","",D24*C24-B24)</f>
        <v/>
      </c>
      <c r="G24" s="5">
        <f>IF(D24="","",D24*$J$2)</f>
        <v/>
      </c>
    </row>
    <row r="25">
      <c r="A25" s="3" t="n"/>
      <c r="B25" s="3" t="n"/>
      <c r="C25" s="3" t="n"/>
      <c r="D25" s="4">
        <f>IF(AND(ISNUMBER(B25),ISNUMBER(C25),C25&gt;0),ROUNDUP(B25/C25,0),"")</f>
        <v/>
      </c>
      <c r="E25" s="4">
        <f>IF(OR(D25="",B25=0),"",B25-(D25-1)*C25)</f>
        <v/>
      </c>
      <c r="F25" s="4">
        <f>IF(D25="","",D25*C25-B25)</f>
        <v/>
      </c>
      <c r="G25" s="5">
        <f>IF(D25="","",D25*$J$2)</f>
        <v/>
      </c>
    </row>
    <row r="26">
      <c r="A26" s="3" t="n"/>
      <c r="B26" s="3" t="n"/>
      <c r="C26" s="3" t="n"/>
      <c r="D26" s="4">
        <f>IF(AND(ISNUMBER(B26),ISNUMBER(C26),C26&gt;0),ROUNDUP(B26/C26,0),"")</f>
        <v/>
      </c>
      <c r="E26" s="4">
        <f>IF(OR(D26="",B26=0),"",B26-(D26-1)*C26)</f>
        <v/>
      </c>
      <c r="F26" s="4">
        <f>IF(D26="","",D26*C26-B26)</f>
        <v/>
      </c>
      <c r="G26" s="5">
        <f>IF(D26="","",D26*$J$2)</f>
        <v/>
      </c>
    </row>
    <row r="27">
      <c r="A27" s="3" t="n"/>
      <c r="B27" s="3" t="n"/>
      <c r="C27" s="3" t="n"/>
      <c r="D27" s="4">
        <f>IF(AND(ISNUMBER(B27),ISNUMBER(C27),C27&gt;0),ROUNDUP(B27/C27,0),"")</f>
        <v/>
      </c>
      <c r="E27" s="4">
        <f>IF(OR(D27="",B27=0),"",B27-(D27-1)*C27)</f>
        <v/>
      </c>
      <c r="F27" s="4">
        <f>IF(D27="","",D27*C27-B27)</f>
        <v/>
      </c>
      <c r="G27" s="5">
        <f>IF(D27="","",D27*$J$2)</f>
        <v/>
      </c>
    </row>
    <row r="28">
      <c r="A28" s="3" t="n"/>
      <c r="B28" s="3" t="n"/>
      <c r="C28" s="3" t="n"/>
      <c r="D28" s="4">
        <f>IF(AND(ISNUMBER(B28),ISNUMBER(C28),C28&gt;0),ROUNDUP(B28/C28,0),"")</f>
        <v/>
      </c>
      <c r="E28" s="4">
        <f>IF(OR(D28="",B28=0),"",B28-(D28-1)*C28)</f>
        <v/>
      </c>
      <c r="F28" s="4">
        <f>IF(D28="","",D28*C28-B28)</f>
        <v/>
      </c>
      <c r="G28" s="5">
        <f>IF(D28="","",D28*$J$2)</f>
        <v/>
      </c>
    </row>
    <row r="29">
      <c r="A29" s="3" t="n"/>
      <c r="B29" s="3" t="n"/>
      <c r="C29" s="3" t="n"/>
      <c r="D29" s="4">
        <f>IF(AND(ISNUMBER(B29),ISNUMBER(C29),C29&gt;0),ROUNDUP(B29/C29,0),"")</f>
        <v/>
      </c>
      <c r="E29" s="4">
        <f>IF(OR(D29="",B29=0),"",B29-(D29-1)*C29)</f>
        <v/>
      </c>
      <c r="F29" s="4">
        <f>IF(D29="","",D29*C29-B29)</f>
        <v/>
      </c>
      <c r="G29" s="5">
        <f>IF(D29="","",D29*$J$2)</f>
        <v/>
      </c>
    </row>
    <row r="30">
      <c r="A30" s="3" t="n"/>
      <c r="B30" s="3" t="n"/>
      <c r="C30" s="3" t="n"/>
      <c r="D30" s="4">
        <f>IF(AND(ISNUMBER(B30),ISNUMBER(C30),C30&gt;0),ROUNDUP(B30/C30,0),"")</f>
        <v/>
      </c>
      <c r="E30" s="4">
        <f>IF(OR(D30="",B30=0),"",B30-(D30-1)*C30)</f>
        <v/>
      </c>
      <c r="F30" s="4">
        <f>IF(D30="","",D30*C30-B30)</f>
        <v/>
      </c>
      <c r="G30" s="5">
        <f>IF(D30="","",D30*$J$2)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Calculate How Many Boxes You Need</t>
        </is>
      </c>
    </row>
    <row r="2">
      <c r="A2" s="9" t="inlineStr"/>
    </row>
    <row r="3">
      <c r="A3" s="9" t="inlineStr">
        <is>
          <t>1. Orders tab: type the item, the units to ship (B) and how many fit in one box (C). Rows 2 to 30 have formulas ready.</t>
        </is>
      </c>
    </row>
    <row r="4">
      <c r="A4" s="9" t="inlineStr">
        <is>
          <t>2. D2: =ROUNDUP(B2/C2,0) is the boxes needed. ROUNDUP always rounds up, so 50 candles at 12 per box (4.17) needs 5 boxes. A plain ROUND would give 4 and leave candles without a box.</t>
        </is>
      </c>
    </row>
    <row r="5">
      <c r="A5" s="9" t="inlineStr">
        <is>
          <t>3. E2: =B2-(D2-1)*C2 is how many units go in the last box. When the units divide evenly the last box is simply full.</t>
        </is>
      </c>
    </row>
    <row r="6">
      <c r="A6" s="9" t="inlineStr">
        <is>
          <t>4. F2: =D2*C2-B2 is the empty slots across all boxes.</t>
        </is>
      </c>
    </row>
    <row r="7">
      <c r="A7" s="9" t="inlineStr">
        <is>
          <t>5. G2: =D2*$J$2 is the box cost. J2 is your price per box (yellow).</t>
        </is>
      </c>
    </row>
    <row r="8">
      <c r="A8" s="9" t="inlineStr">
        <is>
          <t>6. If units per box is 0, blank or text, D to G stay blank. If units to ship is 0, D shows 0 boxes.</t>
        </is>
      </c>
    </row>
    <row r="9">
      <c r="A9" s="9" t="inlineStr">
        <is>
          <t>7. Same size boxes only. It does not check weight, box dimensions or carrier rules, and one box size per row.</t>
        </is>
      </c>
    </row>
    <row r="10">
      <c r="A10" s="9" t="inlineStr"/>
    </row>
    <row r="11">
      <c r="A11" s="9" t="inlineStr">
        <is>
          <t>Items, box sizes and prices are fictional. Checked in LibreOffice Calc only; not opened in Excel or Google Sheets.</t>
        </is>
      </c>
    </row>
    <row r="12">
      <c r="A12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2026-10-14T07:27:16Z</dcterms:created>
  <dcterms:modified xsi:type="dcterms:W3CDTF">2026-10-14T07:27:16Z</dcterms:modified>
</cp:coreProperties>
</file>