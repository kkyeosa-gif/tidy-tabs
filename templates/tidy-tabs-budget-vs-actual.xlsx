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20" customWidth="1" min="8" max="8"/>
    <col width="13" customWidth="1" min="9" max="9"/>
  </cols>
  <sheetData>
    <row r="1" ht="30" customHeight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 ($)</t>
        </is>
      </c>
      <c r="E1" s="1" t="inlineStr">
        <is>
          <t>Variance (%)</t>
        </is>
      </c>
      <c r="F1" s="1" t="inlineStr">
        <is>
          <t>Status</t>
        </is>
      </c>
      <c r="H1" s="2" t="inlineStr">
        <is>
          <t>Total budget</t>
        </is>
      </c>
      <c r="I1" s="3">
        <f>SUM(B2:B200)</f>
        <v/>
      </c>
    </row>
    <row r="2">
      <c r="A2" t="inlineStr">
        <is>
          <t>Booth and market fees</t>
        </is>
      </c>
      <c r="B2" s="3" t="n">
        <v>450</v>
      </c>
      <c r="C2" s="3" t="n">
        <v>450</v>
      </c>
      <c r="D2" s="4">
        <f>C2-B2</f>
        <v/>
      </c>
      <c r="E2" s="5">
        <f>IF(B2=0,"",(C2-B2)/B2)</f>
        <v/>
      </c>
      <c r="F2" s="6">
        <f>IF(C2&gt;B2,"Over budget","On or under")</f>
        <v/>
      </c>
      <c r="H2" s="2" t="inlineStr">
        <is>
          <t>Total actual</t>
        </is>
      </c>
      <c r="I2" s="3">
        <f>SUM(C2:C200)</f>
        <v/>
      </c>
    </row>
    <row r="3">
      <c r="A3" t="inlineStr">
        <is>
          <t>Materials</t>
        </is>
      </c>
      <c r="B3" s="3" t="n">
        <v>600</v>
      </c>
      <c r="C3" s="3" t="n">
        <v>683.4</v>
      </c>
      <c r="D3" s="4">
        <f>C3-B3</f>
        <v/>
      </c>
      <c r="E3" s="5">
        <f>IF(B3=0,"",(C3-B3)/B3)</f>
        <v/>
      </c>
      <c r="F3" s="6">
        <f>IF(C3&gt;B3,"Over budget","On or under")</f>
        <v/>
      </c>
      <c r="H3" s="2" t="inlineStr">
        <is>
          <t>Total variance ($)</t>
        </is>
      </c>
      <c r="I3" s="3">
        <f>I2-I1</f>
        <v/>
      </c>
    </row>
    <row r="4">
      <c r="A4" t="inlineStr">
        <is>
          <t>Shipping</t>
        </is>
      </c>
      <c r="B4" s="3" t="n">
        <v>220</v>
      </c>
      <c r="C4" s="3" t="n">
        <v>241.75</v>
      </c>
      <c r="D4" s="4">
        <f>C4-B4</f>
        <v/>
      </c>
      <c r="E4" s="5">
        <f>IF(B4=0,"",(C4-B4)/B4)</f>
        <v/>
      </c>
      <c r="F4" s="6">
        <f>IF(C4&gt;B4,"Over budget","On or under")</f>
        <v/>
      </c>
      <c r="H4" s="2" t="inlineStr">
        <is>
          <t>Total variance (%)</t>
        </is>
      </c>
      <c r="I4" s="7">
        <f>IF(I1=0,"",(I2-I1)/I1)</f>
        <v/>
      </c>
    </row>
    <row r="5">
      <c r="A5" t="inlineStr">
        <is>
          <t>Packaging</t>
        </is>
      </c>
      <c r="B5" s="3" t="n">
        <v>120</v>
      </c>
      <c r="C5" s="3" t="n">
        <v>131.2</v>
      </c>
      <c r="D5" s="4">
        <f>C5-B5</f>
        <v/>
      </c>
      <c r="E5" s="5">
        <f>IF(B5=0,"",(C5-B5)/B5)</f>
        <v/>
      </c>
      <c r="F5" s="6">
        <f>IF(C5&gt;B5,"Over budget","On or under")</f>
        <v/>
      </c>
    </row>
    <row r="6">
      <c r="A6" t="inlineStr">
        <is>
          <t>Software subscriptions</t>
        </is>
      </c>
      <c r="B6" s="3" t="n">
        <v>85</v>
      </c>
      <c r="C6" s="3" t="n">
        <v>85</v>
      </c>
      <c r="D6" s="4">
        <f>C6-B6</f>
        <v/>
      </c>
      <c r="E6" s="5">
        <f>IF(B6=0,"",(C6-B6)/B6)</f>
        <v/>
      </c>
      <c r="F6" s="6">
        <f>IF(C6&gt;B6,"Over budget","On or under")</f>
        <v/>
      </c>
    </row>
    <row r="7">
      <c r="A7" t="inlineStr">
        <is>
          <t>Advertising</t>
        </is>
      </c>
      <c r="B7" s="3" t="n">
        <v>150</v>
      </c>
      <c r="C7" s="3" t="n">
        <v>92.5</v>
      </c>
      <c r="D7" s="4">
        <f>C7-B7</f>
        <v/>
      </c>
      <c r="E7" s="5">
        <f>IF(B7=0,"",(C7-B7)/B7)</f>
        <v/>
      </c>
      <c r="F7" s="6">
        <f>IF(C7&gt;B7,"Over budget","On or under")</f>
        <v/>
      </c>
    </row>
    <row r="8">
      <c r="A8" t="inlineStr">
        <is>
          <t>Payment processing fees</t>
        </is>
      </c>
      <c r="B8" s="3" t="n">
        <v>90</v>
      </c>
      <c r="C8" s="3" t="n">
        <v>87.34999999999999</v>
      </c>
      <c r="D8" s="4">
        <f>C8-B8</f>
        <v/>
      </c>
      <c r="E8" s="5">
        <f>IF(B8=0,"",(C8-B8)/B8)</f>
        <v/>
      </c>
      <c r="F8" s="6">
        <f>IF(C8&gt;B8,"Over budget","On or under")</f>
        <v/>
      </c>
    </row>
    <row r="9">
      <c r="A9" t="inlineStr">
        <is>
          <t>Training (not budgeted)</t>
        </is>
      </c>
      <c r="B9" s="3" t="n">
        <v>0</v>
      </c>
      <c r="C9" s="3" t="n">
        <v>45</v>
      </c>
      <c r="D9" s="4">
        <f>C9-B9</f>
        <v/>
      </c>
      <c r="E9" s="5">
        <f>IF(B9=0,"",(C9-B9)/B9)</f>
        <v/>
      </c>
      <c r="F9" s="6">
        <f>IF(C9&gt;B9,"Over budget","On or under")</f>
        <v/>
      </c>
    </row>
  </sheetData>
  <conditionalFormatting sqref="A2:F200">
    <cfRule type="expression" priority="1" dxfId="0">
      <formula>AND($C2&lt;&gt;"",$C2&gt;$B2)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Budget vs Actual Variance</t>
        </is>
      </c>
    </row>
    <row r="2">
      <c r="A2" t="inlineStr"/>
    </row>
    <row r="3">
      <c r="A3" t="inlineStr">
        <is>
          <t>1. One row per spending category. Type the Budget for the month and the Actual you spent.</t>
        </is>
      </c>
    </row>
    <row r="4">
      <c r="A4" t="inlineStr">
        <is>
          <t>2. Variance ($) = Actual minus Budget. Positive means you spent more than planned.</t>
        </is>
      </c>
    </row>
    <row r="5">
      <c r="A5" t="inlineStr">
        <is>
          <t>3. Variance (%) = (Actual - Budget) / Budget. It stays blank when Budget is 0, because dividing by zero is an error.</t>
        </is>
      </c>
    </row>
    <row r="6">
      <c r="A6" t="inlineStr">
        <is>
          <t>4. Status says Over budget when Actual is more than Budget. Over-budget rows turn red by conditional formatting.</t>
        </is>
      </c>
    </row>
    <row r="7">
      <c r="A7" t="inlineStr">
        <is>
          <t>5. Totals are in H1:I4, beside the table. Copy the last row down to add categories.</t>
        </is>
      </c>
    </row>
    <row r="8">
      <c r="A8" t="inlineStr"/>
    </row>
    <row r="9">
      <c r="A9" t="inlineStr">
        <is>
          <t>Categories and amounts are fictional.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2026-10-01T07:28:55Z</dcterms:created>
  <dcterms:modified xsi:type="dcterms:W3CDTF">2026-10-01T07:28:55Z</dcterms:modified>
</cp:coreProperties>
</file>