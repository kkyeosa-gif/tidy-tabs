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unt" sheetId="1" state="visible" r:id="rId1"/>
    <sheet xmlns:r="http://schemas.openxmlformats.org/officeDocument/2006/relationships" name="How to use" sheetId="2" state="visible" r:id="rId2"/>
  </sheets>
  <definedNames>
    <definedName name="_xlnm.Print_Titles" localSheetId="0">'Count'!$1:$1</definedName>
  </definedNames>
  <calcPr calcId="124519" fullCalcOnLoad="1"/>
</workbook>
</file>

<file path=xl/styles.xml><?xml version="1.0" encoding="utf-8"?>
<styleSheet xmlns="http://schemas.openxmlformats.org/spreadsheetml/2006/main">
  <numFmts count="1">
    <numFmt numFmtId="164" formatCode="&quot;$&quot;#,##0.00"/>
  </numFmts>
  <fonts count="4">
    <font>
      <name val="Calibri"/>
      <family val="2"/>
      <color theme="1"/>
      <sz val="11"/>
      <scheme val="minor"/>
    </font>
    <font>
      <b val="1"/>
      <color rgb="00FFFFFF"/>
    </font>
    <font>
      <b val="1"/>
    </font>
    <font>
      <b val="1"/>
      <sz val="13"/>
    </font>
  </fonts>
  <fills count="5">
    <fill>
      <patternFill/>
    </fill>
    <fill>
      <patternFill patternType="gray125"/>
    </fill>
    <fill>
      <patternFill patternType="solid">
        <fgColor rgb="002E5E4E"/>
      </patternFill>
    </fill>
    <fill>
      <patternFill patternType="solid">
        <fgColor rgb="00FFF2CC"/>
      </patternFill>
    </fill>
    <fill>
      <patternFill patternType="solid">
        <fgColor rgb="00EDEDED"/>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vertical="center" wrapText="1"/>
    </xf>
    <xf numFmtId="0" fontId="2" fillId="0" borderId="0" pivotButton="0" quotePrefix="0" xfId="0"/>
    <xf numFmtId="164" fontId="0" fillId="0" borderId="0" pivotButton="0" quotePrefix="0" xfId="0"/>
    <xf numFmtId="0" fontId="0" fillId="3" borderId="0" pivotButton="0" quotePrefix="0" xfId="0"/>
    <xf numFmtId="164" fontId="0" fillId="4" borderId="0" pivotButton="0" quotePrefix="0" xfId="0"/>
    <xf numFmtId="164" fontId="0" fillId="3" borderId="0" pivotButton="0" quotePrefix="0" xfId="0"/>
    <xf numFmtId="164" fontId="0" fillId="4" borderId="0" applyAlignment="1" pivotButton="0" quotePrefix="0" xfId="0">
      <alignment horizontal="right"/>
    </xf>
    <xf numFmtId="0" fontId="0" fillId="4" borderId="0" applyAlignment="1" pivotButton="0" quotePrefix="0" xfId="0">
      <alignment horizontal="right"/>
    </xf>
    <xf numFmtId="0" fontId="2" fillId="4" borderId="0" pivotButton="0" quotePrefix="0" xfId="0"/>
    <xf numFmtId="164" fontId="2" fillId="4" borderId="0" pivotButton="0" quotePrefix="0" xfId="0"/>
    <xf numFmtId="0" fontId="3"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dxfs count="2">
    <dxf>
      <fill>
        <patternFill patternType="solid">
          <fgColor rgb="00F8D7DA"/>
        </patternFill>
      </fill>
    </dxf>
    <dxf>
      <fill>
        <patternFill patternType="solid">
          <fgColor rgb="00E2F0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F12"/>
  <sheetViews>
    <sheetView workbookViewId="0">
      <pane ySplit="1" topLeftCell="A2" activePane="bottomLeft" state="frozen"/>
      <selection pane="bottomLeft" activeCell="A1" sqref="A1"/>
    </sheetView>
  </sheetViews>
  <sheetFormatPr baseColWidth="8" defaultRowHeight="15"/>
  <cols>
    <col width="20" customWidth="1" min="1" max="1"/>
    <col width="11" customWidth="1" min="2" max="2"/>
    <col width="9" customWidth="1" min="3" max="3"/>
    <col width="13" customWidth="1" min="4" max="4"/>
    <col width="30" customWidth="1" min="5" max="5"/>
    <col width="14" customWidth="1" min="6" max="6"/>
  </cols>
  <sheetData>
    <row r="1" ht="30" customHeight="1">
      <c r="A1" s="1" t="inlineStr">
        <is>
          <t>Denomination</t>
        </is>
      </c>
      <c r="B1" s="1" t="inlineStr">
        <is>
          <t>Value</t>
        </is>
      </c>
      <c r="C1" s="1" t="inlineStr">
        <is>
          <t>Count</t>
        </is>
      </c>
      <c r="D1" s="1" t="inlineStr">
        <is>
          <t>Amount</t>
        </is>
      </c>
      <c r="E1" s="2" t="inlineStr">
        <is>
          <t>Closing numbers</t>
        </is>
      </c>
    </row>
    <row r="2">
      <c r="A2" t="inlineStr">
        <is>
          <t>$100 bill</t>
        </is>
      </c>
      <c r="B2" s="3" t="n">
        <v>100</v>
      </c>
      <c r="C2" s="4" t="n">
        <v>0</v>
      </c>
      <c r="D2" s="5">
        <f>IF(C2="","",IF(NOT(ISNUMBER(C2)),"Check",IF(AND(C2&gt;=0,C2=INT(C2)),B2*C2,"Check")))</f>
        <v/>
      </c>
      <c r="E2" t="inlineStr">
        <is>
          <t>Starting float</t>
        </is>
      </c>
      <c r="F2" s="6" t="n">
        <v>150</v>
      </c>
    </row>
    <row r="3">
      <c r="A3" t="inlineStr">
        <is>
          <t>$50 bill</t>
        </is>
      </c>
      <c r="B3" s="3" t="n">
        <v>50</v>
      </c>
      <c r="C3" s="4" t="n">
        <v>0</v>
      </c>
      <c r="D3" s="5">
        <f>IF(C3="","",IF(NOT(ISNUMBER(C3)),"Check",IF(AND(C3&gt;=0,C3=INT(C3)),B3*C3,"Check")))</f>
        <v/>
      </c>
      <c r="E3" t="inlineStr">
        <is>
          <t>Cash sales for the day</t>
        </is>
      </c>
      <c r="F3" s="6" t="n">
        <v>161.85</v>
      </c>
    </row>
    <row r="4">
      <c r="A4" t="inlineStr">
        <is>
          <t>$20 bill</t>
        </is>
      </c>
      <c r="B4" s="3" t="n">
        <v>20</v>
      </c>
      <c r="C4" s="4" t="n">
        <v>6</v>
      </c>
      <c r="D4" s="5">
        <f>IF(C4="","",IF(NOT(ISNUMBER(C4)),"Check",IF(AND(C4&gt;=0,C4=INT(C4)),B4*C4,"Check")))</f>
        <v/>
      </c>
      <c r="E4" t="inlineStr">
        <is>
          <t>Expected cash</t>
        </is>
      </c>
      <c r="F4" s="7">
        <f>F2+F3</f>
        <v/>
      </c>
    </row>
    <row r="5">
      <c r="A5" t="inlineStr">
        <is>
          <t>$10 bill</t>
        </is>
      </c>
      <c r="B5" s="3" t="n">
        <v>10</v>
      </c>
      <c r="C5" s="4" t="n">
        <v>9</v>
      </c>
      <c r="D5" s="5">
        <f>IF(C5="","",IF(NOT(ISNUMBER(C5)),"Check",IF(AND(C5&gt;=0,C5=INT(C5)),B5*C5,"Check")))</f>
        <v/>
      </c>
      <c r="E5" t="inlineStr">
        <is>
          <t>Over (+) or short (-)</t>
        </is>
      </c>
      <c r="F5" s="7">
        <f>ROUND(D12-F4,2)</f>
        <v/>
      </c>
    </row>
    <row r="6">
      <c r="A6" t="inlineStr">
        <is>
          <t>$5 bill</t>
        </is>
      </c>
      <c r="B6" s="3" t="n">
        <v>5</v>
      </c>
      <c r="C6" s="4" t="n">
        <v>14</v>
      </c>
      <c r="D6" s="5">
        <f>IF(C6="","",IF(NOT(ISNUMBER(C6)),"Check",IF(AND(C6&gt;=0,C6=INT(C6)),B6*C6,"Check")))</f>
        <v/>
      </c>
      <c r="E6" t="inlineStr">
        <is>
          <t>Status</t>
        </is>
      </c>
      <c r="F6" s="8">
        <f>IF(COUNTIF(D2:D11,"Check")&gt;0,"Check counts",IF(F5=0,"Balanced",IF(F5&gt;0,"Over","Short")))</f>
        <v/>
      </c>
    </row>
    <row r="7">
      <c r="A7" t="inlineStr">
        <is>
          <t>$1 bill</t>
        </is>
      </c>
      <c r="B7" s="3" t="n">
        <v>1</v>
      </c>
      <c r="C7" s="4" t="n">
        <v>23</v>
      </c>
      <c r="D7" s="5">
        <f>IF(C7="","",IF(NOT(ISNUMBER(C7)),"Check",IF(AND(C7&gt;=0,C7=INT(C7)),B7*C7,"Check")))</f>
        <v/>
      </c>
      <c r="E7" t="inlineStr">
        <is>
          <t>Check: SUMPRODUCT total</t>
        </is>
      </c>
      <c r="F7" s="7">
        <f>SUMPRODUCT(B2:B11,C2:C11)</f>
        <v/>
      </c>
    </row>
    <row r="8">
      <c r="A8" t="inlineStr">
        <is>
          <t>Quarter</t>
        </is>
      </c>
      <c r="B8" s="3" t="n">
        <v>0.25</v>
      </c>
      <c r="C8" s="4" t="n">
        <v>18</v>
      </c>
      <c r="D8" s="5">
        <f>IF(C8="","",IF(NOT(ISNUMBER(C8)),"Check",IF(AND(C8&gt;=0,C8=INT(C8)),B8*C8,"Check")))</f>
        <v/>
      </c>
      <c r="E8" t="inlineStr">
        <is>
          <t>Check: both totals agree</t>
        </is>
      </c>
      <c r="F8" s="8">
        <f>IF(ROUND(F7-D12,2)=0,"OK","CHECK")</f>
        <v/>
      </c>
    </row>
    <row r="9">
      <c r="A9" t="inlineStr">
        <is>
          <t>Dime</t>
        </is>
      </c>
      <c r="B9" s="3" t="n">
        <v>0.1</v>
      </c>
      <c r="C9" s="4" t="n">
        <v>12</v>
      </c>
      <c r="D9" s="5">
        <f>IF(C9="","",IF(NOT(ISNUMBER(C9)),"Check",IF(AND(C9&gt;=0,C9=INT(C9)),B9*C9,"Check")))</f>
        <v/>
      </c>
    </row>
    <row r="10">
      <c r="A10" t="inlineStr">
        <is>
          <t>Nickel</t>
        </is>
      </c>
      <c r="B10" s="3" t="n">
        <v>0.05</v>
      </c>
      <c r="C10" s="4" t="n">
        <v>9</v>
      </c>
      <c r="D10" s="5">
        <f>IF(C10="","",IF(NOT(ISNUMBER(C10)),"Check",IF(AND(C10&gt;=0,C10=INT(C10)),B10*C10,"Check")))</f>
        <v/>
      </c>
    </row>
    <row r="11">
      <c r="A11" t="inlineStr">
        <is>
          <t>Penny</t>
        </is>
      </c>
      <c r="B11" s="3" t="n">
        <v>0.01</v>
      </c>
      <c r="C11" s="4" t="n">
        <v>20</v>
      </c>
      <c r="D11" s="5">
        <f>IF(C11="","",IF(NOT(ISNUMBER(C11)),"Check",IF(AND(C11&gt;=0,C11=INT(C11)),B11*C11,"Check")))</f>
        <v/>
      </c>
    </row>
    <row r="12">
      <c r="A12" s="9" t="inlineStr">
        <is>
          <t>Total counted</t>
        </is>
      </c>
      <c r="C12" s="9">
        <f>SUM(C2:C11)</f>
        <v/>
      </c>
      <c r="D12" s="10">
        <f>SUM(D2:D11)</f>
        <v/>
      </c>
    </row>
  </sheetData>
  <conditionalFormatting sqref="D2:D11">
    <cfRule type="expression" priority="1" dxfId="0">
      <formula>D2="Check"</formula>
    </cfRule>
  </conditionalFormatting>
  <conditionalFormatting sqref="F6">
    <cfRule type="expression" priority="2" dxfId="0">
      <formula>OR(F6="Over",F6="Short",F6="Check counts")</formula>
    </cfRule>
    <cfRule type="expression" priority="3" dxfId="1">
      <formula>F6="Balanced"</formula>
    </cfRule>
  </conditionalFormatting>
  <conditionalFormatting sqref="F8">
    <cfRule type="expression" priority="4" dxfId="0">
      <formula>F8="CHECK"</formula>
    </cfRule>
  </conditionalFormatting>
  <pageMargins left="0.75" right="0.75" top="1" bottom="1" header="0.5" footer="0.5"/>
  <pageSetup orientation="portrait" paperSize="1" fitToHeight="0" fitToWidth="1"/>
</worksheet>
</file>

<file path=xl/worksheets/sheet2.xml><?xml version="1.0" encoding="utf-8"?>
<worksheet xmlns="http://schemas.openxmlformats.org/spreadsheetml/2006/main">
  <sheetPr>
    <outlinePr summaryBelow="1" summaryRight="1"/>
    <pageSetUpPr fitToPage="1"/>
  </sheetPr>
  <dimension ref="A1:A12"/>
  <sheetViews>
    <sheetView workbookViewId="0">
      <selection activeCell="A1" sqref="A1"/>
    </sheetView>
  </sheetViews>
  <sheetFormatPr baseColWidth="8" defaultRowHeight="15"/>
  <cols>
    <col width="100" customWidth="1" min="1" max="1"/>
  </cols>
  <sheetData>
    <row r="1">
      <c r="A1" s="11" t="inlineStr">
        <is>
          <t>Tidy Tabs: Cash Drawer Count Over or Short</t>
        </is>
      </c>
    </row>
    <row r="2">
      <c r="A2" s="12" t="inlineStr"/>
    </row>
    <row r="3">
      <c r="A3" s="12" t="inlineStr">
        <is>
          <t>1. Count tab: type how many of each bill and coin are in the drawer in C (yellow). A blank count is treated as none.</t>
        </is>
      </c>
    </row>
    <row r="4">
      <c r="A4" s="12" t="inlineStr">
        <is>
          <t>2. D2: =B2*C2 gives the amount for each row. D12 adds them: =SUM(D2:D11). C12 is the number of bills and coins.</t>
        </is>
      </c>
    </row>
    <row r="5">
      <c r="A5" s="12" t="inlineStr">
        <is>
          <t>3. F2 is the cash you started the day with (the float). F3 is the cash sales for the day from your own records. F4 adds them to give the cash you expect to find.</t>
        </is>
      </c>
    </row>
    <row r="6">
      <c r="A6" s="12" t="inlineStr">
        <is>
          <t>4. F5: =ROUND(D12-F4,2) is the difference. ROUND is there because decimals like 0.10 are stored in binary: a difference of one cent can otherwise come out as 0.00999999999999091, which is not equal to 0.01.</t>
        </is>
      </c>
    </row>
    <row r="7">
      <c r="A7" s="12" t="inlineStr">
        <is>
          <t>5. F6 shows Balanced, Over or Short. A count that is negative, a fraction or typed as text shows Check in D, and F6 says Check counts.</t>
        </is>
      </c>
    </row>
    <row r="8">
      <c r="A8" s="12" t="inlineStr">
        <is>
          <t>6. F7 totals the drawer a second way with SUMPRODUCT. F8 shows OK when it matches D12.</t>
        </is>
      </c>
    </row>
    <row r="9">
      <c r="A9" s="12" t="inlineStr">
        <is>
          <t>7. To count another drawer, save a copy of the file or clear column C and F3.</t>
        </is>
      </c>
    </row>
    <row r="10">
      <c r="A10" s="12" t="inlineStr"/>
    </row>
    <row r="11">
      <c r="A11" s="12" t="inlineStr">
        <is>
          <t>Counts and sales are fictional. This is arithmetic only, not accounting advice. Checked in LibreOffice Calc only; not opened in Excel or Google Sheets.</t>
        </is>
      </c>
    </row>
    <row r="12">
      <c r="A12" s="12" t="inlineStr">
        <is>
          <t>Google Sheets: File &gt; Import &gt; Upload this .xlsx.</t>
        </is>
      </c>
    </row>
  </sheetData>
  <pageMargins left="0.75" right="0.75" top="1" bottom="1" header="0.5" footer="0.5"/>
  <pageSetup orientation="portrait" paperSize="1"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2026-10-16T07:33:09Z</dcterms:created>
  <dcterms:modified xmlns:dcterms="http://purl.org/dc/terms/" xmlns:xsi="http://www.w3.org/2001/XMLSchema-instance" xsi:type="dcterms:W3CDTF">2026-10-16T07:33:09Z</dcterms:modified>
</cp:coreProperties>
</file>