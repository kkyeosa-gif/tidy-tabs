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Keywords" sheetId="2" state="visible" r:id="rId2"/>
    <sheet name="How to use" sheetId="3" state="visible" r:id="rId3"/>
  </sheets>
  <definedNames>
    <definedName name="_xlnm.Print_Titles" localSheetId="0">'Expenses'!$1:$1</definedName>
    <definedName name="_xlnm.Print_Titles" localSheetId="1">'Keywords'!$1:$1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3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2" fillId="0" borderId="0" pivotButton="0" quotePrefix="0" xfId="0"/>
    <xf numFmtId="165" fontId="0" fillId="4" borderId="0" applyAlignment="1" pivotButton="0" quotePrefix="0" xfId="0">
      <alignment horizontal="right"/>
    </xf>
    <xf numFmtId="1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4" customWidth="1" min="4" max="4"/>
    <col width="3" customWidth="1" min="5" max="5"/>
    <col width="40" customWidth="1" min="6" max="6"/>
    <col width="14" customWidth="1" min="7" max="7"/>
  </cols>
  <sheetData>
    <row r="1" ht="32" customHeight="1">
      <c r="A1" s="1" t="inlineStr">
        <is>
          <t>Date</t>
        </is>
      </c>
      <c r="B1" s="1" t="inlineStr">
        <is>
          <t>Bank description</t>
        </is>
      </c>
      <c r="C1" s="1" t="inlineStr">
        <is>
          <t>Amount</t>
        </is>
      </c>
      <c r="D1" s="1" t="inlineStr">
        <is>
          <t>Category</t>
        </is>
      </c>
      <c r="E1" s="1" t="inlineStr"/>
      <c r="F1" s="1" t="inlineStr">
        <is>
          <t>Category total</t>
        </is>
      </c>
      <c r="G1" s="1" t="inlineStr">
        <is>
          <t>Amount</t>
        </is>
      </c>
    </row>
    <row r="2">
      <c r="A2" s="2" t="n">
        <v>46266</v>
      </c>
      <c r="B2" s="3" t="inlineStr">
        <is>
          <t>SHELL OIL 57442 MANCHESTER NH</t>
        </is>
      </c>
      <c r="C2" s="4" t="n">
        <v>48.2</v>
      </c>
      <c r="D2" s="5">
        <f>IF(B2="","",IFERROR(INDEX(Keywords!$B$2:$B$40,MATCH(1,INDEX((Keywords!$A$2:$A$40&lt;&gt;"")*(Keywords!$B$2:$B$40&lt;&gt;"")*ISNUMBER(SEARCH(Keywords!$A$2:$A$40,B2)),0),0)),"Review"))</f>
        <v/>
      </c>
      <c r="F2" s="3" t="inlineStr">
        <is>
          <t>Fuel</t>
        </is>
      </c>
      <c r="G2" s="6">
        <f>SUMIF($D$2:$D$200,F2,$C$2:$C$200)</f>
        <v/>
      </c>
    </row>
    <row r="3">
      <c r="A3" s="2" t="n">
        <v>46267</v>
      </c>
      <c r="B3" s="3" t="inlineStr">
        <is>
          <t>USPS PO 0245 BOSTON MA 02108</t>
        </is>
      </c>
      <c r="C3" s="4" t="n">
        <v>18.65</v>
      </c>
      <c r="D3" s="5">
        <f>IF(B3="","",IFERROR(INDEX(Keywords!$B$2:$B$40,MATCH(1,INDEX((Keywords!$A$2:$A$40&lt;&gt;"")*(Keywords!$B$2:$B$40&lt;&gt;"")*ISNUMBER(SEARCH(Keywords!$A$2:$A$40,B3)),0),0)),"Review"))</f>
        <v/>
      </c>
      <c r="F3" s="3" t="inlineStr">
        <is>
          <t>Postage</t>
        </is>
      </c>
      <c r="G3" s="6">
        <f>SUMIF($D$2:$D$200,F3,$C$2:$C$200)</f>
        <v/>
      </c>
    </row>
    <row r="4">
      <c r="A4" s="2" t="n">
        <v>46268</v>
      </c>
      <c r="B4" s="3" t="inlineStr">
        <is>
          <t>ETSY INC FEES BROOKLYN NY</t>
        </is>
      </c>
      <c r="C4" s="4" t="n">
        <v>12.4</v>
      </c>
      <c r="D4" s="5">
        <f>IF(B4="","",IFERROR(INDEX(Keywords!$B$2:$B$40,MATCH(1,INDEX((Keywords!$A$2:$A$40&lt;&gt;"")*(Keywords!$B$2:$B$40&lt;&gt;"")*ISNUMBER(SEARCH(Keywords!$A$2:$A$40,B4)),0),0)),"Review"))</f>
        <v/>
      </c>
      <c r="F4" s="3" t="inlineStr">
        <is>
          <t>Fees</t>
        </is>
      </c>
      <c r="G4" s="6">
        <f>SUMIF($D$2:$D$200,F4,$C$2:$C$200)</f>
        <v/>
      </c>
    </row>
    <row r="5">
      <c r="A5" s="2" t="n">
        <v>46269</v>
      </c>
      <c r="B5" s="3" t="inlineStr">
        <is>
          <t>STAPLES 0118 NASHUA NH 03060</t>
        </is>
      </c>
      <c r="C5" s="4" t="n">
        <v>36.99</v>
      </c>
      <c r="D5" s="5">
        <f>IF(B5="","",IFERROR(INDEX(Keywords!$B$2:$B$40,MATCH(1,INDEX((Keywords!$A$2:$A$40&lt;&gt;"")*(Keywords!$B$2:$B$40&lt;&gt;"")*ISNUMBER(SEARCH(Keywords!$A$2:$A$40,B5)),0),0)),"Review"))</f>
        <v/>
      </c>
      <c r="F5" s="3" t="inlineStr">
        <is>
          <t>Supplies</t>
        </is>
      </c>
      <c r="G5" s="6">
        <f>SUMIF($D$2:$D$200,F5,$C$2:$C$200)</f>
        <v/>
      </c>
    </row>
    <row r="6">
      <c r="A6" s="2" t="n">
        <v>46270</v>
      </c>
      <c r="B6" s="3" t="inlineStr">
        <is>
          <t>Adobe Systems 800-833-6687 CA</t>
        </is>
      </c>
      <c r="C6" s="4" t="n">
        <v>22.99</v>
      </c>
      <c r="D6" s="5">
        <f>IF(B6="","",IFERROR(INDEX(Keywords!$B$2:$B$40,MATCH(1,INDEX((Keywords!$A$2:$A$40&lt;&gt;"")*(Keywords!$B$2:$B$40&lt;&gt;"")*ISNUMBER(SEARCH(Keywords!$A$2:$A$40,B6)),0),0)),"Review"))</f>
        <v/>
      </c>
      <c r="F6" s="3" t="inlineStr">
        <is>
          <t>Software</t>
        </is>
      </c>
      <c r="G6" s="6">
        <f>SUMIF($D$2:$D$200,F6,$C$2:$C$200)</f>
        <v/>
      </c>
    </row>
    <row r="7">
      <c r="A7" s="2" t="n">
        <v>46273</v>
      </c>
      <c r="B7" s="3" t="inlineStr">
        <is>
          <t>EXXONMOBIL 4471 PORTLAND ME 04101</t>
        </is>
      </c>
      <c r="C7" s="4" t="n">
        <v>41.35</v>
      </c>
      <c r="D7" s="5">
        <f>IF(B7="","",IFERROR(INDEX(Keywords!$B$2:$B$40,MATCH(1,INDEX((Keywords!$A$2:$A$40&lt;&gt;"")*(Keywords!$B$2:$B$40&lt;&gt;"")*ISNUMBER(SEARCH(Keywords!$A$2:$A$40,B7)),0),0)),"Review"))</f>
        <v/>
      </c>
      <c r="F7" t="inlineStr">
        <is>
          <t>Review</t>
        </is>
      </c>
      <c r="G7" s="6">
        <f>SUMIF($D$2:$D$200,F7,$C$2:$C$200)</f>
        <v/>
      </c>
    </row>
    <row r="8">
      <c r="A8" s="2" t="n">
        <v>46274</v>
      </c>
      <c r="B8" s="3" t="inlineStr">
        <is>
          <t>SQ *JOES DINER 02108 BOSTON MA</t>
        </is>
      </c>
      <c r="C8" s="4" t="n">
        <v>14.5</v>
      </c>
      <c r="D8" s="5">
        <f>IF(B8="","",IFERROR(INDEX(Keywords!$B$2:$B$40,MATCH(1,INDEX((Keywords!$A$2:$A$40&lt;&gt;"")*(Keywords!$B$2:$B$40&lt;&gt;"")*ISNUMBER(SEARCH(Keywords!$A$2:$A$40,B8)),0),0)),"Review"))</f>
        <v/>
      </c>
      <c r="F8" s="7" t="inlineStr">
        <is>
          <t>Total of all amounts</t>
        </is>
      </c>
      <c r="G8" s="8">
        <f>SUM(C2:C200)</f>
        <v/>
      </c>
    </row>
    <row r="9">
      <c r="A9" s="2" t="n">
        <v>46275</v>
      </c>
      <c r="B9" s="3" t="inlineStr">
        <is>
          <t>ULINE *SHIP SUPPLIES 800-295-5510 WI</t>
        </is>
      </c>
      <c r="C9" s="4" t="n">
        <v>87.12</v>
      </c>
      <c r="D9" s="5">
        <f>IF(B9="","",IFERROR(INDEX(Keywords!$B$2:$B$40,MATCH(1,INDEX((Keywords!$A$2:$A$40&lt;&gt;"")*(Keywords!$B$2:$B$40&lt;&gt;"")*ISNUMBER(SEARCH(Keywords!$A$2:$A$40,B9)),0),0)),"Review"))</f>
        <v/>
      </c>
      <c r="F9" s="7" t="inlineStr">
        <is>
          <t>Lines marked Review</t>
        </is>
      </c>
      <c r="G9" s="9">
        <f>COUNTIF(D2:D200,"Review")</f>
        <v/>
      </c>
    </row>
    <row r="10">
      <c r="A10" s="2" t="n">
        <v>46276</v>
      </c>
      <c r="B10" s="3" t="inlineStr">
        <is>
          <t>USPS PO 1187 CONCORD NH 03301</t>
        </is>
      </c>
      <c r="C10" s="4" t="n">
        <v>9.85</v>
      </c>
      <c r="D10" s="5">
        <f>IF(B10="","",IFERROR(INDEX(Keywords!$B$2:$B$40,MATCH(1,INDEX((Keywords!$A$2:$A$40&lt;&gt;"")*(Keywords!$B$2:$B$40&lt;&gt;"")*ISNUMBER(SEARCH(Keywords!$A$2:$A$40,B10)),0),0)),"Review"))</f>
        <v/>
      </c>
      <c r="F10" s="7" t="inlineStr">
        <is>
          <t>Check: category totals add up to the total</t>
        </is>
      </c>
      <c r="G10" s="10">
        <f>IF(AND(ROUND(SUM(G2:G7)-G8,2)=0,COUNTA(C2:C200)=COUNT(C2:C200),SUMPRODUCT((B2:B200="")*(C2:C200&lt;&gt;""))=0),"OK","CHECK")</f>
        <v/>
      </c>
    </row>
    <row r="11">
      <c r="A11" s="2" t="n">
        <v>46277</v>
      </c>
      <c r="B11" s="3" t="inlineStr">
        <is>
          <t>PAYPAL *FEE TRANSFER 402-935-7733</t>
        </is>
      </c>
      <c r="C11" s="4" t="n">
        <v>6.18</v>
      </c>
      <c r="D11" s="5">
        <f>IF(B11="","",IFERROR(INDEX(Keywords!$B$2:$B$40,MATCH(1,INDEX((Keywords!$A$2:$A$40&lt;&gt;"")*(Keywords!$B$2:$B$40&lt;&gt;"")*ISNUMBER(SEARCH(Keywords!$A$2:$A$40,B11)),0),0)),"Review"))</f>
        <v/>
      </c>
    </row>
    <row r="12">
      <c r="A12" s="2" t="n">
        <v>46280</v>
      </c>
      <c r="B12" s="3" t="inlineStr">
        <is>
          <t>shell oil 12009 PORTSMOUTH NH</t>
        </is>
      </c>
      <c r="C12" s="4" t="n">
        <v>52.6</v>
      </c>
      <c r="D12" s="5">
        <f>IF(B12="","",IFERROR(INDEX(Keywords!$B$2:$B$40,MATCH(1,INDEX((Keywords!$A$2:$A$40&lt;&gt;"")*(Keywords!$B$2:$B$40&lt;&gt;"")*ISNUMBER(SEARCH(Keywords!$A$2:$A$40,B12)),0),0)),"Review"))</f>
        <v/>
      </c>
    </row>
    <row r="13">
      <c r="A13" s="2" t="n">
        <v>46281</v>
      </c>
      <c r="B13" s="3" t="inlineStr">
        <is>
          <t>ZOOM.US 888-799-9666 CA</t>
        </is>
      </c>
      <c r="C13" s="4" t="n">
        <v>15.99</v>
      </c>
      <c r="D13" s="5">
        <f>IF(B13="","",IFERROR(INDEX(Keywords!$B$2:$B$40,MATCH(1,INDEX((Keywords!$A$2:$A$40&lt;&gt;"")*(Keywords!$B$2:$B$40&lt;&gt;"")*ISNUMBER(SEARCH(Keywords!$A$2:$A$40,B13)),0),0)),"Review"))</f>
        <v/>
      </c>
    </row>
    <row r="14">
      <c r="A14" s="2" t="n">
        <v>46282</v>
      </c>
      <c r="B14" s="3" t="inlineStr">
        <is>
          <t>STAMPS.COM POSTAGE 800-782-6724</t>
        </is>
      </c>
      <c r="C14" s="4" t="n">
        <v>40</v>
      </c>
      <c r="D14" s="5">
        <f>IF(B14="","",IFERROR(INDEX(Keywords!$B$2:$B$40,MATCH(1,INDEX((Keywords!$A$2:$A$40&lt;&gt;"")*(Keywords!$B$2:$B$40&lt;&gt;"")*ISNUMBER(SEARCH(Keywords!$A$2:$A$40,B14)),0),0)),"Review"))</f>
        <v/>
      </c>
    </row>
    <row r="15">
      <c r="A15" s="2" t="n">
        <v>46283</v>
      </c>
      <c r="B15" s="3" t="inlineStr">
        <is>
          <t>OFFICE DEPOT #2211 WORCESTER MA 01608</t>
        </is>
      </c>
      <c r="C15" s="4" t="n">
        <v>29.47</v>
      </c>
      <c r="D15" s="5">
        <f>IF(B15="","",IFERROR(INDEX(Keywords!$B$2:$B$40,MATCH(1,INDEX((Keywords!$A$2:$A$40&lt;&gt;"")*(Keywords!$B$2:$B$40&lt;&gt;"")*ISNUMBER(SEARCH(Keywords!$A$2:$A$40,B15)),0),0)),"Review"))</f>
        <v/>
      </c>
    </row>
    <row r="16">
      <c r="A16" s="2" t="n">
        <v>46284</v>
      </c>
      <c r="B16" s="3" t="inlineStr">
        <is>
          <t>MARKET BOOTH DEPOSIT ACH</t>
        </is>
      </c>
      <c r="C16" s="4" t="n">
        <v>75</v>
      </c>
      <c r="D16" s="5">
        <f>IF(B16="","",IFERROR(INDEX(Keywords!$B$2:$B$40,MATCH(1,INDEX((Keywords!$A$2:$A$40&lt;&gt;"")*(Keywords!$B$2:$B$40&lt;&gt;"")*ISNUMBER(SEARCH(Keywords!$A$2:$A$40,B16)),0),0)),"Review"))</f>
        <v/>
      </c>
    </row>
    <row r="17">
      <c r="A17" s="2" t="n">
        <v>46287</v>
      </c>
      <c r="B17" s="3" t="inlineStr">
        <is>
          <t>ETSY INC LISTING FEE BROOKLYN NY</t>
        </is>
      </c>
      <c r="C17" s="4" t="n">
        <v>4.8</v>
      </c>
      <c r="D17" s="5">
        <f>IF(B17="","",IFERROR(INDEX(Keywords!$B$2:$B$40,MATCH(1,INDEX((Keywords!$A$2:$A$40&lt;&gt;"")*(Keywords!$B$2:$B$40&lt;&gt;"")*ISNUMBER(SEARCH(Keywords!$A$2:$A$40,B17)),0),0)),"Review"))</f>
        <v/>
      </c>
    </row>
    <row r="18">
      <c r="A18" s="2" t="n">
        <v>46288</v>
      </c>
      <c r="B18" s="3" t="inlineStr">
        <is>
          <t>SHELL OIL 57442 MANCHESTER NH</t>
        </is>
      </c>
      <c r="C18" s="4" t="n">
        <v>44.1</v>
      </c>
      <c r="D18" s="5">
        <f>IF(B18="","",IFERROR(INDEX(Keywords!$B$2:$B$40,MATCH(1,INDEX((Keywords!$A$2:$A$40&lt;&gt;"")*(Keywords!$B$2:$B$40&lt;&gt;"")*ISNUMBER(SEARCH(Keywords!$A$2:$A$40,B18)),0),0)),"Review"))</f>
        <v/>
      </c>
    </row>
    <row r="19">
      <c r="A19" s="2" t="n">
        <v>46289</v>
      </c>
      <c r="B19" s="3" t="inlineStr">
        <is>
          <t>QUICKBOOKS *INTUIT 888-246-8648 CA</t>
        </is>
      </c>
      <c r="C19" s="4" t="n">
        <v>30</v>
      </c>
      <c r="D19" s="5">
        <f>IF(B19="","",IFERROR(INDEX(Keywords!$B$2:$B$40,MATCH(1,INDEX((Keywords!$A$2:$A$40&lt;&gt;"")*(Keywords!$B$2:$B$40&lt;&gt;"")*ISNUMBER(SEARCH(Keywords!$A$2:$A$40,B19)),0),0)),"Review"))</f>
        <v/>
      </c>
    </row>
    <row r="20">
      <c r="A20" s="2" t="n">
        <v>46290</v>
      </c>
      <c r="B20" s="3" t="inlineStr">
        <is>
          <t>USPS PO 0245 BOSTON MA 02108</t>
        </is>
      </c>
      <c r="C20" s="4" t="n">
        <v>5.4</v>
      </c>
      <c r="D20" s="5">
        <f>IF(B20="","",IFERROR(INDEX(Keywords!$B$2:$B$40,MATCH(1,INDEX((Keywords!$A$2:$A$40&lt;&gt;"")*(Keywords!$B$2:$B$40&lt;&gt;"")*ISNUMBER(SEARCH(Keywords!$A$2:$A$40,B20)),0),0)),"Review"))</f>
        <v/>
      </c>
    </row>
    <row r="21">
      <c r="A21" s="2" t="n">
        <v>46291</v>
      </c>
      <c r="B21" s="3" t="inlineStr">
        <is>
          <t>Staples Inc 0118 NASHUA NH</t>
        </is>
      </c>
      <c r="C21" s="4" t="n">
        <v>18.2</v>
      </c>
      <c r="D21" s="5">
        <f>IF(B21="","",IFERROR(INDEX(Keywords!$B$2:$B$40,MATCH(1,INDEX((Keywords!$A$2:$A$40&lt;&gt;"")*(Keywords!$B$2:$B$40&lt;&gt;"")*ISNUMBER(SEARCH(Keywords!$A$2:$A$40,B21)),0),0)),"Review"))</f>
        <v/>
      </c>
    </row>
    <row r="22">
      <c r="A22" s="2" t="n">
        <v>46294</v>
      </c>
      <c r="B22" s="3" t="inlineStr">
        <is>
          <t>CHECK 1042</t>
        </is>
      </c>
      <c r="C22" s="4" t="n">
        <v>120</v>
      </c>
      <c r="D22" s="5">
        <f>IF(B22="","",IFERROR(INDEX(Keywords!$B$2:$B$40,MATCH(1,INDEX((Keywords!$A$2:$A$40&lt;&gt;"")*(Keywords!$B$2:$B$40&lt;&gt;"")*ISNUMBER(SEARCH(Keywords!$A$2:$A$40,B22)),0),0)),"Review"))</f>
        <v/>
      </c>
    </row>
    <row r="23">
      <c r="A23" s="2" t="n">
        <v>46294</v>
      </c>
      <c r="B23" s="3" t="inlineStr">
        <is>
          <t>ADOBE *CREATIVE CLOUD</t>
        </is>
      </c>
      <c r="C23" s="4" t="n">
        <v>22.99</v>
      </c>
      <c r="D23" s="5">
        <f>IF(B23="","",IFERROR(INDEX(Keywords!$B$2:$B$40,MATCH(1,INDEX((Keywords!$A$2:$A$40&lt;&gt;"")*(Keywords!$B$2:$B$40&lt;&gt;"")*ISNUMBER(SEARCH(Keywords!$A$2:$A$40,B23)),0),0)),"Review"))</f>
        <v/>
      </c>
    </row>
    <row r="24">
      <c r="A24" s="2" t="n">
        <v>46295</v>
      </c>
      <c r="B24" s="3" t="inlineStr">
        <is>
          <t>EXXONMOBIL 4471 PORTLAND ME 04101</t>
        </is>
      </c>
      <c r="C24" s="4" t="n">
        <v>38.77</v>
      </c>
      <c r="D24" s="5">
        <f>IF(B24="","",IFERROR(INDEX(Keywords!$B$2:$B$40,MATCH(1,INDEX((Keywords!$A$2:$A$40&lt;&gt;"")*(Keywords!$B$2:$B$40&lt;&gt;"")*ISNUMBER(SEARCH(Keywords!$A$2:$A$40,B24)),0),0)),"Review"))</f>
        <v/>
      </c>
    </row>
    <row r="25">
      <c r="A25" s="2" t="n">
        <v>46295</v>
      </c>
      <c r="B25" s="3" t="inlineStr">
        <is>
          <t>PAYPAL *FEE TRANSFER 402-935-7733</t>
        </is>
      </c>
      <c r="C25" s="4" t="n">
        <v>3.22</v>
      </c>
      <c r="D25" s="5">
        <f>IF(B25="","",IFERROR(INDEX(Keywords!$B$2:$B$40,MATCH(1,INDEX((Keywords!$A$2:$A$40&lt;&gt;"")*(Keywords!$B$2:$B$40&lt;&gt;"")*ISNUMBER(SEARCH(Keywords!$A$2:$A$40,B25)),0),0)),"Review"))</f>
        <v/>
      </c>
    </row>
    <row r="26">
      <c r="A26" s="2" t="n">
        <v>46295</v>
      </c>
      <c r="B26" s="3" t="inlineStr">
        <is>
          <t>DUNKIN #3349 SALEM NH 03079</t>
        </is>
      </c>
      <c r="C26" s="4" t="n">
        <v>8.449999999999999</v>
      </c>
      <c r="D26" s="5">
        <f>IF(B26="","",IFERROR(INDEX(Keywords!$B$2:$B$40,MATCH(1,INDEX((Keywords!$A$2:$A$40&lt;&gt;"")*(Keywords!$B$2:$B$40&lt;&gt;"")*ISNUMBER(SEARCH(Keywords!$A$2:$A$40,B26)),0),0)),"Review"))</f>
        <v/>
      </c>
    </row>
    <row r="27">
      <c r="A27" s="2" t="n"/>
      <c r="B27" s="3" t="n"/>
      <c r="C27" s="4" t="n"/>
      <c r="D27" s="5">
        <f>IF(B27="","",IFERROR(INDEX(Keywords!$B$2:$B$40,MATCH(1,INDEX((Keywords!$A$2:$A$40&lt;&gt;"")*(Keywords!$B$2:$B$40&lt;&gt;"")*ISNUMBER(SEARCH(Keywords!$A$2:$A$40,B27)),0),0)),"Review"))</f>
        <v/>
      </c>
    </row>
    <row r="28">
      <c r="A28" s="2" t="n"/>
      <c r="B28" s="3" t="n"/>
      <c r="C28" s="4" t="n"/>
      <c r="D28" s="5">
        <f>IF(B28="","",IFERROR(INDEX(Keywords!$B$2:$B$40,MATCH(1,INDEX((Keywords!$A$2:$A$40&lt;&gt;"")*(Keywords!$B$2:$B$40&lt;&gt;"")*ISNUMBER(SEARCH(Keywords!$A$2:$A$40,B28)),0),0)),"Review"))</f>
        <v/>
      </c>
    </row>
    <row r="29">
      <c r="A29" s="2" t="n"/>
      <c r="B29" s="3" t="n"/>
      <c r="C29" s="4" t="n"/>
      <c r="D29" s="5">
        <f>IF(B29="","",IFERROR(INDEX(Keywords!$B$2:$B$40,MATCH(1,INDEX((Keywords!$A$2:$A$40&lt;&gt;"")*(Keywords!$B$2:$B$40&lt;&gt;"")*ISNUMBER(SEARCH(Keywords!$A$2:$A$40,B29)),0),0)),"Review"))</f>
        <v/>
      </c>
    </row>
    <row r="30">
      <c r="A30" s="2" t="n"/>
      <c r="B30" s="3" t="n"/>
      <c r="C30" s="4" t="n"/>
      <c r="D30" s="5">
        <f>IF(B30="","",IFERROR(INDEX(Keywords!$B$2:$B$40,MATCH(1,INDEX((Keywords!$A$2:$A$40&lt;&gt;"")*(Keywords!$B$2:$B$40&lt;&gt;"")*ISNUMBER(SEARCH(Keywords!$A$2:$A$40,B30)),0),0)),"Review"))</f>
        <v/>
      </c>
    </row>
    <row r="31">
      <c r="A31" s="2" t="n"/>
      <c r="B31" s="3" t="n"/>
      <c r="C31" s="4" t="n"/>
      <c r="D31" s="5">
        <f>IF(B31="","",IFERROR(INDEX(Keywords!$B$2:$B$40,MATCH(1,INDEX((Keywords!$A$2:$A$40&lt;&gt;"")*(Keywords!$B$2:$B$40&lt;&gt;"")*ISNUMBER(SEARCH(Keywords!$A$2:$A$40,B31)),0),0)),"Review"))</f>
        <v/>
      </c>
    </row>
    <row r="32">
      <c r="A32" s="2" t="n"/>
      <c r="B32" s="3" t="n"/>
      <c r="C32" s="4" t="n"/>
      <c r="D32" s="5">
        <f>IF(B32="","",IFERROR(INDEX(Keywords!$B$2:$B$40,MATCH(1,INDEX((Keywords!$A$2:$A$40&lt;&gt;"")*(Keywords!$B$2:$B$40&lt;&gt;"")*ISNUMBER(SEARCH(Keywords!$A$2:$A$40,B32)),0),0)),"Review"))</f>
        <v/>
      </c>
    </row>
    <row r="33">
      <c r="A33" s="2" t="n"/>
      <c r="B33" s="3" t="n"/>
      <c r="C33" s="4" t="n"/>
      <c r="D33" s="5">
        <f>IF(B33="","",IFERROR(INDEX(Keywords!$B$2:$B$40,MATCH(1,INDEX((Keywords!$A$2:$A$40&lt;&gt;"")*(Keywords!$B$2:$B$40&lt;&gt;"")*ISNUMBER(SEARCH(Keywords!$A$2:$A$40,B33)),0),0)),"Review"))</f>
        <v/>
      </c>
    </row>
    <row r="34">
      <c r="A34" s="2" t="n"/>
      <c r="B34" s="3" t="n"/>
      <c r="C34" s="4" t="n"/>
      <c r="D34" s="5">
        <f>IF(B34="","",IFERROR(INDEX(Keywords!$B$2:$B$40,MATCH(1,INDEX((Keywords!$A$2:$A$40&lt;&gt;"")*(Keywords!$B$2:$B$40&lt;&gt;"")*ISNUMBER(SEARCH(Keywords!$A$2:$A$40,B34)),0),0)),"Review"))</f>
        <v/>
      </c>
    </row>
    <row r="35">
      <c r="A35" s="2" t="n"/>
      <c r="B35" s="3" t="n"/>
      <c r="C35" s="4" t="n"/>
      <c r="D35" s="5">
        <f>IF(B35="","",IFERROR(INDEX(Keywords!$B$2:$B$40,MATCH(1,INDEX((Keywords!$A$2:$A$40&lt;&gt;"")*(Keywords!$B$2:$B$40&lt;&gt;"")*ISNUMBER(SEARCH(Keywords!$A$2:$A$40,B35)),0),0)),"Review"))</f>
        <v/>
      </c>
    </row>
    <row r="36">
      <c r="A36" s="2" t="n"/>
      <c r="B36" s="3" t="n"/>
      <c r="C36" s="4" t="n"/>
      <c r="D36" s="5">
        <f>IF(B36="","",IFERROR(INDEX(Keywords!$B$2:$B$40,MATCH(1,INDEX((Keywords!$A$2:$A$40&lt;&gt;"")*(Keywords!$B$2:$B$40&lt;&gt;"")*ISNUMBER(SEARCH(Keywords!$A$2:$A$40,B36)),0),0)),"Review"))</f>
        <v/>
      </c>
    </row>
    <row r="37">
      <c r="A37" s="2" t="n"/>
      <c r="B37" s="3" t="n"/>
      <c r="C37" s="4" t="n"/>
      <c r="D37" s="5">
        <f>IF(B37="","",IFERROR(INDEX(Keywords!$B$2:$B$40,MATCH(1,INDEX((Keywords!$A$2:$A$40&lt;&gt;"")*(Keywords!$B$2:$B$40&lt;&gt;"")*ISNUMBER(SEARCH(Keywords!$A$2:$A$40,B37)),0),0)),"Review"))</f>
        <v/>
      </c>
    </row>
    <row r="38">
      <c r="A38" s="2" t="n"/>
      <c r="B38" s="3" t="n"/>
      <c r="C38" s="4" t="n"/>
      <c r="D38" s="5">
        <f>IF(B38="","",IFERROR(INDEX(Keywords!$B$2:$B$40,MATCH(1,INDEX((Keywords!$A$2:$A$40&lt;&gt;"")*(Keywords!$B$2:$B$40&lt;&gt;"")*ISNUMBER(SEARCH(Keywords!$A$2:$A$40,B38)),0),0)),"Review"))</f>
        <v/>
      </c>
    </row>
    <row r="39">
      <c r="A39" s="2" t="n"/>
      <c r="B39" s="3" t="n"/>
      <c r="C39" s="4" t="n"/>
      <c r="D39" s="5">
        <f>IF(B39="","",IFERROR(INDEX(Keywords!$B$2:$B$40,MATCH(1,INDEX((Keywords!$A$2:$A$40&lt;&gt;"")*(Keywords!$B$2:$B$40&lt;&gt;"")*ISNUMBER(SEARCH(Keywords!$A$2:$A$40,B39)),0),0)),"Review"))</f>
        <v/>
      </c>
    </row>
    <row r="40">
      <c r="A40" s="2" t="n"/>
      <c r="B40" s="3" t="n"/>
      <c r="C40" s="4" t="n"/>
      <c r="D40" s="5">
        <f>IF(B40="","",IFERROR(INDEX(Keywords!$B$2:$B$40,MATCH(1,INDEX((Keywords!$A$2:$A$40&lt;&gt;"")*(Keywords!$B$2:$B$40&lt;&gt;"")*ISNUMBER(SEARCH(Keywords!$A$2:$A$40,B40)),0),0)),"Review"))</f>
        <v/>
      </c>
    </row>
    <row r="41">
      <c r="A41" s="2" t="n"/>
      <c r="B41" s="3" t="n"/>
      <c r="C41" s="4" t="n"/>
      <c r="D41" s="5">
        <f>IF(B41="","",IFERROR(INDEX(Keywords!$B$2:$B$40,MATCH(1,INDEX((Keywords!$A$2:$A$40&lt;&gt;"")*(Keywords!$B$2:$B$40&lt;&gt;"")*ISNUMBER(SEARCH(Keywords!$A$2:$A$40,B41)),0),0)),"Review"))</f>
        <v/>
      </c>
    </row>
    <row r="42">
      <c r="A42" s="2" t="n"/>
      <c r="B42" s="3" t="n"/>
      <c r="C42" s="4" t="n"/>
      <c r="D42" s="5">
        <f>IF(B42="","",IFERROR(INDEX(Keywords!$B$2:$B$40,MATCH(1,INDEX((Keywords!$A$2:$A$40&lt;&gt;"")*(Keywords!$B$2:$B$40&lt;&gt;"")*ISNUMBER(SEARCH(Keywords!$A$2:$A$40,B42)),0),0)),"Review"))</f>
        <v/>
      </c>
    </row>
    <row r="43">
      <c r="A43" s="2" t="n"/>
      <c r="B43" s="3" t="n"/>
      <c r="C43" s="4" t="n"/>
      <c r="D43" s="5">
        <f>IF(B43="","",IFERROR(INDEX(Keywords!$B$2:$B$40,MATCH(1,INDEX((Keywords!$A$2:$A$40&lt;&gt;"")*(Keywords!$B$2:$B$40&lt;&gt;"")*ISNUMBER(SEARCH(Keywords!$A$2:$A$40,B43)),0),0)),"Review"))</f>
        <v/>
      </c>
    </row>
    <row r="44">
      <c r="A44" s="2" t="n"/>
      <c r="B44" s="3" t="n"/>
      <c r="C44" s="4" t="n"/>
      <c r="D44" s="5">
        <f>IF(B44="","",IFERROR(INDEX(Keywords!$B$2:$B$40,MATCH(1,INDEX((Keywords!$A$2:$A$40&lt;&gt;"")*(Keywords!$B$2:$B$40&lt;&gt;"")*ISNUMBER(SEARCH(Keywords!$A$2:$A$40,B44)),0),0)),"Review"))</f>
        <v/>
      </c>
    </row>
    <row r="45">
      <c r="A45" s="2" t="n"/>
      <c r="B45" s="3" t="n"/>
      <c r="C45" s="4" t="n"/>
      <c r="D45" s="5">
        <f>IF(B45="","",IFERROR(INDEX(Keywords!$B$2:$B$40,MATCH(1,INDEX((Keywords!$A$2:$A$40&lt;&gt;"")*(Keywords!$B$2:$B$40&lt;&gt;"")*ISNUMBER(SEARCH(Keywords!$A$2:$A$40,B45)),0),0)),"Review"))</f>
        <v/>
      </c>
    </row>
    <row r="46">
      <c r="A46" s="2" t="n"/>
      <c r="B46" s="3" t="n"/>
      <c r="C46" s="4" t="n"/>
      <c r="D46" s="5">
        <f>IF(B46="","",IFERROR(INDEX(Keywords!$B$2:$B$40,MATCH(1,INDEX((Keywords!$A$2:$A$40&lt;&gt;"")*(Keywords!$B$2:$B$40&lt;&gt;"")*ISNUMBER(SEARCH(Keywords!$A$2:$A$40,B46)),0),0)),"Review"))</f>
        <v/>
      </c>
    </row>
    <row r="47">
      <c r="A47" s="2" t="n"/>
      <c r="B47" s="3" t="n"/>
      <c r="C47" s="4" t="n"/>
      <c r="D47" s="5">
        <f>IF(B47="","",IFERROR(INDEX(Keywords!$B$2:$B$40,MATCH(1,INDEX((Keywords!$A$2:$A$40&lt;&gt;"")*(Keywords!$B$2:$B$40&lt;&gt;"")*ISNUMBER(SEARCH(Keywords!$A$2:$A$40,B47)),0),0)),"Review"))</f>
        <v/>
      </c>
    </row>
    <row r="48">
      <c r="A48" s="2" t="n"/>
      <c r="B48" s="3" t="n"/>
      <c r="C48" s="4" t="n"/>
      <c r="D48" s="5">
        <f>IF(B48="","",IFERROR(INDEX(Keywords!$B$2:$B$40,MATCH(1,INDEX((Keywords!$A$2:$A$40&lt;&gt;"")*(Keywords!$B$2:$B$40&lt;&gt;"")*ISNUMBER(SEARCH(Keywords!$A$2:$A$40,B48)),0),0)),"Review"))</f>
        <v/>
      </c>
    </row>
    <row r="49">
      <c r="A49" s="2" t="n"/>
      <c r="B49" s="3" t="n"/>
      <c r="C49" s="4" t="n"/>
      <c r="D49" s="5">
        <f>IF(B49="","",IFERROR(INDEX(Keywords!$B$2:$B$40,MATCH(1,INDEX((Keywords!$A$2:$A$40&lt;&gt;"")*(Keywords!$B$2:$B$40&lt;&gt;"")*ISNUMBER(SEARCH(Keywords!$A$2:$A$40,B49)),0),0)),"Review"))</f>
        <v/>
      </c>
    </row>
    <row r="50">
      <c r="A50" s="2" t="n"/>
      <c r="B50" s="3" t="n"/>
      <c r="C50" s="4" t="n"/>
      <c r="D50" s="5">
        <f>IF(B50="","",IFERROR(INDEX(Keywords!$B$2:$B$40,MATCH(1,INDEX((Keywords!$A$2:$A$40&lt;&gt;"")*(Keywords!$B$2:$B$40&lt;&gt;"")*ISNUMBER(SEARCH(Keywords!$A$2:$A$40,B50)),0),0)),"Review"))</f>
        <v/>
      </c>
    </row>
    <row r="51">
      <c r="A51" s="2" t="n"/>
      <c r="B51" s="3" t="n"/>
      <c r="C51" s="4" t="n"/>
      <c r="D51" s="5">
        <f>IF(B51="","",IFERROR(INDEX(Keywords!$B$2:$B$40,MATCH(1,INDEX((Keywords!$A$2:$A$40&lt;&gt;"")*(Keywords!$B$2:$B$40&lt;&gt;"")*ISNUMBER(SEARCH(Keywords!$A$2:$A$40,B51)),0),0)),"Review"))</f>
        <v/>
      </c>
    </row>
    <row r="52">
      <c r="A52" s="2" t="n"/>
      <c r="B52" s="3" t="n"/>
      <c r="C52" s="4" t="n"/>
      <c r="D52" s="5">
        <f>IF(B52="","",IFERROR(INDEX(Keywords!$B$2:$B$40,MATCH(1,INDEX((Keywords!$A$2:$A$40&lt;&gt;"")*(Keywords!$B$2:$B$40&lt;&gt;"")*ISNUMBER(SEARCH(Keywords!$A$2:$A$40,B52)),0),0)),"Review"))</f>
        <v/>
      </c>
    </row>
    <row r="53">
      <c r="A53" s="2" t="n"/>
      <c r="B53" s="3" t="n"/>
      <c r="C53" s="4" t="n"/>
      <c r="D53" s="5">
        <f>IF(B53="","",IFERROR(INDEX(Keywords!$B$2:$B$40,MATCH(1,INDEX((Keywords!$A$2:$A$40&lt;&gt;"")*(Keywords!$B$2:$B$40&lt;&gt;"")*ISNUMBER(SEARCH(Keywords!$A$2:$A$40,B53)),0),0)),"Review"))</f>
        <v/>
      </c>
    </row>
    <row r="54">
      <c r="A54" s="2" t="n"/>
      <c r="B54" s="3" t="n"/>
      <c r="C54" s="4" t="n"/>
      <c r="D54" s="5">
        <f>IF(B54="","",IFERROR(INDEX(Keywords!$B$2:$B$40,MATCH(1,INDEX((Keywords!$A$2:$A$40&lt;&gt;"")*(Keywords!$B$2:$B$40&lt;&gt;"")*ISNUMBER(SEARCH(Keywords!$A$2:$A$40,B54)),0),0)),"Review"))</f>
        <v/>
      </c>
    </row>
    <row r="55">
      <c r="A55" s="2" t="n"/>
      <c r="B55" s="3" t="n"/>
      <c r="C55" s="4" t="n"/>
      <c r="D55" s="5">
        <f>IF(B55="","",IFERROR(INDEX(Keywords!$B$2:$B$40,MATCH(1,INDEX((Keywords!$A$2:$A$40&lt;&gt;"")*(Keywords!$B$2:$B$40&lt;&gt;"")*ISNUMBER(SEARCH(Keywords!$A$2:$A$40,B55)),0),0)),"Review"))</f>
        <v/>
      </c>
    </row>
    <row r="56">
      <c r="A56" s="2" t="n"/>
      <c r="B56" s="3" t="n"/>
      <c r="C56" s="4" t="n"/>
      <c r="D56" s="5">
        <f>IF(B56="","",IFERROR(INDEX(Keywords!$B$2:$B$40,MATCH(1,INDEX((Keywords!$A$2:$A$40&lt;&gt;"")*(Keywords!$B$2:$B$40&lt;&gt;"")*ISNUMBER(SEARCH(Keywords!$A$2:$A$40,B56)),0),0)),"Review"))</f>
        <v/>
      </c>
    </row>
    <row r="57">
      <c r="A57" s="2" t="n"/>
      <c r="B57" s="3" t="n"/>
      <c r="C57" s="4" t="n"/>
      <c r="D57" s="5">
        <f>IF(B57="","",IFERROR(INDEX(Keywords!$B$2:$B$40,MATCH(1,INDEX((Keywords!$A$2:$A$40&lt;&gt;"")*(Keywords!$B$2:$B$40&lt;&gt;"")*ISNUMBER(SEARCH(Keywords!$A$2:$A$40,B57)),0),0)),"Review"))</f>
        <v/>
      </c>
    </row>
    <row r="58">
      <c r="A58" s="2" t="n"/>
      <c r="B58" s="3" t="n"/>
      <c r="C58" s="4" t="n"/>
      <c r="D58" s="5">
        <f>IF(B58="","",IFERROR(INDEX(Keywords!$B$2:$B$40,MATCH(1,INDEX((Keywords!$A$2:$A$40&lt;&gt;"")*(Keywords!$B$2:$B$40&lt;&gt;"")*ISNUMBER(SEARCH(Keywords!$A$2:$A$40,B58)),0),0)),"Review"))</f>
        <v/>
      </c>
    </row>
    <row r="59">
      <c r="A59" s="2" t="n"/>
      <c r="B59" s="3" t="n"/>
      <c r="C59" s="4" t="n"/>
      <c r="D59" s="5">
        <f>IF(B59="","",IFERROR(INDEX(Keywords!$B$2:$B$40,MATCH(1,INDEX((Keywords!$A$2:$A$40&lt;&gt;"")*(Keywords!$B$2:$B$40&lt;&gt;"")*ISNUMBER(SEARCH(Keywords!$A$2:$A$40,B59)),0),0)),"Review"))</f>
        <v/>
      </c>
    </row>
    <row r="60">
      <c r="A60" s="2" t="n"/>
      <c r="B60" s="3" t="n"/>
      <c r="C60" s="4" t="n"/>
      <c r="D60" s="5">
        <f>IF(B60="","",IFERROR(INDEX(Keywords!$B$2:$B$40,MATCH(1,INDEX((Keywords!$A$2:$A$40&lt;&gt;"")*(Keywords!$B$2:$B$40&lt;&gt;"")*ISNUMBER(SEARCH(Keywords!$A$2:$A$40,B60)),0),0)),"Review"))</f>
        <v/>
      </c>
    </row>
    <row r="61">
      <c r="A61" s="2" t="n"/>
      <c r="B61" s="3" t="n"/>
      <c r="C61" s="4" t="n"/>
      <c r="D61" s="5">
        <f>IF(B61="","",IFERROR(INDEX(Keywords!$B$2:$B$40,MATCH(1,INDEX((Keywords!$A$2:$A$40&lt;&gt;"")*(Keywords!$B$2:$B$40&lt;&gt;"")*ISNUMBER(SEARCH(Keywords!$A$2:$A$40,B61)),0),0)),"Review"))</f>
        <v/>
      </c>
    </row>
    <row r="62">
      <c r="A62" s="2" t="n"/>
      <c r="B62" s="3" t="n"/>
      <c r="C62" s="4" t="n"/>
      <c r="D62" s="5">
        <f>IF(B62="","",IFERROR(INDEX(Keywords!$B$2:$B$40,MATCH(1,INDEX((Keywords!$A$2:$A$40&lt;&gt;"")*(Keywords!$B$2:$B$40&lt;&gt;"")*ISNUMBER(SEARCH(Keywords!$A$2:$A$40,B62)),0),0)),"Review"))</f>
        <v/>
      </c>
    </row>
    <row r="63">
      <c r="A63" s="2" t="n"/>
      <c r="B63" s="3" t="n"/>
      <c r="C63" s="4" t="n"/>
      <c r="D63" s="5">
        <f>IF(B63="","",IFERROR(INDEX(Keywords!$B$2:$B$40,MATCH(1,INDEX((Keywords!$A$2:$A$40&lt;&gt;"")*(Keywords!$B$2:$B$40&lt;&gt;"")*ISNUMBER(SEARCH(Keywords!$A$2:$A$40,B63)),0),0)),"Review"))</f>
        <v/>
      </c>
    </row>
    <row r="64">
      <c r="A64" s="2" t="n"/>
      <c r="B64" s="3" t="n"/>
      <c r="C64" s="4" t="n"/>
      <c r="D64" s="5">
        <f>IF(B64="","",IFERROR(INDEX(Keywords!$B$2:$B$40,MATCH(1,INDEX((Keywords!$A$2:$A$40&lt;&gt;"")*(Keywords!$B$2:$B$40&lt;&gt;"")*ISNUMBER(SEARCH(Keywords!$A$2:$A$40,B64)),0),0)),"Review"))</f>
        <v/>
      </c>
    </row>
    <row r="65">
      <c r="A65" s="2" t="n"/>
      <c r="B65" s="3" t="n"/>
      <c r="C65" s="4" t="n"/>
      <c r="D65" s="5">
        <f>IF(B65="","",IFERROR(INDEX(Keywords!$B$2:$B$40,MATCH(1,INDEX((Keywords!$A$2:$A$40&lt;&gt;"")*(Keywords!$B$2:$B$40&lt;&gt;"")*ISNUMBER(SEARCH(Keywords!$A$2:$A$40,B65)),0),0)),"Review"))</f>
        <v/>
      </c>
    </row>
    <row r="66">
      <c r="A66" s="2" t="n"/>
      <c r="B66" s="3" t="n"/>
      <c r="C66" s="4" t="n"/>
      <c r="D66" s="5">
        <f>IF(B66="","",IFERROR(INDEX(Keywords!$B$2:$B$40,MATCH(1,INDEX((Keywords!$A$2:$A$40&lt;&gt;"")*(Keywords!$B$2:$B$40&lt;&gt;"")*ISNUMBER(SEARCH(Keywords!$A$2:$A$40,B66)),0),0)),"Review"))</f>
        <v/>
      </c>
    </row>
    <row r="67">
      <c r="A67" s="2" t="n"/>
      <c r="B67" s="3" t="n"/>
      <c r="C67" s="4" t="n"/>
      <c r="D67" s="5">
        <f>IF(B67="","",IFERROR(INDEX(Keywords!$B$2:$B$40,MATCH(1,INDEX((Keywords!$A$2:$A$40&lt;&gt;"")*(Keywords!$B$2:$B$40&lt;&gt;"")*ISNUMBER(SEARCH(Keywords!$A$2:$A$40,B67)),0),0)),"Review"))</f>
        <v/>
      </c>
    </row>
    <row r="68">
      <c r="A68" s="2" t="n"/>
      <c r="B68" s="3" t="n"/>
      <c r="C68" s="4" t="n"/>
      <c r="D68" s="5">
        <f>IF(B68="","",IFERROR(INDEX(Keywords!$B$2:$B$40,MATCH(1,INDEX((Keywords!$A$2:$A$40&lt;&gt;"")*(Keywords!$B$2:$B$40&lt;&gt;"")*ISNUMBER(SEARCH(Keywords!$A$2:$A$40,B68)),0),0)),"Review"))</f>
        <v/>
      </c>
    </row>
    <row r="69">
      <c r="A69" s="2" t="n"/>
      <c r="B69" s="3" t="n"/>
      <c r="C69" s="4" t="n"/>
      <c r="D69" s="5">
        <f>IF(B69="","",IFERROR(INDEX(Keywords!$B$2:$B$40,MATCH(1,INDEX((Keywords!$A$2:$A$40&lt;&gt;"")*(Keywords!$B$2:$B$40&lt;&gt;"")*ISNUMBER(SEARCH(Keywords!$A$2:$A$40,B69)),0),0)),"Review"))</f>
        <v/>
      </c>
    </row>
    <row r="70">
      <c r="A70" s="2" t="n"/>
      <c r="B70" s="3" t="n"/>
      <c r="C70" s="4" t="n"/>
      <c r="D70" s="5">
        <f>IF(B70="","",IFERROR(INDEX(Keywords!$B$2:$B$40,MATCH(1,INDEX((Keywords!$A$2:$A$40&lt;&gt;"")*(Keywords!$B$2:$B$40&lt;&gt;"")*ISNUMBER(SEARCH(Keywords!$A$2:$A$40,B70)),0),0)),"Review"))</f>
        <v/>
      </c>
    </row>
    <row r="71">
      <c r="A71" s="2" t="n"/>
      <c r="B71" s="3" t="n"/>
      <c r="C71" s="4" t="n"/>
      <c r="D71" s="5">
        <f>IF(B71="","",IFERROR(INDEX(Keywords!$B$2:$B$40,MATCH(1,INDEX((Keywords!$A$2:$A$40&lt;&gt;"")*(Keywords!$B$2:$B$40&lt;&gt;"")*ISNUMBER(SEARCH(Keywords!$A$2:$A$40,B71)),0),0)),"Review"))</f>
        <v/>
      </c>
    </row>
    <row r="72">
      <c r="A72" s="2" t="n"/>
      <c r="B72" s="3" t="n"/>
      <c r="C72" s="4" t="n"/>
      <c r="D72" s="5">
        <f>IF(B72="","",IFERROR(INDEX(Keywords!$B$2:$B$40,MATCH(1,INDEX((Keywords!$A$2:$A$40&lt;&gt;"")*(Keywords!$B$2:$B$40&lt;&gt;"")*ISNUMBER(SEARCH(Keywords!$A$2:$A$40,B72)),0),0)),"Review"))</f>
        <v/>
      </c>
    </row>
    <row r="73">
      <c r="A73" s="2" t="n"/>
      <c r="B73" s="3" t="n"/>
      <c r="C73" s="4" t="n"/>
      <c r="D73" s="5">
        <f>IF(B73="","",IFERROR(INDEX(Keywords!$B$2:$B$40,MATCH(1,INDEX((Keywords!$A$2:$A$40&lt;&gt;"")*(Keywords!$B$2:$B$40&lt;&gt;"")*ISNUMBER(SEARCH(Keywords!$A$2:$A$40,B73)),0),0)),"Review"))</f>
        <v/>
      </c>
    </row>
    <row r="74">
      <c r="A74" s="2" t="n"/>
      <c r="B74" s="3" t="n"/>
      <c r="C74" s="4" t="n"/>
      <c r="D74" s="5">
        <f>IF(B74="","",IFERROR(INDEX(Keywords!$B$2:$B$40,MATCH(1,INDEX((Keywords!$A$2:$A$40&lt;&gt;"")*(Keywords!$B$2:$B$40&lt;&gt;"")*ISNUMBER(SEARCH(Keywords!$A$2:$A$40,B74)),0),0)),"Review"))</f>
        <v/>
      </c>
    </row>
    <row r="75">
      <c r="A75" s="2" t="n"/>
      <c r="B75" s="3" t="n"/>
      <c r="C75" s="4" t="n"/>
      <c r="D75" s="5">
        <f>IF(B75="","",IFERROR(INDEX(Keywords!$B$2:$B$40,MATCH(1,INDEX((Keywords!$A$2:$A$40&lt;&gt;"")*(Keywords!$B$2:$B$40&lt;&gt;"")*ISNUMBER(SEARCH(Keywords!$A$2:$A$40,B75)),0),0)),"Review"))</f>
        <v/>
      </c>
    </row>
    <row r="76">
      <c r="A76" s="2" t="n"/>
      <c r="B76" s="3" t="n"/>
      <c r="C76" s="4" t="n"/>
      <c r="D76" s="5">
        <f>IF(B76="","",IFERROR(INDEX(Keywords!$B$2:$B$40,MATCH(1,INDEX((Keywords!$A$2:$A$40&lt;&gt;"")*(Keywords!$B$2:$B$40&lt;&gt;"")*ISNUMBER(SEARCH(Keywords!$A$2:$A$40,B76)),0),0)),"Review"))</f>
        <v/>
      </c>
    </row>
    <row r="77">
      <c r="A77" s="2" t="n"/>
      <c r="B77" s="3" t="n"/>
      <c r="C77" s="4" t="n"/>
      <c r="D77" s="5">
        <f>IF(B77="","",IFERROR(INDEX(Keywords!$B$2:$B$40,MATCH(1,INDEX((Keywords!$A$2:$A$40&lt;&gt;"")*(Keywords!$B$2:$B$40&lt;&gt;"")*ISNUMBER(SEARCH(Keywords!$A$2:$A$40,B77)),0),0)),"Review"))</f>
        <v/>
      </c>
    </row>
    <row r="78">
      <c r="A78" s="2" t="n"/>
      <c r="B78" s="3" t="n"/>
      <c r="C78" s="4" t="n"/>
      <c r="D78" s="5">
        <f>IF(B78="","",IFERROR(INDEX(Keywords!$B$2:$B$40,MATCH(1,INDEX((Keywords!$A$2:$A$40&lt;&gt;"")*(Keywords!$B$2:$B$40&lt;&gt;"")*ISNUMBER(SEARCH(Keywords!$A$2:$A$40,B78)),0),0)),"Review"))</f>
        <v/>
      </c>
    </row>
    <row r="79">
      <c r="A79" s="2" t="n"/>
      <c r="B79" s="3" t="n"/>
      <c r="C79" s="4" t="n"/>
      <c r="D79" s="5">
        <f>IF(B79="","",IFERROR(INDEX(Keywords!$B$2:$B$40,MATCH(1,INDEX((Keywords!$A$2:$A$40&lt;&gt;"")*(Keywords!$B$2:$B$40&lt;&gt;"")*ISNUMBER(SEARCH(Keywords!$A$2:$A$40,B79)),0),0)),"Review"))</f>
        <v/>
      </c>
    </row>
    <row r="80">
      <c r="A80" s="2" t="n"/>
      <c r="B80" s="3" t="n"/>
      <c r="C80" s="4" t="n"/>
      <c r="D80" s="5">
        <f>IF(B80="","",IFERROR(INDEX(Keywords!$B$2:$B$40,MATCH(1,INDEX((Keywords!$A$2:$A$40&lt;&gt;"")*(Keywords!$B$2:$B$40&lt;&gt;"")*ISNUMBER(SEARCH(Keywords!$A$2:$A$40,B80)),0),0)),"Review"))</f>
        <v/>
      </c>
    </row>
    <row r="81">
      <c r="A81" s="2" t="n"/>
      <c r="B81" s="3" t="n"/>
      <c r="C81" s="4" t="n"/>
      <c r="D81" s="5">
        <f>IF(B81="","",IFERROR(INDEX(Keywords!$B$2:$B$40,MATCH(1,INDEX((Keywords!$A$2:$A$40&lt;&gt;"")*(Keywords!$B$2:$B$40&lt;&gt;"")*ISNUMBER(SEARCH(Keywords!$A$2:$A$40,B81)),0),0)),"Review"))</f>
        <v/>
      </c>
    </row>
    <row r="82">
      <c r="A82" s="2" t="n"/>
      <c r="B82" s="3" t="n"/>
      <c r="C82" s="4" t="n"/>
      <c r="D82" s="5">
        <f>IF(B82="","",IFERROR(INDEX(Keywords!$B$2:$B$40,MATCH(1,INDEX((Keywords!$A$2:$A$40&lt;&gt;"")*(Keywords!$B$2:$B$40&lt;&gt;"")*ISNUMBER(SEARCH(Keywords!$A$2:$A$40,B82)),0),0)),"Review"))</f>
        <v/>
      </c>
    </row>
    <row r="83">
      <c r="A83" s="2" t="n"/>
      <c r="B83" s="3" t="n"/>
      <c r="C83" s="4" t="n"/>
      <c r="D83" s="5">
        <f>IF(B83="","",IFERROR(INDEX(Keywords!$B$2:$B$40,MATCH(1,INDEX((Keywords!$A$2:$A$40&lt;&gt;"")*(Keywords!$B$2:$B$40&lt;&gt;"")*ISNUMBER(SEARCH(Keywords!$A$2:$A$40,B83)),0),0)),"Review"))</f>
        <v/>
      </c>
    </row>
    <row r="84">
      <c r="A84" s="2" t="n"/>
      <c r="B84" s="3" t="n"/>
      <c r="C84" s="4" t="n"/>
      <c r="D84" s="5">
        <f>IF(B84="","",IFERROR(INDEX(Keywords!$B$2:$B$40,MATCH(1,INDEX((Keywords!$A$2:$A$40&lt;&gt;"")*(Keywords!$B$2:$B$40&lt;&gt;"")*ISNUMBER(SEARCH(Keywords!$A$2:$A$40,B84)),0),0)),"Review"))</f>
        <v/>
      </c>
    </row>
    <row r="85">
      <c r="A85" s="2" t="n"/>
      <c r="B85" s="3" t="n"/>
      <c r="C85" s="4" t="n"/>
      <c r="D85" s="5">
        <f>IF(B85="","",IFERROR(INDEX(Keywords!$B$2:$B$40,MATCH(1,INDEX((Keywords!$A$2:$A$40&lt;&gt;"")*(Keywords!$B$2:$B$40&lt;&gt;"")*ISNUMBER(SEARCH(Keywords!$A$2:$A$40,B85)),0),0)),"Review"))</f>
        <v/>
      </c>
    </row>
    <row r="86">
      <c r="A86" s="2" t="n"/>
      <c r="B86" s="3" t="n"/>
      <c r="C86" s="4" t="n"/>
      <c r="D86" s="5">
        <f>IF(B86="","",IFERROR(INDEX(Keywords!$B$2:$B$40,MATCH(1,INDEX((Keywords!$A$2:$A$40&lt;&gt;"")*(Keywords!$B$2:$B$40&lt;&gt;"")*ISNUMBER(SEARCH(Keywords!$A$2:$A$40,B86)),0),0)),"Review"))</f>
        <v/>
      </c>
    </row>
    <row r="87">
      <c r="A87" s="2" t="n"/>
      <c r="B87" s="3" t="n"/>
      <c r="C87" s="4" t="n"/>
      <c r="D87" s="5">
        <f>IF(B87="","",IFERROR(INDEX(Keywords!$B$2:$B$40,MATCH(1,INDEX((Keywords!$A$2:$A$40&lt;&gt;"")*(Keywords!$B$2:$B$40&lt;&gt;"")*ISNUMBER(SEARCH(Keywords!$A$2:$A$40,B87)),0),0)),"Review"))</f>
        <v/>
      </c>
    </row>
    <row r="88">
      <c r="A88" s="2" t="n"/>
      <c r="B88" s="3" t="n"/>
      <c r="C88" s="4" t="n"/>
      <c r="D88" s="5">
        <f>IF(B88="","",IFERROR(INDEX(Keywords!$B$2:$B$40,MATCH(1,INDEX((Keywords!$A$2:$A$40&lt;&gt;"")*(Keywords!$B$2:$B$40&lt;&gt;"")*ISNUMBER(SEARCH(Keywords!$A$2:$A$40,B88)),0),0)),"Review"))</f>
        <v/>
      </c>
    </row>
    <row r="89">
      <c r="A89" s="2" t="n"/>
      <c r="B89" s="3" t="n"/>
      <c r="C89" s="4" t="n"/>
      <c r="D89" s="5">
        <f>IF(B89="","",IFERROR(INDEX(Keywords!$B$2:$B$40,MATCH(1,INDEX((Keywords!$A$2:$A$40&lt;&gt;"")*(Keywords!$B$2:$B$40&lt;&gt;"")*ISNUMBER(SEARCH(Keywords!$A$2:$A$40,B89)),0),0)),"Review"))</f>
        <v/>
      </c>
    </row>
    <row r="90">
      <c r="A90" s="2" t="n"/>
      <c r="B90" s="3" t="n"/>
      <c r="C90" s="4" t="n"/>
      <c r="D90" s="5">
        <f>IF(B90="","",IFERROR(INDEX(Keywords!$B$2:$B$40,MATCH(1,INDEX((Keywords!$A$2:$A$40&lt;&gt;"")*(Keywords!$B$2:$B$40&lt;&gt;"")*ISNUMBER(SEARCH(Keywords!$A$2:$A$40,B90)),0),0)),"Review"))</f>
        <v/>
      </c>
    </row>
    <row r="91">
      <c r="A91" s="2" t="n"/>
      <c r="B91" s="3" t="n"/>
      <c r="C91" s="4" t="n"/>
      <c r="D91" s="5">
        <f>IF(B91="","",IFERROR(INDEX(Keywords!$B$2:$B$40,MATCH(1,INDEX((Keywords!$A$2:$A$40&lt;&gt;"")*(Keywords!$B$2:$B$40&lt;&gt;"")*ISNUMBER(SEARCH(Keywords!$A$2:$A$40,B91)),0),0)),"Review"))</f>
        <v/>
      </c>
    </row>
    <row r="92">
      <c r="A92" s="2" t="n"/>
      <c r="B92" s="3" t="n"/>
      <c r="C92" s="4" t="n"/>
      <c r="D92" s="5">
        <f>IF(B92="","",IFERROR(INDEX(Keywords!$B$2:$B$40,MATCH(1,INDEX((Keywords!$A$2:$A$40&lt;&gt;"")*(Keywords!$B$2:$B$40&lt;&gt;"")*ISNUMBER(SEARCH(Keywords!$A$2:$A$40,B92)),0),0)),"Review"))</f>
        <v/>
      </c>
    </row>
    <row r="93">
      <c r="A93" s="2" t="n"/>
      <c r="B93" s="3" t="n"/>
      <c r="C93" s="4" t="n"/>
      <c r="D93" s="5">
        <f>IF(B93="","",IFERROR(INDEX(Keywords!$B$2:$B$40,MATCH(1,INDEX((Keywords!$A$2:$A$40&lt;&gt;"")*(Keywords!$B$2:$B$40&lt;&gt;"")*ISNUMBER(SEARCH(Keywords!$A$2:$A$40,B93)),0),0)),"Review"))</f>
        <v/>
      </c>
    </row>
    <row r="94">
      <c r="A94" s="2" t="n"/>
      <c r="B94" s="3" t="n"/>
      <c r="C94" s="4" t="n"/>
      <c r="D94" s="5">
        <f>IF(B94="","",IFERROR(INDEX(Keywords!$B$2:$B$40,MATCH(1,INDEX((Keywords!$A$2:$A$40&lt;&gt;"")*(Keywords!$B$2:$B$40&lt;&gt;"")*ISNUMBER(SEARCH(Keywords!$A$2:$A$40,B94)),0),0)),"Review"))</f>
        <v/>
      </c>
    </row>
    <row r="95">
      <c r="A95" s="2" t="n"/>
      <c r="B95" s="3" t="n"/>
      <c r="C95" s="4" t="n"/>
      <c r="D95" s="5">
        <f>IF(B95="","",IFERROR(INDEX(Keywords!$B$2:$B$40,MATCH(1,INDEX((Keywords!$A$2:$A$40&lt;&gt;"")*(Keywords!$B$2:$B$40&lt;&gt;"")*ISNUMBER(SEARCH(Keywords!$A$2:$A$40,B95)),0),0)),"Review"))</f>
        <v/>
      </c>
    </row>
    <row r="96">
      <c r="A96" s="2" t="n"/>
      <c r="B96" s="3" t="n"/>
      <c r="C96" s="4" t="n"/>
      <c r="D96" s="5">
        <f>IF(B96="","",IFERROR(INDEX(Keywords!$B$2:$B$40,MATCH(1,INDEX((Keywords!$A$2:$A$40&lt;&gt;"")*(Keywords!$B$2:$B$40&lt;&gt;"")*ISNUMBER(SEARCH(Keywords!$A$2:$A$40,B96)),0),0)),"Review"))</f>
        <v/>
      </c>
    </row>
    <row r="97">
      <c r="A97" s="2" t="n"/>
      <c r="B97" s="3" t="n"/>
      <c r="C97" s="4" t="n"/>
      <c r="D97" s="5">
        <f>IF(B97="","",IFERROR(INDEX(Keywords!$B$2:$B$40,MATCH(1,INDEX((Keywords!$A$2:$A$40&lt;&gt;"")*(Keywords!$B$2:$B$40&lt;&gt;"")*ISNUMBER(SEARCH(Keywords!$A$2:$A$40,B97)),0),0)),"Review"))</f>
        <v/>
      </c>
    </row>
    <row r="98">
      <c r="A98" s="2" t="n"/>
      <c r="B98" s="3" t="n"/>
      <c r="C98" s="4" t="n"/>
      <c r="D98" s="5">
        <f>IF(B98="","",IFERROR(INDEX(Keywords!$B$2:$B$40,MATCH(1,INDEX((Keywords!$A$2:$A$40&lt;&gt;"")*(Keywords!$B$2:$B$40&lt;&gt;"")*ISNUMBER(SEARCH(Keywords!$A$2:$A$40,B98)),0),0)),"Review"))</f>
        <v/>
      </c>
    </row>
    <row r="99">
      <c r="A99" s="2" t="n"/>
      <c r="B99" s="3" t="n"/>
      <c r="C99" s="4" t="n"/>
      <c r="D99" s="5">
        <f>IF(B99="","",IFERROR(INDEX(Keywords!$B$2:$B$40,MATCH(1,INDEX((Keywords!$A$2:$A$40&lt;&gt;"")*(Keywords!$B$2:$B$40&lt;&gt;"")*ISNUMBER(SEARCH(Keywords!$A$2:$A$40,B99)),0),0)),"Review"))</f>
        <v/>
      </c>
    </row>
    <row r="100">
      <c r="A100" s="2" t="n"/>
      <c r="B100" s="3" t="n"/>
      <c r="C100" s="4" t="n"/>
      <c r="D100" s="5">
        <f>IF(B100="","",IFERROR(INDEX(Keywords!$B$2:$B$40,MATCH(1,INDEX((Keywords!$A$2:$A$40&lt;&gt;"")*(Keywords!$B$2:$B$40&lt;&gt;"")*ISNUMBER(SEARCH(Keywords!$A$2:$A$40,B100)),0),0)),"Review"))</f>
        <v/>
      </c>
    </row>
    <row r="101">
      <c r="A101" s="2" t="n"/>
      <c r="B101" s="3" t="n"/>
      <c r="C101" s="4" t="n"/>
      <c r="D101" s="5">
        <f>IF(B101="","",IFERROR(INDEX(Keywords!$B$2:$B$40,MATCH(1,INDEX((Keywords!$A$2:$A$40&lt;&gt;"")*(Keywords!$B$2:$B$40&lt;&gt;"")*ISNUMBER(SEARCH(Keywords!$A$2:$A$40,B101)),0),0)),"Review"))</f>
        <v/>
      </c>
    </row>
    <row r="102">
      <c r="A102" s="2" t="n"/>
      <c r="B102" s="3" t="n"/>
      <c r="C102" s="4" t="n"/>
      <c r="D102" s="5">
        <f>IF(B102="","",IFERROR(INDEX(Keywords!$B$2:$B$40,MATCH(1,INDEX((Keywords!$A$2:$A$40&lt;&gt;"")*(Keywords!$B$2:$B$40&lt;&gt;"")*ISNUMBER(SEARCH(Keywords!$A$2:$A$40,B102)),0),0)),"Review"))</f>
        <v/>
      </c>
    </row>
    <row r="103">
      <c r="A103" s="2" t="n"/>
      <c r="B103" s="3" t="n"/>
      <c r="C103" s="4" t="n"/>
      <c r="D103" s="5">
        <f>IF(B103="","",IFERROR(INDEX(Keywords!$B$2:$B$40,MATCH(1,INDEX((Keywords!$A$2:$A$40&lt;&gt;"")*(Keywords!$B$2:$B$40&lt;&gt;"")*ISNUMBER(SEARCH(Keywords!$A$2:$A$40,B103)),0),0)),"Review"))</f>
        <v/>
      </c>
    </row>
    <row r="104">
      <c r="A104" s="2" t="n"/>
      <c r="B104" s="3" t="n"/>
      <c r="C104" s="4" t="n"/>
      <c r="D104" s="5">
        <f>IF(B104="","",IFERROR(INDEX(Keywords!$B$2:$B$40,MATCH(1,INDEX((Keywords!$A$2:$A$40&lt;&gt;"")*(Keywords!$B$2:$B$40&lt;&gt;"")*ISNUMBER(SEARCH(Keywords!$A$2:$A$40,B104)),0),0)),"Review"))</f>
        <v/>
      </c>
    </row>
    <row r="105">
      <c r="A105" s="2" t="n"/>
      <c r="B105" s="3" t="n"/>
      <c r="C105" s="4" t="n"/>
      <c r="D105" s="5">
        <f>IF(B105="","",IFERROR(INDEX(Keywords!$B$2:$B$40,MATCH(1,INDEX((Keywords!$A$2:$A$40&lt;&gt;"")*(Keywords!$B$2:$B$40&lt;&gt;"")*ISNUMBER(SEARCH(Keywords!$A$2:$A$40,B105)),0),0)),"Review"))</f>
        <v/>
      </c>
    </row>
    <row r="106">
      <c r="A106" s="2" t="n"/>
      <c r="B106" s="3" t="n"/>
      <c r="C106" s="4" t="n"/>
      <c r="D106" s="5">
        <f>IF(B106="","",IFERROR(INDEX(Keywords!$B$2:$B$40,MATCH(1,INDEX((Keywords!$A$2:$A$40&lt;&gt;"")*(Keywords!$B$2:$B$40&lt;&gt;"")*ISNUMBER(SEARCH(Keywords!$A$2:$A$40,B106)),0),0)),"Review"))</f>
        <v/>
      </c>
    </row>
    <row r="107">
      <c r="A107" s="2" t="n"/>
      <c r="B107" s="3" t="n"/>
      <c r="C107" s="4" t="n"/>
      <c r="D107" s="5">
        <f>IF(B107="","",IFERROR(INDEX(Keywords!$B$2:$B$40,MATCH(1,INDEX((Keywords!$A$2:$A$40&lt;&gt;"")*(Keywords!$B$2:$B$40&lt;&gt;"")*ISNUMBER(SEARCH(Keywords!$A$2:$A$40,B107)),0),0)),"Review"))</f>
        <v/>
      </c>
    </row>
    <row r="108">
      <c r="A108" s="2" t="n"/>
      <c r="B108" s="3" t="n"/>
      <c r="C108" s="4" t="n"/>
      <c r="D108" s="5">
        <f>IF(B108="","",IFERROR(INDEX(Keywords!$B$2:$B$40,MATCH(1,INDEX((Keywords!$A$2:$A$40&lt;&gt;"")*(Keywords!$B$2:$B$40&lt;&gt;"")*ISNUMBER(SEARCH(Keywords!$A$2:$A$40,B108)),0),0)),"Review"))</f>
        <v/>
      </c>
    </row>
    <row r="109">
      <c r="A109" s="2" t="n"/>
      <c r="B109" s="3" t="n"/>
      <c r="C109" s="4" t="n"/>
      <c r="D109" s="5">
        <f>IF(B109="","",IFERROR(INDEX(Keywords!$B$2:$B$40,MATCH(1,INDEX((Keywords!$A$2:$A$40&lt;&gt;"")*(Keywords!$B$2:$B$40&lt;&gt;"")*ISNUMBER(SEARCH(Keywords!$A$2:$A$40,B109)),0),0)),"Review"))</f>
        <v/>
      </c>
    </row>
    <row r="110">
      <c r="A110" s="2" t="n"/>
      <c r="B110" s="3" t="n"/>
      <c r="C110" s="4" t="n"/>
      <c r="D110" s="5">
        <f>IF(B110="","",IFERROR(INDEX(Keywords!$B$2:$B$40,MATCH(1,INDEX((Keywords!$A$2:$A$40&lt;&gt;"")*(Keywords!$B$2:$B$40&lt;&gt;"")*ISNUMBER(SEARCH(Keywords!$A$2:$A$40,B110)),0),0)),"Review"))</f>
        <v/>
      </c>
    </row>
    <row r="111">
      <c r="A111" s="2" t="n"/>
      <c r="B111" s="3" t="n"/>
      <c r="C111" s="4" t="n"/>
      <c r="D111" s="5">
        <f>IF(B111="","",IFERROR(INDEX(Keywords!$B$2:$B$40,MATCH(1,INDEX((Keywords!$A$2:$A$40&lt;&gt;"")*(Keywords!$B$2:$B$40&lt;&gt;"")*ISNUMBER(SEARCH(Keywords!$A$2:$A$40,B111)),0),0)),"Review"))</f>
        <v/>
      </c>
    </row>
    <row r="112">
      <c r="A112" s="2" t="n"/>
      <c r="B112" s="3" t="n"/>
      <c r="C112" s="4" t="n"/>
      <c r="D112" s="5">
        <f>IF(B112="","",IFERROR(INDEX(Keywords!$B$2:$B$40,MATCH(1,INDEX((Keywords!$A$2:$A$40&lt;&gt;"")*(Keywords!$B$2:$B$40&lt;&gt;"")*ISNUMBER(SEARCH(Keywords!$A$2:$A$40,B112)),0),0)),"Review"))</f>
        <v/>
      </c>
    </row>
    <row r="113">
      <c r="A113" s="2" t="n"/>
      <c r="B113" s="3" t="n"/>
      <c r="C113" s="4" t="n"/>
      <c r="D113" s="5">
        <f>IF(B113="","",IFERROR(INDEX(Keywords!$B$2:$B$40,MATCH(1,INDEX((Keywords!$A$2:$A$40&lt;&gt;"")*(Keywords!$B$2:$B$40&lt;&gt;"")*ISNUMBER(SEARCH(Keywords!$A$2:$A$40,B113)),0),0)),"Review"))</f>
        <v/>
      </c>
    </row>
    <row r="114">
      <c r="A114" s="2" t="n"/>
      <c r="B114" s="3" t="n"/>
      <c r="C114" s="4" t="n"/>
      <c r="D114" s="5">
        <f>IF(B114="","",IFERROR(INDEX(Keywords!$B$2:$B$40,MATCH(1,INDEX((Keywords!$A$2:$A$40&lt;&gt;"")*(Keywords!$B$2:$B$40&lt;&gt;"")*ISNUMBER(SEARCH(Keywords!$A$2:$A$40,B114)),0),0)),"Review"))</f>
        <v/>
      </c>
    </row>
    <row r="115">
      <c r="A115" s="2" t="n"/>
      <c r="B115" s="3" t="n"/>
      <c r="C115" s="4" t="n"/>
      <c r="D115" s="5">
        <f>IF(B115="","",IFERROR(INDEX(Keywords!$B$2:$B$40,MATCH(1,INDEX((Keywords!$A$2:$A$40&lt;&gt;"")*(Keywords!$B$2:$B$40&lt;&gt;"")*ISNUMBER(SEARCH(Keywords!$A$2:$A$40,B115)),0),0)),"Review"))</f>
        <v/>
      </c>
    </row>
    <row r="116">
      <c r="A116" s="2" t="n"/>
      <c r="B116" s="3" t="n"/>
      <c r="C116" s="4" t="n"/>
      <c r="D116" s="5">
        <f>IF(B116="","",IFERROR(INDEX(Keywords!$B$2:$B$40,MATCH(1,INDEX((Keywords!$A$2:$A$40&lt;&gt;"")*(Keywords!$B$2:$B$40&lt;&gt;"")*ISNUMBER(SEARCH(Keywords!$A$2:$A$40,B116)),0),0)),"Review"))</f>
        <v/>
      </c>
    </row>
    <row r="117">
      <c r="A117" s="2" t="n"/>
      <c r="B117" s="3" t="n"/>
      <c r="C117" s="4" t="n"/>
      <c r="D117" s="5">
        <f>IF(B117="","",IFERROR(INDEX(Keywords!$B$2:$B$40,MATCH(1,INDEX((Keywords!$A$2:$A$40&lt;&gt;"")*(Keywords!$B$2:$B$40&lt;&gt;"")*ISNUMBER(SEARCH(Keywords!$A$2:$A$40,B117)),0),0)),"Review"))</f>
        <v/>
      </c>
    </row>
    <row r="118">
      <c r="A118" s="2" t="n"/>
      <c r="B118" s="3" t="n"/>
      <c r="C118" s="4" t="n"/>
      <c r="D118" s="5">
        <f>IF(B118="","",IFERROR(INDEX(Keywords!$B$2:$B$40,MATCH(1,INDEX((Keywords!$A$2:$A$40&lt;&gt;"")*(Keywords!$B$2:$B$40&lt;&gt;"")*ISNUMBER(SEARCH(Keywords!$A$2:$A$40,B118)),0),0)),"Review"))</f>
        <v/>
      </c>
    </row>
    <row r="119">
      <c r="A119" s="2" t="n"/>
      <c r="B119" s="3" t="n"/>
      <c r="C119" s="4" t="n"/>
      <c r="D119" s="5">
        <f>IF(B119="","",IFERROR(INDEX(Keywords!$B$2:$B$40,MATCH(1,INDEX((Keywords!$A$2:$A$40&lt;&gt;"")*(Keywords!$B$2:$B$40&lt;&gt;"")*ISNUMBER(SEARCH(Keywords!$A$2:$A$40,B119)),0),0)),"Review"))</f>
        <v/>
      </c>
    </row>
    <row r="120">
      <c r="A120" s="2" t="n"/>
      <c r="B120" s="3" t="n"/>
      <c r="C120" s="4" t="n"/>
      <c r="D120" s="5">
        <f>IF(B120="","",IFERROR(INDEX(Keywords!$B$2:$B$40,MATCH(1,INDEX((Keywords!$A$2:$A$40&lt;&gt;"")*(Keywords!$B$2:$B$40&lt;&gt;"")*ISNUMBER(SEARCH(Keywords!$A$2:$A$40,B120)),0),0)),"Review"))</f>
        <v/>
      </c>
    </row>
    <row r="121">
      <c r="A121" s="2" t="n"/>
      <c r="B121" s="3" t="n"/>
      <c r="C121" s="4" t="n"/>
      <c r="D121" s="5">
        <f>IF(B121="","",IFERROR(INDEX(Keywords!$B$2:$B$40,MATCH(1,INDEX((Keywords!$A$2:$A$40&lt;&gt;"")*(Keywords!$B$2:$B$40&lt;&gt;"")*ISNUMBER(SEARCH(Keywords!$A$2:$A$40,B121)),0),0)),"Review"))</f>
        <v/>
      </c>
    </row>
    <row r="122">
      <c r="A122" s="2" t="n"/>
      <c r="B122" s="3" t="n"/>
      <c r="C122" s="4" t="n"/>
      <c r="D122" s="5">
        <f>IF(B122="","",IFERROR(INDEX(Keywords!$B$2:$B$40,MATCH(1,INDEX((Keywords!$A$2:$A$40&lt;&gt;"")*(Keywords!$B$2:$B$40&lt;&gt;"")*ISNUMBER(SEARCH(Keywords!$A$2:$A$40,B122)),0),0)),"Review"))</f>
        <v/>
      </c>
    </row>
    <row r="123">
      <c r="A123" s="2" t="n"/>
      <c r="B123" s="3" t="n"/>
      <c r="C123" s="4" t="n"/>
      <c r="D123" s="5">
        <f>IF(B123="","",IFERROR(INDEX(Keywords!$B$2:$B$40,MATCH(1,INDEX((Keywords!$A$2:$A$40&lt;&gt;"")*(Keywords!$B$2:$B$40&lt;&gt;"")*ISNUMBER(SEARCH(Keywords!$A$2:$A$40,B123)),0),0)),"Review"))</f>
        <v/>
      </c>
    </row>
    <row r="124">
      <c r="A124" s="2" t="n"/>
      <c r="B124" s="3" t="n"/>
      <c r="C124" s="4" t="n"/>
      <c r="D124" s="5">
        <f>IF(B124="","",IFERROR(INDEX(Keywords!$B$2:$B$40,MATCH(1,INDEX((Keywords!$A$2:$A$40&lt;&gt;"")*(Keywords!$B$2:$B$40&lt;&gt;"")*ISNUMBER(SEARCH(Keywords!$A$2:$A$40,B124)),0),0)),"Review"))</f>
        <v/>
      </c>
    </row>
    <row r="125">
      <c r="A125" s="2" t="n"/>
      <c r="B125" s="3" t="n"/>
      <c r="C125" s="4" t="n"/>
      <c r="D125" s="5">
        <f>IF(B125="","",IFERROR(INDEX(Keywords!$B$2:$B$40,MATCH(1,INDEX((Keywords!$A$2:$A$40&lt;&gt;"")*(Keywords!$B$2:$B$40&lt;&gt;"")*ISNUMBER(SEARCH(Keywords!$A$2:$A$40,B125)),0),0)),"Review"))</f>
        <v/>
      </c>
    </row>
    <row r="126">
      <c r="A126" s="2" t="n"/>
      <c r="B126" s="3" t="n"/>
      <c r="C126" s="4" t="n"/>
      <c r="D126" s="5">
        <f>IF(B126="","",IFERROR(INDEX(Keywords!$B$2:$B$40,MATCH(1,INDEX((Keywords!$A$2:$A$40&lt;&gt;"")*(Keywords!$B$2:$B$40&lt;&gt;"")*ISNUMBER(SEARCH(Keywords!$A$2:$A$40,B126)),0),0)),"Review"))</f>
        <v/>
      </c>
    </row>
    <row r="127">
      <c r="A127" s="2" t="n"/>
      <c r="B127" s="3" t="n"/>
      <c r="C127" s="4" t="n"/>
      <c r="D127" s="5">
        <f>IF(B127="","",IFERROR(INDEX(Keywords!$B$2:$B$40,MATCH(1,INDEX((Keywords!$A$2:$A$40&lt;&gt;"")*(Keywords!$B$2:$B$40&lt;&gt;"")*ISNUMBER(SEARCH(Keywords!$A$2:$A$40,B127)),0),0)),"Review"))</f>
        <v/>
      </c>
    </row>
    <row r="128">
      <c r="A128" s="2" t="n"/>
      <c r="B128" s="3" t="n"/>
      <c r="C128" s="4" t="n"/>
      <c r="D128" s="5">
        <f>IF(B128="","",IFERROR(INDEX(Keywords!$B$2:$B$40,MATCH(1,INDEX((Keywords!$A$2:$A$40&lt;&gt;"")*(Keywords!$B$2:$B$40&lt;&gt;"")*ISNUMBER(SEARCH(Keywords!$A$2:$A$40,B128)),0),0)),"Review"))</f>
        <v/>
      </c>
    </row>
    <row r="129">
      <c r="A129" s="2" t="n"/>
      <c r="B129" s="3" t="n"/>
      <c r="C129" s="4" t="n"/>
      <c r="D129" s="5">
        <f>IF(B129="","",IFERROR(INDEX(Keywords!$B$2:$B$40,MATCH(1,INDEX((Keywords!$A$2:$A$40&lt;&gt;"")*(Keywords!$B$2:$B$40&lt;&gt;"")*ISNUMBER(SEARCH(Keywords!$A$2:$A$40,B129)),0),0)),"Review"))</f>
        <v/>
      </c>
    </row>
    <row r="130">
      <c r="A130" s="2" t="n"/>
      <c r="B130" s="3" t="n"/>
      <c r="C130" s="4" t="n"/>
      <c r="D130" s="5">
        <f>IF(B130="","",IFERROR(INDEX(Keywords!$B$2:$B$40,MATCH(1,INDEX((Keywords!$A$2:$A$40&lt;&gt;"")*(Keywords!$B$2:$B$40&lt;&gt;"")*ISNUMBER(SEARCH(Keywords!$A$2:$A$40,B130)),0),0)),"Review"))</f>
        <v/>
      </c>
    </row>
    <row r="131">
      <c r="A131" s="2" t="n"/>
      <c r="B131" s="3" t="n"/>
      <c r="C131" s="4" t="n"/>
      <c r="D131" s="5">
        <f>IF(B131="","",IFERROR(INDEX(Keywords!$B$2:$B$40,MATCH(1,INDEX((Keywords!$A$2:$A$40&lt;&gt;"")*(Keywords!$B$2:$B$40&lt;&gt;"")*ISNUMBER(SEARCH(Keywords!$A$2:$A$40,B131)),0),0)),"Review"))</f>
        <v/>
      </c>
    </row>
    <row r="132">
      <c r="A132" s="2" t="n"/>
      <c r="B132" s="3" t="n"/>
      <c r="C132" s="4" t="n"/>
      <c r="D132" s="5">
        <f>IF(B132="","",IFERROR(INDEX(Keywords!$B$2:$B$40,MATCH(1,INDEX((Keywords!$A$2:$A$40&lt;&gt;"")*(Keywords!$B$2:$B$40&lt;&gt;"")*ISNUMBER(SEARCH(Keywords!$A$2:$A$40,B132)),0),0)),"Review"))</f>
        <v/>
      </c>
    </row>
    <row r="133">
      <c r="A133" s="2" t="n"/>
      <c r="B133" s="3" t="n"/>
      <c r="C133" s="4" t="n"/>
      <c r="D133" s="5">
        <f>IF(B133="","",IFERROR(INDEX(Keywords!$B$2:$B$40,MATCH(1,INDEX((Keywords!$A$2:$A$40&lt;&gt;"")*(Keywords!$B$2:$B$40&lt;&gt;"")*ISNUMBER(SEARCH(Keywords!$A$2:$A$40,B133)),0),0)),"Review"))</f>
        <v/>
      </c>
    </row>
    <row r="134">
      <c r="A134" s="2" t="n"/>
      <c r="B134" s="3" t="n"/>
      <c r="C134" s="4" t="n"/>
      <c r="D134" s="5">
        <f>IF(B134="","",IFERROR(INDEX(Keywords!$B$2:$B$40,MATCH(1,INDEX((Keywords!$A$2:$A$40&lt;&gt;"")*(Keywords!$B$2:$B$40&lt;&gt;"")*ISNUMBER(SEARCH(Keywords!$A$2:$A$40,B134)),0),0)),"Review"))</f>
        <v/>
      </c>
    </row>
    <row r="135">
      <c r="A135" s="2" t="n"/>
      <c r="B135" s="3" t="n"/>
      <c r="C135" s="4" t="n"/>
      <c r="D135" s="5">
        <f>IF(B135="","",IFERROR(INDEX(Keywords!$B$2:$B$40,MATCH(1,INDEX((Keywords!$A$2:$A$40&lt;&gt;"")*(Keywords!$B$2:$B$40&lt;&gt;"")*ISNUMBER(SEARCH(Keywords!$A$2:$A$40,B135)),0),0)),"Review"))</f>
        <v/>
      </c>
    </row>
    <row r="136">
      <c r="A136" s="2" t="n"/>
      <c r="B136" s="3" t="n"/>
      <c r="C136" s="4" t="n"/>
      <c r="D136" s="5">
        <f>IF(B136="","",IFERROR(INDEX(Keywords!$B$2:$B$40,MATCH(1,INDEX((Keywords!$A$2:$A$40&lt;&gt;"")*(Keywords!$B$2:$B$40&lt;&gt;"")*ISNUMBER(SEARCH(Keywords!$A$2:$A$40,B136)),0),0)),"Review"))</f>
        <v/>
      </c>
    </row>
    <row r="137">
      <c r="A137" s="2" t="n"/>
      <c r="B137" s="3" t="n"/>
      <c r="C137" s="4" t="n"/>
      <c r="D137" s="5">
        <f>IF(B137="","",IFERROR(INDEX(Keywords!$B$2:$B$40,MATCH(1,INDEX((Keywords!$A$2:$A$40&lt;&gt;"")*(Keywords!$B$2:$B$40&lt;&gt;"")*ISNUMBER(SEARCH(Keywords!$A$2:$A$40,B137)),0),0)),"Review"))</f>
        <v/>
      </c>
    </row>
    <row r="138">
      <c r="A138" s="2" t="n"/>
      <c r="B138" s="3" t="n"/>
      <c r="C138" s="4" t="n"/>
      <c r="D138" s="5">
        <f>IF(B138="","",IFERROR(INDEX(Keywords!$B$2:$B$40,MATCH(1,INDEX((Keywords!$A$2:$A$40&lt;&gt;"")*(Keywords!$B$2:$B$40&lt;&gt;"")*ISNUMBER(SEARCH(Keywords!$A$2:$A$40,B138)),0),0)),"Review"))</f>
        <v/>
      </c>
    </row>
    <row r="139">
      <c r="A139" s="2" t="n"/>
      <c r="B139" s="3" t="n"/>
      <c r="C139" s="4" t="n"/>
      <c r="D139" s="5">
        <f>IF(B139="","",IFERROR(INDEX(Keywords!$B$2:$B$40,MATCH(1,INDEX((Keywords!$A$2:$A$40&lt;&gt;"")*(Keywords!$B$2:$B$40&lt;&gt;"")*ISNUMBER(SEARCH(Keywords!$A$2:$A$40,B139)),0),0)),"Review"))</f>
        <v/>
      </c>
    </row>
    <row r="140">
      <c r="A140" s="2" t="n"/>
      <c r="B140" s="3" t="n"/>
      <c r="C140" s="4" t="n"/>
      <c r="D140" s="5">
        <f>IF(B140="","",IFERROR(INDEX(Keywords!$B$2:$B$40,MATCH(1,INDEX((Keywords!$A$2:$A$40&lt;&gt;"")*(Keywords!$B$2:$B$40&lt;&gt;"")*ISNUMBER(SEARCH(Keywords!$A$2:$A$40,B140)),0),0)),"Review"))</f>
        <v/>
      </c>
    </row>
    <row r="141">
      <c r="A141" s="2" t="n"/>
      <c r="B141" s="3" t="n"/>
      <c r="C141" s="4" t="n"/>
      <c r="D141" s="5">
        <f>IF(B141="","",IFERROR(INDEX(Keywords!$B$2:$B$40,MATCH(1,INDEX((Keywords!$A$2:$A$40&lt;&gt;"")*(Keywords!$B$2:$B$40&lt;&gt;"")*ISNUMBER(SEARCH(Keywords!$A$2:$A$40,B141)),0),0)),"Review"))</f>
        <v/>
      </c>
    </row>
    <row r="142">
      <c r="A142" s="2" t="n"/>
      <c r="B142" s="3" t="n"/>
      <c r="C142" s="4" t="n"/>
      <c r="D142" s="5">
        <f>IF(B142="","",IFERROR(INDEX(Keywords!$B$2:$B$40,MATCH(1,INDEX((Keywords!$A$2:$A$40&lt;&gt;"")*(Keywords!$B$2:$B$40&lt;&gt;"")*ISNUMBER(SEARCH(Keywords!$A$2:$A$40,B142)),0),0)),"Review"))</f>
        <v/>
      </c>
    </row>
    <row r="143">
      <c r="A143" s="2" t="n"/>
      <c r="B143" s="3" t="n"/>
      <c r="C143" s="4" t="n"/>
      <c r="D143" s="5">
        <f>IF(B143="","",IFERROR(INDEX(Keywords!$B$2:$B$40,MATCH(1,INDEX((Keywords!$A$2:$A$40&lt;&gt;"")*(Keywords!$B$2:$B$40&lt;&gt;"")*ISNUMBER(SEARCH(Keywords!$A$2:$A$40,B143)),0),0)),"Review"))</f>
        <v/>
      </c>
    </row>
    <row r="144">
      <c r="A144" s="2" t="n"/>
      <c r="B144" s="3" t="n"/>
      <c r="C144" s="4" t="n"/>
      <c r="D144" s="5">
        <f>IF(B144="","",IFERROR(INDEX(Keywords!$B$2:$B$40,MATCH(1,INDEX((Keywords!$A$2:$A$40&lt;&gt;"")*(Keywords!$B$2:$B$40&lt;&gt;"")*ISNUMBER(SEARCH(Keywords!$A$2:$A$40,B144)),0),0)),"Review"))</f>
        <v/>
      </c>
    </row>
    <row r="145">
      <c r="A145" s="2" t="n"/>
      <c r="B145" s="3" t="n"/>
      <c r="C145" s="4" t="n"/>
      <c r="D145" s="5">
        <f>IF(B145="","",IFERROR(INDEX(Keywords!$B$2:$B$40,MATCH(1,INDEX((Keywords!$A$2:$A$40&lt;&gt;"")*(Keywords!$B$2:$B$40&lt;&gt;"")*ISNUMBER(SEARCH(Keywords!$A$2:$A$40,B145)),0),0)),"Review"))</f>
        <v/>
      </c>
    </row>
    <row r="146">
      <c r="A146" s="2" t="n"/>
      <c r="B146" s="3" t="n"/>
      <c r="C146" s="4" t="n"/>
      <c r="D146" s="5">
        <f>IF(B146="","",IFERROR(INDEX(Keywords!$B$2:$B$40,MATCH(1,INDEX((Keywords!$A$2:$A$40&lt;&gt;"")*(Keywords!$B$2:$B$40&lt;&gt;"")*ISNUMBER(SEARCH(Keywords!$A$2:$A$40,B146)),0),0)),"Review"))</f>
        <v/>
      </c>
    </row>
    <row r="147">
      <c r="A147" s="2" t="n"/>
      <c r="B147" s="3" t="n"/>
      <c r="C147" s="4" t="n"/>
      <c r="D147" s="5">
        <f>IF(B147="","",IFERROR(INDEX(Keywords!$B$2:$B$40,MATCH(1,INDEX((Keywords!$A$2:$A$40&lt;&gt;"")*(Keywords!$B$2:$B$40&lt;&gt;"")*ISNUMBER(SEARCH(Keywords!$A$2:$A$40,B147)),0),0)),"Review"))</f>
        <v/>
      </c>
    </row>
    <row r="148">
      <c r="A148" s="2" t="n"/>
      <c r="B148" s="3" t="n"/>
      <c r="C148" s="4" t="n"/>
      <c r="D148" s="5">
        <f>IF(B148="","",IFERROR(INDEX(Keywords!$B$2:$B$40,MATCH(1,INDEX((Keywords!$A$2:$A$40&lt;&gt;"")*(Keywords!$B$2:$B$40&lt;&gt;"")*ISNUMBER(SEARCH(Keywords!$A$2:$A$40,B148)),0),0)),"Review"))</f>
        <v/>
      </c>
    </row>
    <row r="149">
      <c r="A149" s="2" t="n"/>
      <c r="B149" s="3" t="n"/>
      <c r="C149" s="4" t="n"/>
      <c r="D149" s="5">
        <f>IF(B149="","",IFERROR(INDEX(Keywords!$B$2:$B$40,MATCH(1,INDEX((Keywords!$A$2:$A$40&lt;&gt;"")*(Keywords!$B$2:$B$40&lt;&gt;"")*ISNUMBER(SEARCH(Keywords!$A$2:$A$40,B149)),0),0)),"Review"))</f>
        <v/>
      </c>
    </row>
    <row r="150">
      <c r="A150" s="2" t="n"/>
      <c r="B150" s="3" t="n"/>
      <c r="C150" s="4" t="n"/>
      <c r="D150" s="5">
        <f>IF(B150="","",IFERROR(INDEX(Keywords!$B$2:$B$40,MATCH(1,INDEX((Keywords!$A$2:$A$40&lt;&gt;"")*(Keywords!$B$2:$B$40&lt;&gt;"")*ISNUMBER(SEARCH(Keywords!$A$2:$A$40,B150)),0),0)),"Review"))</f>
        <v/>
      </c>
    </row>
    <row r="151">
      <c r="A151" s="2" t="n"/>
      <c r="B151" s="3" t="n"/>
      <c r="C151" s="4" t="n"/>
      <c r="D151" s="5">
        <f>IF(B151="","",IFERROR(INDEX(Keywords!$B$2:$B$40,MATCH(1,INDEX((Keywords!$A$2:$A$40&lt;&gt;"")*(Keywords!$B$2:$B$40&lt;&gt;"")*ISNUMBER(SEARCH(Keywords!$A$2:$A$40,B151)),0),0)),"Review"))</f>
        <v/>
      </c>
    </row>
    <row r="152">
      <c r="A152" s="2" t="n"/>
      <c r="B152" s="3" t="n"/>
      <c r="C152" s="4" t="n"/>
      <c r="D152" s="5">
        <f>IF(B152="","",IFERROR(INDEX(Keywords!$B$2:$B$40,MATCH(1,INDEX((Keywords!$A$2:$A$40&lt;&gt;"")*(Keywords!$B$2:$B$40&lt;&gt;"")*ISNUMBER(SEARCH(Keywords!$A$2:$A$40,B152)),0),0)),"Review"))</f>
        <v/>
      </c>
    </row>
    <row r="153">
      <c r="A153" s="2" t="n"/>
      <c r="B153" s="3" t="n"/>
      <c r="C153" s="4" t="n"/>
      <c r="D153" s="5">
        <f>IF(B153="","",IFERROR(INDEX(Keywords!$B$2:$B$40,MATCH(1,INDEX((Keywords!$A$2:$A$40&lt;&gt;"")*(Keywords!$B$2:$B$40&lt;&gt;"")*ISNUMBER(SEARCH(Keywords!$A$2:$A$40,B153)),0),0)),"Review"))</f>
        <v/>
      </c>
    </row>
    <row r="154">
      <c r="A154" s="2" t="n"/>
      <c r="B154" s="3" t="n"/>
      <c r="C154" s="4" t="n"/>
      <c r="D154" s="5">
        <f>IF(B154="","",IFERROR(INDEX(Keywords!$B$2:$B$40,MATCH(1,INDEX((Keywords!$A$2:$A$40&lt;&gt;"")*(Keywords!$B$2:$B$40&lt;&gt;"")*ISNUMBER(SEARCH(Keywords!$A$2:$A$40,B154)),0),0)),"Review"))</f>
        <v/>
      </c>
    </row>
    <row r="155">
      <c r="A155" s="2" t="n"/>
      <c r="B155" s="3" t="n"/>
      <c r="C155" s="4" t="n"/>
      <c r="D155" s="5">
        <f>IF(B155="","",IFERROR(INDEX(Keywords!$B$2:$B$40,MATCH(1,INDEX((Keywords!$A$2:$A$40&lt;&gt;"")*(Keywords!$B$2:$B$40&lt;&gt;"")*ISNUMBER(SEARCH(Keywords!$A$2:$A$40,B155)),0),0)),"Review"))</f>
        <v/>
      </c>
    </row>
    <row r="156">
      <c r="A156" s="2" t="n"/>
      <c r="B156" s="3" t="n"/>
      <c r="C156" s="4" t="n"/>
      <c r="D156" s="5">
        <f>IF(B156="","",IFERROR(INDEX(Keywords!$B$2:$B$40,MATCH(1,INDEX((Keywords!$A$2:$A$40&lt;&gt;"")*(Keywords!$B$2:$B$40&lt;&gt;"")*ISNUMBER(SEARCH(Keywords!$A$2:$A$40,B156)),0),0)),"Review"))</f>
        <v/>
      </c>
    </row>
    <row r="157">
      <c r="A157" s="2" t="n"/>
      <c r="B157" s="3" t="n"/>
      <c r="C157" s="4" t="n"/>
      <c r="D157" s="5">
        <f>IF(B157="","",IFERROR(INDEX(Keywords!$B$2:$B$40,MATCH(1,INDEX((Keywords!$A$2:$A$40&lt;&gt;"")*(Keywords!$B$2:$B$40&lt;&gt;"")*ISNUMBER(SEARCH(Keywords!$A$2:$A$40,B157)),0),0)),"Review"))</f>
        <v/>
      </c>
    </row>
    <row r="158">
      <c r="A158" s="2" t="n"/>
      <c r="B158" s="3" t="n"/>
      <c r="C158" s="4" t="n"/>
      <c r="D158" s="5">
        <f>IF(B158="","",IFERROR(INDEX(Keywords!$B$2:$B$40,MATCH(1,INDEX((Keywords!$A$2:$A$40&lt;&gt;"")*(Keywords!$B$2:$B$40&lt;&gt;"")*ISNUMBER(SEARCH(Keywords!$A$2:$A$40,B158)),0),0)),"Review"))</f>
        <v/>
      </c>
    </row>
    <row r="159">
      <c r="A159" s="2" t="n"/>
      <c r="B159" s="3" t="n"/>
      <c r="C159" s="4" t="n"/>
      <c r="D159" s="5">
        <f>IF(B159="","",IFERROR(INDEX(Keywords!$B$2:$B$40,MATCH(1,INDEX((Keywords!$A$2:$A$40&lt;&gt;"")*(Keywords!$B$2:$B$40&lt;&gt;"")*ISNUMBER(SEARCH(Keywords!$A$2:$A$40,B159)),0),0)),"Review"))</f>
        <v/>
      </c>
    </row>
    <row r="160">
      <c r="A160" s="2" t="n"/>
      <c r="B160" s="3" t="n"/>
      <c r="C160" s="4" t="n"/>
      <c r="D160" s="5">
        <f>IF(B160="","",IFERROR(INDEX(Keywords!$B$2:$B$40,MATCH(1,INDEX((Keywords!$A$2:$A$40&lt;&gt;"")*(Keywords!$B$2:$B$40&lt;&gt;"")*ISNUMBER(SEARCH(Keywords!$A$2:$A$40,B160)),0),0)),"Review"))</f>
        <v/>
      </c>
    </row>
    <row r="161">
      <c r="A161" s="2" t="n"/>
      <c r="B161" s="3" t="n"/>
      <c r="C161" s="4" t="n"/>
      <c r="D161" s="5">
        <f>IF(B161="","",IFERROR(INDEX(Keywords!$B$2:$B$40,MATCH(1,INDEX((Keywords!$A$2:$A$40&lt;&gt;"")*(Keywords!$B$2:$B$40&lt;&gt;"")*ISNUMBER(SEARCH(Keywords!$A$2:$A$40,B161)),0),0)),"Review"))</f>
        <v/>
      </c>
    </row>
    <row r="162">
      <c r="A162" s="2" t="n"/>
      <c r="B162" s="3" t="n"/>
      <c r="C162" s="4" t="n"/>
      <c r="D162" s="5">
        <f>IF(B162="","",IFERROR(INDEX(Keywords!$B$2:$B$40,MATCH(1,INDEX((Keywords!$A$2:$A$40&lt;&gt;"")*(Keywords!$B$2:$B$40&lt;&gt;"")*ISNUMBER(SEARCH(Keywords!$A$2:$A$40,B162)),0),0)),"Review"))</f>
        <v/>
      </c>
    </row>
    <row r="163">
      <c r="A163" s="2" t="n"/>
      <c r="B163" s="3" t="n"/>
      <c r="C163" s="4" t="n"/>
      <c r="D163" s="5">
        <f>IF(B163="","",IFERROR(INDEX(Keywords!$B$2:$B$40,MATCH(1,INDEX((Keywords!$A$2:$A$40&lt;&gt;"")*(Keywords!$B$2:$B$40&lt;&gt;"")*ISNUMBER(SEARCH(Keywords!$A$2:$A$40,B163)),0),0)),"Review"))</f>
        <v/>
      </c>
    </row>
    <row r="164">
      <c r="A164" s="2" t="n"/>
      <c r="B164" s="3" t="n"/>
      <c r="C164" s="4" t="n"/>
      <c r="D164" s="5">
        <f>IF(B164="","",IFERROR(INDEX(Keywords!$B$2:$B$40,MATCH(1,INDEX((Keywords!$A$2:$A$40&lt;&gt;"")*(Keywords!$B$2:$B$40&lt;&gt;"")*ISNUMBER(SEARCH(Keywords!$A$2:$A$40,B164)),0),0)),"Review"))</f>
        <v/>
      </c>
    </row>
    <row r="165">
      <c r="A165" s="2" t="n"/>
      <c r="B165" s="3" t="n"/>
      <c r="C165" s="4" t="n"/>
      <c r="D165" s="5">
        <f>IF(B165="","",IFERROR(INDEX(Keywords!$B$2:$B$40,MATCH(1,INDEX((Keywords!$A$2:$A$40&lt;&gt;"")*(Keywords!$B$2:$B$40&lt;&gt;"")*ISNUMBER(SEARCH(Keywords!$A$2:$A$40,B165)),0),0)),"Review"))</f>
        <v/>
      </c>
    </row>
    <row r="166">
      <c r="A166" s="2" t="n"/>
      <c r="B166" s="3" t="n"/>
      <c r="C166" s="4" t="n"/>
      <c r="D166" s="5">
        <f>IF(B166="","",IFERROR(INDEX(Keywords!$B$2:$B$40,MATCH(1,INDEX((Keywords!$A$2:$A$40&lt;&gt;"")*(Keywords!$B$2:$B$40&lt;&gt;"")*ISNUMBER(SEARCH(Keywords!$A$2:$A$40,B166)),0),0)),"Review"))</f>
        <v/>
      </c>
    </row>
    <row r="167">
      <c r="A167" s="2" t="n"/>
      <c r="B167" s="3" t="n"/>
      <c r="C167" s="4" t="n"/>
      <c r="D167" s="5">
        <f>IF(B167="","",IFERROR(INDEX(Keywords!$B$2:$B$40,MATCH(1,INDEX((Keywords!$A$2:$A$40&lt;&gt;"")*(Keywords!$B$2:$B$40&lt;&gt;"")*ISNUMBER(SEARCH(Keywords!$A$2:$A$40,B167)),0),0)),"Review"))</f>
        <v/>
      </c>
    </row>
    <row r="168">
      <c r="A168" s="2" t="n"/>
      <c r="B168" s="3" t="n"/>
      <c r="C168" s="4" t="n"/>
      <c r="D168" s="5">
        <f>IF(B168="","",IFERROR(INDEX(Keywords!$B$2:$B$40,MATCH(1,INDEX((Keywords!$A$2:$A$40&lt;&gt;"")*(Keywords!$B$2:$B$40&lt;&gt;"")*ISNUMBER(SEARCH(Keywords!$A$2:$A$40,B168)),0),0)),"Review"))</f>
        <v/>
      </c>
    </row>
    <row r="169">
      <c r="A169" s="2" t="n"/>
      <c r="B169" s="3" t="n"/>
      <c r="C169" s="4" t="n"/>
      <c r="D169" s="5">
        <f>IF(B169="","",IFERROR(INDEX(Keywords!$B$2:$B$40,MATCH(1,INDEX((Keywords!$A$2:$A$40&lt;&gt;"")*(Keywords!$B$2:$B$40&lt;&gt;"")*ISNUMBER(SEARCH(Keywords!$A$2:$A$40,B169)),0),0)),"Review"))</f>
        <v/>
      </c>
    </row>
    <row r="170">
      <c r="A170" s="2" t="n"/>
      <c r="B170" s="3" t="n"/>
      <c r="C170" s="4" t="n"/>
      <c r="D170" s="5">
        <f>IF(B170="","",IFERROR(INDEX(Keywords!$B$2:$B$40,MATCH(1,INDEX((Keywords!$A$2:$A$40&lt;&gt;"")*(Keywords!$B$2:$B$40&lt;&gt;"")*ISNUMBER(SEARCH(Keywords!$A$2:$A$40,B170)),0),0)),"Review"))</f>
        <v/>
      </c>
    </row>
    <row r="171">
      <c r="A171" s="2" t="n"/>
      <c r="B171" s="3" t="n"/>
      <c r="C171" s="4" t="n"/>
      <c r="D171" s="5">
        <f>IF(B171="","",IFERROR(INDEX(Keywords!$B$2:$B$40,MATCH(1,INDEX((Keywords!$A$2:$A$40&lt;&gt;"")*(Keywords!$B$2:$B$40&lt;&gt;"")*ISNUMBER(SEARCH(Keywords!$A$2:$A$40,B171)),0),0)),"Review"))</f>
        <v/>
      </c>
    </row>
    <row r="172">
      <c r="A172" s="2" t="n"/>
      <c r="B172" s="3" t="n"/>
      <c r="C172" s="4" t="n"/>
      <c r="D172" s="5">
        <f>IF(B172="","",IFERROR(INDEX(Keywords!$B$2:$B$40,MATCH(1,INDEX((Keywords!$A$2:$A$40&lt;&gt;"")*(Keywords!$B$2:$B$40&lt;&gt;"")*ISNUMBER(SEARCH(Keywords!$A$2:$A$40,B172)),0),0)),"Review"))</f>
        <v/>
      </c>
    </row>
    <row r="173">
      <c r="A173" s="2" t="n"/>
      <c r="B173" s="3" t="n"/>
      <c r="C173" s="4" t="n"/>
      <c r="D173" s="5">
        <f>IF(B173="","",IFERROR(INDEX(Keywords!$B$2:$B$40,MATCH(1,INDEX((Keywords!$A$2:$A$40&lt;&gt;"")*(Keywords!$B$2:$B$40&lt;&gt;"")*ISNUMBER(SEARCH(Keywords!$A$2:$A$40,B173)),0),0)),"Review"))</f>
        <v/>
      </c>
    </row>
    <row r="174">
      <c r="A174" s="2" t="n"/>
      <c r="B174" s="3" t="n"/>
      <c r="C174" s="4" t="n"/>
      <c r="D174" s="5">
        <f>IF(B174="","",IFERROR(INDEX(Keywords!$B$2:$B$40,MATCH(1,INDEX((Keywords!$A$2:$A$40&lt;&gt;"")*(Keywords!$B$2:$B$40&lt;&gt;"")*ISNUMBER(SEARCH(Keywords!$A$2:$A$40,B174)),0),0)),"Review"))</f>
        <v/>
      </c>
    </row>
    <row r="175">
      <c r="A175" s="2" t="n"/>
      <c r="B175" s="3" t="n"/>
      <c r="C175" s="4" t="n"/>
      <c r="D175" s="5">
        <f>IF(B175="","",IFERROR(INDEX(Keywords!$B$2:$B$40,MATCH(1,INDEX((Keywords!$A$2:$A$40&lt;&gt;"")*(Keywords!$B$2:$B$40&lt;&gt;"")*ISNUMBER(SEARCH(Keywords!$A$2:$A$40,B175)),0),0)),"Review"))</f>
        <v/>
      </c>
    </row>
    <row r="176">
      <c r="A176" s="2" t="n"/>
      <c r="B176" s="3" t="n"/>
      <c r="C176" s="4" t="n"/>
      <c r="D176" s="5">
        <f>IF(B176="","",IFERROR(INDEX(Keywords!$B$2:$B$40,MATCH(1,INDEX((Keywords!$A$2:$A$40&lt;&gt;"")*(Keywords!$B$2:$B$40&lt;&gt;"")*ISNUMBER(SEARCH(Keywords!$A$2:$A$40,B176)),0),0)),"Review"))</f>
        <v/>
      </c>
    </row>
    <row r="177">
      <c r="A177" s="2" t="n"/>
      <c r="B177" s="3" t="n"/>
      <c r="C177" s="4" t="n"/>
      <c r="D177" s="5">
        <f>IF(B177="","",IFERROR(INDEX(Keywords!$B$2:$B$40,MATCH(1,INDEX((Keywords!$A$2:$A$40&lt;&gt;"")*(Keywords!$B$2:$B$40&lt;&gt;"")*ISNUMBER(SEARCH(Keywords!$A$2:$A$40,B177)),0),0)),"Review"))</f>
        <v/>
      </c>
    </row>
    <row r="178">
      <c r="A178" s="2" t="n"/>
      <c r="B178" s="3" t="n"/>
      <c r="C178" s="4" t="n"/>
      <c r="D178" s="5">
        <f>IF(B178="","",IFERROR(INDEX(Keywords!$B$2:$B$40,MATCH(1,INDEX((Keywords!$A$2:$A$40&lt;&gt;"")*(Keywords!$B$2:$B$40&lt;&gt;"")*ISNUMBER(SEARCH(Keywords!$A$2:$A$40,B178)),0),0)),"Review"))</f>
        <v/>
      </c>
    </row>
    <row r="179">
      <c r="A179" s="2" t="n"/>
      <c r="B179" s="3" t="n"/>
      <c r="C179" s="4" t="n"/>
      <c r="D179" s="5">
        <f>IF(B179="","",IFERROR(INDEX(Keywords!$B$2:$B$40,MATCH(1,INDEX((Keywords!$A$2:$A$40&lt;&gt;"")*(Keywords!$B$2:$B$40&lt;&gt;"")*ISNUMBER(SEARCH(Keywords!$A$2:$A$40,B179)),0),0)),"Review"))</f>
        <v/>
      </c>
    </row>
    <row r="180">
      <c r="A180" s="2" t="n"/>
      <c r="B180" s="3" t="n"/>
      <c r="C180" s="4" t="n"/>
      <c r="D180" s="5">
        <f>IF(B180="","",IFERROR(INDEX(Keywords!$B$2:$B$40,MATCH(1,INDEX((Keywords!$A$2:$A$40&lt;&gt;"")*(Keywords!$B$2:$B$40&lt;&gt;"")*ISNUMBER(SEARCH(Keywords!$A$2:$A$40,B180)),0),0)),"Review"))</f>
        <v/>
      </c>
    </row>
    <row r="181">
      <c r="A181" s="2" t="n"/>
      <c r="B181" s="3" t="n"/>
      <c r="C181" s="4" t="n"/>
      <c r="D181" s="5">
        <f>IF(B181="","",IFERROR(INDEX(Keywords!$B$2:$B$40,MATCH(1,INDEX((Keywords!$A$2:$A$40&lt;&gt;"")*(Keywords!$B$2:$B$40&lt;&gt;"")*ISNUMBER(SEARCH(Keywords!$A$2:$A$40,B181)),0),0)),"Review"))</f>
        <v/>
      </c>
    </row>
    <row r="182">
      <c r="A182" s="2" t="n"/>
      <c r="B182" s="3" t="n"/>
      <c r="C182" s="4" t="n"/>
      <c r="D182" s="5">
        <f>IF(B182="","",IFERROR(INDEX(Keywords!$B$2:$B$40,MATCH(1,INDEX((Keywords!$A$2:$A$40&lt;&gt;"")*(Keywords!$B$2:$B$40&lt;&gt;"")*ISNUMBER(SEARCH(Keywords!$A$2:$A$40,B182)),0),0)),"Review"))</f>
        <v/>
      </c>
    </row>
    <row r="183">
      <c r="A183" s="2" t="n"/>
      <c r="B183" s="3" t="n"/>
      <c r="C183" s="4" t="n"/>
      <c r="D183" s="5">
        <f>IF(B183="","",IFERROR(INDEX(Keywords!$B$2:$B$40,MATCH(1,INDEX((Keywords!$A$2:$A$40&lt;&gt;"")*(Keywords!$B$2:$B$40&lt;&gt;"")*ISNUMBER(SEARCH(Keywords!$A$2:$A$40,B183)),0),0)),"Review"))</f>
        <v/>
      </c>
    </row>
    <row r="184">
      <c r="A184" s="2" t="n"/>
      <c r="B184" s="3" t="n"/>
      <c r="C184" s="4" t="n"/>
      <c r="D184" s="5">
        <f>IF(B184="","",IFERROR(INDEX(Keywords!$B$2:$B$40,MATCH(1,INDEX((Keywords!$A$2:$A$40&lt;&gt;"")*(Keywords!$B$2:$B$40&lt;&gt;"")*ISNUMBER(SEARCH(Keywords!$A$2:$A$40,B184)),0),0)),"Review"))</f>
        <v/>
      </c>
    </row>
    <row r="185">
      <c r="A185" s="2" t="n"/>
      <c r="B185" s="3" t="n"/>
      <c r="C185" s="4" t="n"/>
      <c r="D185" s="5">
        <f>IF(B185="","",IFERROR(INDEX(Keywords!$B$2:$B$40,MATCH(1,INDEX((Keywords!$A$2:$A$40&lt;&gt;"")*(Keywords!$B$2:$B$40&lt;&gt;"")*ISNUMBER(SEARCH(Keywords!$A$2:$A$40,B185)),0),0)),"Review"))</f>
        <v/>
      </c>
    </row>
    <row r="186">
      <c r="A186" s="2" t="n"/>
      <c r="B186" s="3" t="n"/>
      <c r="C186" s="4" t="n"/>
      <c r="D186" s="5">
        <f>IF(B186="","",IFERROR(INDEX(Keywords!$B$2:$B$40,MATCH(1,INDEX((Keywords!$A$2:$A$40&lt;&gt;"")*(Keywords!$B$2:$B$40&lt;&gt;"")*ISNUMBER(SEARCH(Keywords!$A$2:$A$40,B186)),0),0)),"Review"))</f>
        <v/>
      </c>
    </row>
    <row r="187">
      <c r="A187" s="2" t="n"/>
      <c r="B187" s="3" t="n"/>
      <c r="C187" s="4" t="n"/>
      <c r="D187" s="5">
        <f>IF(B187="","",IFERROR(INDEX(Keywords!$B$2:$B$40,MATCH(1,INDEX((Keywords!$A$2:$A$40&lt;&gt;"")*(Keywords!$B$2:$B$40&lt;&gt;"")*ISNUMBER(SEARCH(Keywords!$A$2:$A$40,B187)),0),0)),"Review"))</f>
        <v/>
      </c>
    </row>
    <row r="188">
      <c r="A188" s="2" t="n"/>
      <c r="B188" s="3" t="n"/>
      <c r="C188" s="4" t="n"/>
      <c r="D188" s="5">
        <f>IF(B188="","",IFERROR(INDEX(Keywords!$B$2:$B$40,MATCH(1,INDEX((Keywords!$A$2:$A$40&lt;&gt;"")*(Keywords!$B$2:$B$40&lt;&gt;"")*ISNUMBER(SEARCH(Keywords!$A$2:$A$40,B188)),0),0)),"Review"))</f>
        <v/>
      </c>
    </row>
    <row r="189">
      <c r="A189" s="2" t="n"/>
      <c r="B189" s="3" t="n"/>
      <c r="C189" s="4" t="n"/>
      <c r="D189" s="5">
        <f>IF(B189="","",IFERROR(INDEX(Keywords!$B$2:$B$40,MATCH(1,INDEX((Keywords!$A$2:$A$40&lt;&gt;"")*(Keywords!$B$2:$B$40&lt;&gt;"")*ISNUMBER(SEARCH(Keywords!$A$2:$A$40,B189)),0),0)),"Review"))</f>
        <v/>
      </c>
    </row>
    <row r="190">
      <c r="A190" s="2" t="n"/>
      <c r="B190" s="3" t="n"/>
      <c r="C190" s="4" t="n"/>
      <c r="D190" s="5">
        <f>IF(B190="","",IFERROR(INDEX(Keywords!$B$2:$B$40,MATCH(1,INDEX((Keywords!$A$2:$A$40&lt;&gt;"")*(Keywords!$B$2:$B$40&lt;&gt;"")*ISNUMBER(SEARCH(Keywords!$A$2:$A$40,B190)),0),0)),"Review"))</f>
        <v/>
      </c>
    </row>
    <row r="191">
      <c r="A191" s="2" t="n"/>
      <c r="B191" s="3" t="n"/>
      <c r="C191" s="4" t="n"/>
      <c r="D191" s="5">
        <f>IF(B191="","",IFERROR(INDEX(Keywords!$B$2:$B$40,MATCH(1,INDEX((Keywords!$A$2:$A$40&lt;&gt;"")*(Keywords!$B$2:$B$40&lt;&gt;"")*ISNUMBER(SEARCH(Keywords!$A$2:$A$40,B191)),0),0)),"Review"))</f>
        <v/>
      </c>
    </row>
    <row r="192">
      <c r="A192" s="2" t="n"/>
      <c r="B192" s="3" t="n"/>
      <c r="C192" s="4" t="n"/>
      <c r="D192" s="5">
        <f>IF(B192="","",IFERROR(INDEX(Keywords!$B$2:$B$40,MATCH(1,INDEX((Keywords!$A$2:$A$40&lt;&gt;"")*(Keywords!$B$2:$B$40&lt;&gt;"")*ISNUMBER(SEARCH(Keywords!$A$2:$A$40,B192)),0),0)),"Review"))</f>
        <v/>
      </c>
    </row>
    <row r="193">
      <c r="A193" s="2" t="n"/>
      <c r="B193" s="3" t="n"/>
      <c r="C193" s="4" t="n"/>
      <c r="D193" s="5">
        <f>IF(B193="","",IFERROR(INDEX(Keywords!$B$2:$B$40,MATCH(1,INDEX((Keywords!$A$2:$A$40&lt;&gt;"")*(Keywords!$B$2:$B$40&lt;&gt;"")*ISNUMBER(SEARCH(Keywords!$A$2:$A$40,B193)),0),0)),"Review"))</f>
        <v/>
      </c>
    </row>
    <row r="194">
      <c r="A194" s="2" t="n"/>
      <c r="B194" s="3" t="n"/>
      <c r="C194" s="4" t="n"/>
      <c r="D194" s="5">
        <f>IF(B194="","",IFERROR(INDEX(Keywords!$B$2:$B$40,MATCH(1,INDEX((Keywords!$A$2:$A$40&lt;&gt;"")*(Keywords!$B$2:$B$40&lt;&gt;"")*ISNUMBER(SEARCH(Keywords!$A$2:$A$40,B194)),0),0)),"Review"))</f>
        <v/>
      </c>
    </row>
    <row r="195">
      <c r="A195" s="2" t="n"/>
      <c r="B195" s="3" t="n"/>
      <c r="C195" s="4" t="n"/>
      <c r="D195" s="5">
        <f>IF(B195="","",IFERROR(INDEX(Keywords!$B$2:$B$40,MATCH(1,INDEX((Keywords!$A$2:$A$40&lt;&gt;"")*(Keywords!$B$2:$B$40&lt;&gt;"")*ISNUMBER(SEARCH(Keywords!$A$2:$A$40,B195)),0),0)),"Review"))</f>
        <v/>
      </c>
    </row>
    <row r="196">
      <c r="A196" s="2" t="n"/>
      <c r="B196" s="3" t="n"/>
      <c r="C196" s="4" t="n"/>
      <c r="D196" s="5">
        <f>IF(B196="","",IFERROR(INDEX(Keywords!$B$2:$B$40,MATCH(1,INDEX((Keywords!$A$2:$A$40&lt;&gt;"")*(Keywords!$B$2:$B$40&lt;&gt;"")*ISNUMBER(SEARCH(Keywords!$A$2:$A$40,B196)),0),0)),"Review"))</f>
        <v/>
      </c>
    </row>
    <row r="197">
      <c r="A197" s="2" t="n"/>
      <c r="B197" s="3" t="n"/>
      <c r="C197" s="4" t="n"/>
      <c r="D197" s="5">
        <f>IF(B197="","",IFERROR(INDEX(Keywords!$B$2:$B$40,MATCH(1,INDEX((Keywords!$A$2:$A$40&lt;&gt;"")*(Keywords!$B$2:$B$40&lt;&gt;"")*ISNUMBER(SEARCH(Keywords!$A$2:$A$40,B197)),0),0)),"Review"))</f>
        <v/>
      </c>
    </row>
    <row r="198">
      <c r="A198" s="2" t="n"/>
      <c r="B198" s="3" t="n"/>
      <c r="C198" s="4" t="n"/>
      <c r="D198" s="5">
        <f>IF(B198="","",IFERROR(INDEX(Keywords!$B$2:$B$40,MATCH(1,INDEX((Keywords!$A$2:$A$40&lt;&gt;"")*(Keywords!$B$2:$B$40&lt;&gt;"")*ISNUMBER(SEARCH(Keywords!$A$2:$A$40,B198)),0),0)),"Review"))</f>
        <v/>
      </c>
    </row>
    <row r="199">
      <c r="A199" s="2" t="n"/>
      <c r="B199" s="3" t="n"/>
      <c r="C199" s="4" t="n"/>
      <c r="D199" s="5">
        <f>IF(B199="","",IFERROR(INDEX(Keywords!$B$2:$B$40,MATCH(1,INDEX((Keywords!$A$2:$A$40&lt;&gt;"")*(Keywords!$B$2:$B$40&lt;&gt;"")*ISNUMBER(SEARCH(Keywords!$A$2:$A$40,B199)),0),0)),"Review"))</f>
        <v/>
      </c>
    </row>
    <row r="200">
      <c r="A200" s="2" t="n"/>
      <c r="B200" s="3" t="n"/>
      <c r="C200" s="4" t="n"/>
      <c r="D200" s="5">
        <f>IF(B200="","",IFERROR(INDEX(Keywords!$B$2:$B$40,MATCH(1,INDEX((Keywords!$A$2:$A$40&lt;&gt;"")*(Keywords!$B$2:$B$40&lt;&gt;"")*ISNUMBER(SEARCH(Keywords!$A$2:$A$40,B200)),0),0)),"Review"))</f>
        <v/>
      </c>
    </row>
  </sheetData>
  <conditionalFormatting sqref="A2:D200">
    <cfRule type="expression" priority="1" dxfId="0">
      <formula>$D2="Review"</formula>
    </cfRule>
  </conditionalFormatting>
  <conditionalFormatting sqref="G10">
    <cfRule type="expression" priority="2" dxfId="0">
      <formula>AND(G10&lt;&gt;"OK",G10&lt;&gt;"")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</cols>
  <sheetData>
    <row r="1" ht="30" customHeight="1">
      <c r="A1" s="1" t="inlineStr">
        <is>
          <t>Keyword (part of the description)</t>
        </is>
      </c>
      <c r="B1" s="1" t="inlineStr">
        <is>
          <t>Category</t>
        </is>
      </c>
    </row>
    <row r="2">
      <c r="A2" s="3" t="inlineStr">
        <is>
          <t>shell</t>
        </is>
      </c>
      <c r="B2" s="3" t="inlineStr">
        <is>
          <t>Fuel</t>
        </is>
      </c>
    </row>
    <row r="3">
      <c r="A3" s="3" t="inlineStr">
        <is>
          <t>exxon</t>
        </is>
      </c>
      <c r="B3" s="3" t="inlineStr">
        <is>
          <t>Fuel</t>
        </is>
      </c>
    </row>
    <row r="4">
      <c r="A4" s="3" t="inlineStr">
        <is>
          <t>usps</t>
        </is>
      </c>
      <c r="B4" s="3" t="inlineStr">
        <is>
          <t>Postage</t>
        </is>
      </c>
    </row>
    <row r="5">
      <c r="A5" s="3" t="inlineStr">
        <is>
          <t>stamps.com</t>
        </is>
      </c>
      <c r="B5" s="3" t="inlineStr">
        <is>
          <t>Postage</t>
        </is>
      </c>
    </row>
    <row r="6">
      <c r="A6" s="3" t="inlineStr">
        <is>
          <t>etsy</t>
        </is>
      </c>
      <c r="B6" s="3" t="inlineStr">
        <is>
          <t>Fees</t>
        </is>
      </c>
    </row>
    <row r="7">
      <c r="A7" s="3" t="inlineStr">
        <is>
          <t>paypal</t>
        </is>
      </c>
      <c r="B7" s="3" t="inlineStr">
        <is>
          <t>Fees</t>
        </is>
      </c>
    </row>
    <row r="8">
      <c r="A8" s="3" t="inlineStr">
        <is>
          <t>staples</t>
        </is>
      </c>
      <c r="B8" s="3" t="inlineStr">
        <is>
          <t>Supplies</t>
        </is>
      </c>
    </row>
    <row r="9">
      <c r="A9" s="3" t="inlineStr">
        <is>
          <t>uline</t>
        </is>
      </c>
      <c r="B9" s="3" t="inlineStr">
        <is>
          <t>Supplies</t>
        </is>
      </c>
    </row>
    <row r="10">
      <c r="A10" s="3" t="inlineStr">
        <is>
          <t>office depot</t>
        </is>
      </c>
      <c r="B10" s="3" t="inlineStr">
        <is>
          <t>Supplies</t>
        </is>
      </c>
    </row>
    <row r="11">
      <c r="A11" s="3" t="inlineStr">
        <is>
          <t>adobe</t>
        </is>
      </c>
      <c r="B11" s="3" t="inlineStr">
        <is>
          <t>Software</t>
        </is>
      </c>
    </row>
    <row r="12">
      <c r="A12" s="3" t="inlineStr">
        <is>
          <t>zoom</t>
        </is>
      </c>
      <c r="B12" s="3" t="inlineStr">
        <is>
          <t>Software</t>
        </is>
      </c>
    </row>
    <row r="13">
      <c r="A13" s="3" t="inlineStr">
        <is>
          <t>quickbooks</t>
        </is>
      </c>
      <c r="B13" s="3" t="inlineStr">
        <is>
          <t>Software</t>
        </is>
      </c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</sheetData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Tidy Tabs: Auto-Categorize Expenses From Bank Descriptions</t>
        </is>
      </c>
    </row>
    <row r="2">
      <c r="A2" s="12" t="inlineStr"/>
    </row>
    <row r="3">
      <c r="A3" s="12" t="inlineStr">
        <is>
          <t>1. Keywords tab: type a word that appears in the bank description (A) and the category you want (B). Rows 2 to 40 are read. Yellow. The sample has 12 keywords. Categories are your own choice; the sheet does not say what is deductible.</t>
        </is>
      </c>
    </row>
    <row r="4">
      <c r="A4" s="12" t="inlineStr">
        <is>
          <t>2. Expenses tab: paste the date, bank description and amount in A:C (rows 2 to 200). Yellow. The sample is 25 fictional lines.</t>
        </is>
      </c>
    </row>
    <row r="5">
      <c r="A5" s="12" t="inlineStr">
        <is>
          <t>3. Category, D2: =IF(B2="","",IFERROR(INDEX(Keywords!$B$2:$B$40,MATCH(1,INDEX((Keywords!$A$2:$A$40&lt;&gt;"")*(Keywords!$B$2:$B$40&lt;&gt;"")*ISNUMBER(SEARCH(Keywords!$A$2:$A$40,B2)),0),0)),"Review")). SEARCH ignores capital letters. The first keyword in the table that is found in the description wins, so put the more specific keyword higher up. A line with no matching keyword shows Review (red).</t>
        </is>
      </c>
    </row>
    <row r="6">
      <c r="A6" s="12" t="inlineStr">
        <is>
          <t>4. The two &lt;&gt;"" tests keep an empty keyword row from matching. Without them, a blank keyword cell is not handled the same way in every app (in LibreOffice the unguarded lookup returned #N/A for every line). A keyword row with no category is skipped.</t>
        </is>
      </c>
    </row>
    <row r="7">
      <c r="A7" s="12" t="inlineStr">
        <is>
          <t>5. SEARCH treats * and ? in a keyword as wildcards (and ~ cancels a wildcard; in LibreOffice a keyword of * matched every description). Avoid those characters in keywords.</t>
        </is>
      </c>
    </row>
    <row r="8">
      <c r="A8" s="12" t="inlineStr">
        <is>
          <t>6. Category totals, F2:G7: SUMIF on column D. Type your category names in F2:F6 (yellow); if you add a new category in Keywords, add it here too. G10 shows OK when the category totals add up to the total in G8.</t>
        </is>
      </c>
    </row>
    <row r="9">
      <c r="A9" s="12" t="inlineStr">
        <is>
          <t>7. Bank descriptions are fictional. Checked in LibreOffice Calc only; not opened in Excel or Google Sheets.</t>
        </is>
      </c>
    </row>
    <row r="10">
      <c r="A10" s="12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2026-10-24T07:32:28Z</dcterms:created>
  <dcterms:modified xsi:type="dcterms:W3CDTF">2026-10-24T07:32:28Z</dcterms:modified>
</cp:coreProperties>
</file>