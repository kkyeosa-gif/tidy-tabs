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'Clients'!$1:$1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9" customWidth="1" min="4" max="4"/>
    <col width="14" customWidth="1" min="5" max="5"/>
    <col width="13" customWidth="1" min="6" max="6"/>
    <col width="4" customWidth="1" min="7" max="7"/>
    <col width="34" customWidth="1" min="8" max="8"/>
    <col width="12" customWidth="1" min="9" max="9"/>
  </cols>
  <sheetData>
    <row r="1" ht="30" customHeight="1">
      <c r="A1" s="1" t="inlineStr">
        <is>
          <t>Client</t>
        </is>
      </c>
      <c r="B1" s="1" t="inlineStr">
        <is>
          <t>First project date</t>
        </is>
      </c>
      <c r="C1" s="1" t="inlineStr">
        <is>
          <t>Years</t>
        </is>
      </c>
      <c r="D1" s="1" t="inlineStr">
        <is>
          <t>Months</t>
        </is>
      </c>
      <c r="E1" s="1" t="inlineStr">
        <is>
          <t>Time with you</t>
        </is>
      </c>
      <c r="F1" s="1" t="inlineStr">
        <is>
          <t>Total months</t>
        </is>
      </c>
      <c r="H1" s="2" t="inlineStr">
        <is>
          <t>Settings and results</t>
        </is>
      </c>
    </row>
    <row r="2">
      <c r="A2" s="3" t="inlineStr">
        <is>
          <t>Maple Street Bakery</t>
        </is>
      </c>
      <c r="B2" s="4" t="n">
        <v>44270</v>
      </c>
      <c r="C2" s="5">
        <f>IF(B2="","",IF(NOT(ISNUMBER(B2)),"Check date",IF(B2&gt;$I$2,"Check date",DATEDIF(B2,$I$2,"y"))))</f>
        <v/>
      </c>
      <c r="D2" s="5">
        <f>IF(ISNUMBER(C2),DATEDIF(B2,$I$2,"ym"),"")</f>
        <v/>
      </c>
      <c r="E2" s="5">
        <f>IF(ISNUMBER(C2),C2&amp;" yr "&amp;D2&amp;" mo","")</f>
        <v/>
      </c>
      <c r="F2" s="5">
        <f>IF(ISNUMBER(C2),C2*12+D2,"")</f>
        <v/>
      </c>
      <c r="H2" t="inlineStr">
        <is>
          <t>As of date</t>
        </is>
      </c>
      <c r="I2" s="4" t="n">
        <v>46311</v>
      </c>
    </row>
    <row r="3">
      <c r="A3" s="3" t="inlineStr">
        <is>
          <t>Harbor Yoga Studio</t>
        </is>
      </c>
      <c r="B3" s="4" t="n">
        <v>44867</v>
      </c>
      <c r="C3" s="5">
        <f>IF(B3="","",IF(NOT(ISNUMBER(B3)),"Check date",IF(B3&gt;$I$2,"Check date",DATEDIF(B3,$I$2,"y"))))</f>
        <v/>
      </c>
      <c r="D3" s="5">
        <f>IF(ISNUMBER(C3),DATEDIF(B3,$I$2,"ym"),"")</f>
        <v/>
      </c>
      <c r="E3" s="5">
        <f>IF(ISNUMBER(C3),C3&amp;" yr "&amp;D3&amp;" mo","")</f>
        <v/>
      </c>
      <c r="F3" s="5">
        <f>IF(ISNUMBER(C3),C3*12+D3,"")</f>
        <v/>
      </c>
      <c r="H3" t="inlineStr">
        <is>
          <t>Count clients with at least (years)</t>
        </is>
      </c>
      <c r="I3" s="3" t="n">
        <v>3</v>
      </c>
    </row>
    <row r="4">
      <c r="A4" s="3" t="inlineStr">
        <is>
          <t>Birch Design Co</t>
        </is>
      </c>
      <c r="B4" s="4" t="n">
        <v>45351</v>
      </c>
      <c r="C4" s="5">
        <f>IF(B4="","",IF(NOT(ISNUMBER(B4)),"Check date",IF(B4&gt;$I$2,"Check date",DATEDIF(B4,$I$2,"y"))))</f>
        <v/>
      </c>
      <c r="D4" s="5">
        <f>IF(ISNUMBER(C4),DATEDIF(B4,$I$2,"ym"),"")</f>
        <v/>
      </c>
      <c r="E4" s="5">
        <f>IF(ISNUMBER(C4),C4&amp;" yr "&amp;D4&amp;" mo","")</f>
        <v/>
      </c>
      <c r="F4" s="5">
        <f>IF(ISNUMBER(C4),C4*12+D4,"")</f>
        <v/>
      </c>
      <c r="H4" t="inlineStr">
        <is>
          <t>Clients with a valid date</t>
        </is>
      </c>
      <c r="I4" s="6">
        <f>COUNT(C2:C30)</f>
        <v/>
      </c>
    </row>
    <row r="5">
      <c r="A5" s="3" t="inlineStr">
        <is>
          <t>Lantern Print Shop</t>
        </is>
      </c>
      <c r="B5" s="4" t="n">
        <v>45889</v>
      </c>
      <c r="C5" s="5">
        <f>IF(B5="","",IF(NOT(ISNUMBER(B5)),"Check date",IF(B5&gt;$I$2,"Check date",DATEDIF(B5,$I$2,"y"))))</f>
        <v/>
      </c>
      <c r="D5" s="5">
        <f>IF(ISNUMBER(C5),DATEDIF(B5,$I$2,"ym"),"")</f>
        <v/>
      </c>
      <c r="E5" s="5">
        <f>IF(ISNUMBER(C5),C5&amp;" yr "&amp;D5&amp;" mo","")</f>
        <v/>
      </c>
      <c r="F5" s="5">
        <f>IF(ISNUMBER(C5),C5*12+D5,"")</f>
        <v/>
      </c>
      <c r="H5" t="inlineStr">
        <is>
          <t>Clients at or over I3 years</t>
        </is>
      </c>
      <c r="I5" s="6">
        <f>COUNTIF(C2:C30,"&gt;="&amp;I3)</f>
        <v/>
      </c>
    </row>
    <row r="6">
      <c r="A6" s="3" t="inlineStr">
        <is>
          <t>Cedar Row Realty</t>
        </is>
      </c>
      <c r="B6" s="4" t="n">
        <v>45215</v>
      </c>
      <c r="C6" s="5">
        <f>IF(B6="","",IF(NOT(ISNUMBER(B6)),"Check date",IF(B6&gt;$I$2,"Check date",DATEDIF(B6,$I$2,"y"))))</f>
        <v/>
      </c>
      <c r="D6" s="5">
        <f>IF(ISNUMBER(C6),DATEDIF(B6,$I$2,"ym"),"")</f>
        <v/>
      </c>
      <c r="E6" s="5">
        <f>IF(ISNUMBER(C6),C6&amp;" yr "&amp;D6&amp;" mo","")</f>
        <v/>
      </c>
      <c r="F6" s="5">
        <f>IF(ISNUMBER(C6),C6*12+D6,"")</f>
        <v/>
      </c>
      <c r="H6" t="inlineStr">
        <is>
          <t>Longest time (months)</t>
        </is>
      </c>
      <c r="I6" s="6">
        <f>IF(COUNT(F2:F30)=0,"",MAX(F2:F30))</f>
        <v/>
      </c>
    </row>
    <row r="7">
      <c r="A7" s="3" t="inlineStr">
        <is>
          <t>Willow Pet Care</t>
        </is>
      </c>
      <c r="B7" s="4" t="n">
        <v>43646</v>
      </c>
      <c r="C7" s="5">
        <f>IF(B7="","",IF(NOT(ISNUMBER(B7)),"Check date",IF(B7&gt;$I$2,"Check date",DATEDIF(B7,$I$2,"y"))))</f>
        <v/>
      </c>
      <c r="D7" s="5">
        <f>IF(ISNUMBER(C7),DATEDIF(B7,$I$2,"ym"),"")</f>
        <v/>
      </c>
      <c r="E7" s="5">
        <f>IF(ISNUMBER(C7),C7&amp;" yr "&amp;D7&amp;" mo","")</f>
        <v/>
      </c>
      <c r="F7" s="5">
        <f>IF(ISNUMBER(C7),C7*12+D7,"")</f>
        <v/>
      </c>
      <c r="H7" t="inlineStr">
        <is>
          <t>Rows to fix (Check date)</t>
        </is>
      </c>
      <c r="I7" s="6">
        <f>COUNTIF(C2:C30,"Check date")</f>
        <v/>
      </c>
    </row>
    <row r="8">
      <c r="A8" s="3" t="inlineStr">
        <is>
          <t>Granite Fitness</t>
        </is>
      </c>
      <c r="B8" s="4" t="n">
        <v>46027</v>
      </c>
      <c r="C8" s="5">
        <f>IF(B8="","",IF(NOT(ISNUMBER(B8)),"Check date",IF(B8&gt;$I$2,"Check date",DATEDIF(B8,$I$2,"y"))))</f>
        <v/>
      </c>
      <c r="D8" s="5">
        <f>IF(ISNUMBER(C8),DATEDIF(B8,$I$2,"ym"),"")</f>
        <v/>
      </c>
      <c r="E8" s="5">
        <f>IF(ISNUMBER(C8),C8&amp;" yr "&amp;D8&amp;" mo","")</f>
        <v/>
      </c>
      <c r="F8" s="5">
        <f>IF(ISNUMBER(C8),C8*12+D8,"")</f>
        <v/>
      </c>
      <c r="H8" t="inlineStr">
        <is>
          <t>Check: all clients counted</t>
        </is>
      </c>
      <c r="I8" s="7">
        <f>IF(I4+I7=COUNTA(A2:A30),"OK","CHECK")</f>
        <v/>
      </c>
    </row>
    <row r="9">
      <c r="A9" s="3" t="inlineStr">
        <is>
          <t>Juniper Books</t>
        </is>
      </c>
      <c r="B9" s="4" t="n">
        <v>44196</v>
      </c>
      <c r="C9" s="5">
        <f>IF(B9="","",IF(NOT(ISNUMBER(B9)),"Check date",IF(B9&gt;$I$2,"Check date",DATEDIF(B9,$I$2,"y"))))</f>
        <v/>
      </c>
      <c r="D9" s="5">
        <f>IF(ISNUMBER(C9),DATEDIF(B9,$I$2,"ym"),"")</f>
        <v/>
      </c>
      <c r="E9" s="5">
        <f>IF(ISNUMBER(C9),C9&amp;" yr "&amp;D9&amp;" mo","")</f>
        <v/>
      </c>
      <c r="F9" s="5">
        <f>IF(ISNUMBER(C9),C9*12+D9,"")</f>
        <v/>
      </c>
    </row>
    <row r="10">
      <c r="A10" s="3" t="inlineStr">
        <is>
          <t>Copper Kettle Cafe</t>
        </is>
      </c>
      <c r="B10" s="4" t="n">
        <v>46296</v>
      </c>
      <c r="C10" s="5">
        <f>IF(B10="","",IF(NOT(ISNUMBER(B10)),"Check date",IF(B10&gt;$I$2,"Check date",DATEDIF(B10,$I$2,"y"))))</f>
        <v/>
      </c>
      <c r="D10" s="5">
        <f>IF(ISNUMBER(C10),DATEDIF(B10,$I$2,"ym"),"")</f>
        <v/>
      </c>
      <c r="E10" s="5">
        <f>IF(ISNUMBER(C10),C10&amp;" yr "&amp;D10&amp;" mo","")</f>
        <v/>
      </c>
      <c r="F10" s="5">
        <f>IF(ISNUMBER(C10),C10*12+D10,"")</f>
        <v/>
      </c>
    </row>
    <row r="11">
      <c r="A11" s="3" t="inlineStr">
        <is>
          <t>Pine Hill Dental</t>
        </is>
      </c>
      <c r="B11" s="4" t="n">
        <v>43199</v>
      </c>
      <c r="C11" s="5">
        <f>IF(B11="","",IF(NOT(ISNUMBER(B11)),"Check date",IF(B11&gt;$I$2,"Check date",DATEDIF(B11,$I$2,"y"))))</f>
        <v/>
      </c>
      <c r="D11" s="5">
        <f>IF(ISNUMBER(C11),DATEDIF(B11,$I$2,"ym"),"")</f>
        <v/>
      </c>
      <c r="E11" s="5">
        <f>IF(ISNUMBER(C11),C11&amp;" yr "&amp;D11&amp;" mo","")</f>
        <v/>
      </c>
      <c r="F11" s="5">
        <f>IF(ISNUMBER(C11),C11*12+D11,"")</f>
        <v/>
      </c>
    </row>
    <row r="12">
      <c r="A12" s="3" t="n"/>
      <c r="B12" s="4" t="n"/>
      <c r="C12" s="5">
        <f>IF(B12="","",IF(NOT(ISNUMBER(B12)),"Check date",IF(B12&gt;$I$2,"Check date",DATEDIF(B12,$I$2,"y"))))</f>
        <v/>
      </c>
      <c r="D12" s="5">
        <f>IF(ISNUMBER(C12),DATEDIF(B12,$I$2,"ym"),"")</f>
        <v/>
      </c>
      <c r="E12" s="5">
        <f>IF(ISNUMBER(C12),C12&amp;" yr "&amp;D12&amp;" mo","")</f>
        <v/>
      </c>
      <c r="F12" s="5">
        <f>IF(ISNUMBER(C12),C12*12+D12,"")</f>
        <v/>
      </c>
    </row>
    <row r="13">
      <c r="A13" s="3" t="n"/>
      <c r="B13" s="4" t="n"/>
      <c r="C13" s="5">
        <f>IF(B13="","",IF(NOT(ISNUMBER(B13)),"Check date",IF(B13&gt;$I$2,"Check date",DATEDIF(B13,$I$2,"y"))))</f>
        <v/>
      </c>
      <c r="D13" s="5">
        <f>IF(ISNUMBER(C13),DATEDIF(B13,$I$2,"ym"),"")</f>
        <v/>
      </c>
      <c r="E13" s="5">
        <f>IF(ISNUMBER(C13),C13&amp;" yr "&amp;D13&amp;" mo","")</f>
        <v/>
      </c>
      <c r="F13" s="5">
        <f>IF(ISNUMBER(C13),C13*12+D13,"")</f>
        <v/>
      </c>
    </row>
    <row r="14">
      <c r="A14" s="3" t="n"/>
      <c r="B14" s="4" t="n"/>
      <c r="C14" s="5">
        <f>IF(B14="","",IF(NOT(ISNUMBER(B14)),"Check date",IF(B14&gt;$I$2,"Check date",DATEDIF(B14,$I$2,"y"))))</f>
        <v/>
      </c>
      <c r="D14" s="5">
        <f>IF(ISNUMBER(C14),DATEDIF(B14,$I$2,"ym"),"")</f>
        <v/>
      </c>
      <c r="E14" s="5">
        <f>IF(ISNUMBER(C14),C14&amp;" yr "&amp;D14&amp;" mo","")</f>
        <v/>
      </c>
      <c r="F14" s="5">
        <f>IF(ISNUMBER(C14),C14*12+D14,"")</f>
        <v/>
      </c>
    </row>
    <row r="15">
      <c r="A15" s="3" t="n"/>
      <c r="B15" s="4" t="n"/>
      <c r="C15" s="5">
        <f>IF(B15="","",IF(NOT(ISNUMBER(B15)),"Check date",IF(B15&gt;$I$2,"Check date",DATEDIF(B15,$I$2,"y"))))</f>
        <v/>
      </c>
      <c r="D15" s="5">
        <f>IF(ISNUMBER(C15),DATEDIF(B15,$I$2,"ym"),"")</f>
        <v/>
      </c>
      <c r="E15" s="5">
        <f>IF(ISNUMBER(C15),C15&amp;" yr "&amp;D15&amp;" mo","")</f>
        <v/>
      </c>
      <c r="F15" s="5">
        <f>IF(ISNUMBER(C15),C15*12+D15,"")</f>
        <v/>
      </c>
    </row>
    <row r="16">
      <c r="A16" s="3" t="n"/>
      <c r="B16" s="4" t="n"/>
      <c r="C16" s="5">
        <f>IF(B16="","",IF(NOT(ISNUMBER(B16)),"Check date",IF(B16&gt;$I$2,"Check date",DATEDIF(B16,$I$2,"y"))))</f>
        <v/>
      </c>
      <c r="D16" s="5">
        <f>IF(ISNUMBER(C16),DATEDIF(B16,$I$2,"ym"),"")</f>
        <v/>
      </c>
      <c r="E16" s="5">
        <f>IF(ISNUMBER(C16),C16&amp;" yr "&amp;D16&amp;" mo","")</f>
        <v/>
      </c>
      <c r="F16" s="5">
        <f>IF(ISNUMBER(C16),C16*12+D16,"")</f>
        <v/>
      </c>
    </row>
    <row r="17">
      <c r="A17" s="3" t="n"/>
      <c r="B17" s="4" t="n"/>
      <c r="C17" s="5">
        <f>IF(B17="","",IF(NOT(ISNUMBER(B17)),"Check date",IF(B17&gt;$I$2,"Check date",DATEDIF(B17,$I$2,"y"))))</f>
        <v/>
      </c>
      <c r="D17" s="5">
        <f>IF(ISNUMBER(C17),DATEDIF(B17,$I$2,"ym"),"")</f>
        <v/>
      </c>
      <c r="E17" s="5">
        <f>IF(ISNUMBER(C17),C17&amp;" yr "&amp;D17&amp;" mo","")</f>
        <v/>
      </c>
      <c r="F17" s="5">
        <f>IF(ISNUMBER(C17),C17*12+D17,"")</f>
        <v/>
      </c>
    </row>
    <row r="18">
      <c r="A18" s="3" t="n"/>
      <c r="B18" s="4" t="n"/>
      <c r="C18" s="5">
        <f>IF(B18="","",IF(NOT(ISNUMBER(B18)),"Check date",IF(B18&gt;$I$2,"Check date",DATEDIF(B18,$I$2,"y"))))</f>
        <v/>
      </c>
      <c r="D18" s="5">
        <f>IF(ISNUMBER(C18),DATEDIF(B18,$I$2,"ym"),"")</f>
        <v/>
      </c>
      <c r="E18" s="5">
        <f>IF(ISNUMBER(C18),C18&amp;" yr "&amp;D18&amp;" mo","")</f>
        <v/>
      </c>
      <c r="F18" s="5">
        <f>IF(ISNUMBER(C18),C18*12+D18,"")</f>
        <v/>
      </c>
    </row>
    <row r="19">
      <c r="A19" s="3" t="n"/>
      <c r="B19" s="4" t="n"/>
      <c r="C19" s="5">
        <f>IF(B19="","",IF(NOT(ISNUMBER(B19)),"Check date",IF(B19&gt;$I$2,"Check date",DATEDIF(B19,$I$2,"y"))))</f>
        <v/>
      </c>
      <c r="D19" s="5">
        <f>IF(ISNUMBER(C19),DATEDIF(B19,$I$2,"ym"),"")</f>
        <v/>
      </c>
      <c r="E19" s="5">
        <f>IF(ISNUMBER(C19),C19&amp;" yr "&amp;D19&amp;" mo","")</f>
        <v/>
      </c>
      <c r="F19" s="5">
        <f>IF(ISNUMBER(C19),C19*12+D19,"")</f>
        <v/>
      </c>
    </row>
    <row r="20">
      <c r="A20" s="3" t="n"/>
      <c r="B20" s="4" t="n"/>
      <c r="C20" s="5">
        <f>IF(B20="","",IF(NOT(ISNUMBER(B20)),"Check date",IF(B20&gt;$I$2,"Check date",DATEDIF(B20,$I$2,"y"))))</f>
        <v/>
      </c>
      <c r="D20" s="5">
        <f>IF(ISNUMBER(C20),DATEDIF(B20,$I$2,"ym"),"")</f>
        <v/>
      </c>
      <c r="E20" s="5">
        <f>IF(ISNUMBER(C20),C20&amp;" yr "&amp;D20&amp;" mo","")</f>
        <v/>
      </c>
      <c r="F20" s="5">
        <f>IF(ISNUMBER(C20),C20*12+D20,"")</f>
        <v/>
      </c>
    </row>
    <row r="21">
      <c r="A21" s="3" t="n"/>
      <c r="B21" s="4" t="n"/>
      <c r="C21" s="5">
        <f>IF(B21="","",IF(NOT(ISNUMBER(B21)),"Check date",IF(B21&gt;$I$2,"Check date",DATEDIF(B21,$I$2,"y"))))</f>
        <v/>
      </c>
      <c r="D21" s="5">
        <f>IF(ISNUMBER(C21),DATEDIF(B21,$I$2,"ym"),"")</f>
        <v/>
      </c>
      <c r="E21" s="5">
        <f>IF(ISNUMBER(C21),C21&amp;" yr "&amp;D21&amp;" mo","")</f>
        <v/>
      </c>
      <c r="F21" s="5">
        <f>IF(ISNUMBER(C21),C21*12+D21,"")</f>
        <v/>
      </c>
    </row>
    <row r="22">
      <c r="A22" s="3" t="n"/>
      <c r="B22" s="4" t="n"/>
      <c r="C22" s="5">
        <f>IF(B22="","",IF(NOT(ISNUMBER(B22)),"Check date",IF(B22&gt;$I$2,"Check date",DATEDIF(B22,$I$2,"y"))))</f>
        <v/>
      </c>
      <c r="D22" s="5">
        <f>IF(ISNUMBER(C22),DATEDIF(B22,$I$2,"ym"),"")</f>
        <v/>
      </c>
      <c r="E22" s="5">
        <f>IF(ISNUMBER(C22),C22&amp;" yr "&amp;D22&amp;" mo","")</f>
        <v/>
      </c>
      <c r="F22" s="5">
        <f>IF(ISNUMBER(C22),C22*12+D22,"")</f>
        <v/>
      </c>
    </row>
    <row r="23">
      <c r="A23" s="3" t="n"/>
      <c r="B23" s="4" t="n"/>
      <c r="C23" s="5">
        <f>IF(B23="","",IF(NOT(ISNUMBER(B23)),"Check date",IF(B23&gt;$I$2,"Check date",DATEDIF(B23,$I$2,"y"))))</f>
        <v/>
      </c>
      <c r="D23" s="5">
        <f>IF(ISNUMBER(C23),DATEDIF(B23,$I$2,"ym"),"")</f>
        <v/>
      </c>
      <c r="E23" s="5">
        <f>IF(ISNUMBER(C23),C23&amp;" yr "&amp;D23&amp;" mo","")</f>
        <v/>
      </c>
      <c r="F23" s="5">
        <f>IF(ISNUMBER(C23),C23*12+D23,"")</f>
        <v/>
      </c>
    </row>
    <row r="24">
      <c r="A24" s="3" t="n"/>
      <c r="B24" s="4" t="n"/>
      <c r="C24" s="5">
        <f>IF(B24="","",IF(NOT(ISNUMBER(B24)),"Check date",IF(B24&gt;$I$2,"Check date",DATEDIF(B24,$I$2,"y"))))</f>
        <v/>
      </c>
      <c r="D24" s="5">
        <f>IF(ISNUMBER(C24),DATEDIF(B24,$I$2,"ym"),"")</f>
        <v/>
      </c>
      <c r="E24" s="5">
        <f>IF(ISNUMBER(C24),C24&amp;" yr "&amp;D24&amp;" mo","")</f>
        <v/>
      </c>
      <c r="F24" s="5">
        <f>IF(ISNUMBER(C24),C24*12+D24,"")</f>
        <v/>
      </c>
    </row>
    <row r="25">
      <c r="A25" s="3" t="n"/>
      <c r="B25" s="4" t="n"/>
      <c r="C25" s="5">
        <f>IF(B25="","",IF(NOT(ISNUMBER(B25)),"Check date",IF(B25&gt;$I$2,"Check date",DATEDIF(B25,$I$2,"y"))))</f>
        <v/>
      </c>
      <c r="D25" s="5">
        <f>IF(ISNUMBER(C25),DATEDIF(B25,$I$2,"ym"),"")</f>
        <v/>
      </c>
      <c r="E25" s="5">
        <f>IF(ISNUMBER(C25),C25&amp;" yr "&amp;D25&amp;" mo","")</f>
        <v/>
      </c>
      <c r="F25" s="5">
        <f>IF(ISNUMBER(C25),C25*12+D25,"")</f>
        <v/>
      </c>
    </row>
    <row r="26">
      <c r="A26" s="3" t="n"/>
      <c r="B26" s="4" t="n"/>
      <c r="C26" s="5">
        <f>IF(B26="","",IF(NOT(ISNUMBER(B26)),"Check date",IF(B26&gt;$I$2,"Check date",DATEDIF(B26,$I$2,"y"))))</f>
        <v/>
      </c>
      <c r="D26" s="5">
        <f>IF(ISNUMBER(C26),DATEDIF(B26,$I$2,"ym"),"")</f>
        <v/>
      </c>
      <c r="E26" s="5">
        <f>IF(ISNUMBER(C26),C26&amp;" yr "&amp;D26&amp;" mo","")</f>
        <v/>
      </c>
      <c r="F26" s="5">
        <f>IF(ISNUMBER(C26),C26*12+D26,"")</f>
        <v/>
      </c>
    </row>
    <row r="27">
      <c r="A27" s="3" t="n"/>
      <c r="B27" s="4" t="n"/>
      <c r="C27" s="5">
        <f>IF(B27="","",IF(NOT(ISNUMBER(B27)),"Check date",IF(B27&gt;$I$2,"Check date",DATEDIF(B27,$I$2,"y"))))</f>
        <v/>
      </c>
      <c r="D27" s="5">
        <f>IF(ISNUMBER(C27),DATEDIF(B27,$I$2,"ym"),"")</f>
        <v/>
      </c>
      <c r="E27" s="5">
        <f>IF(ISNUMBER(C27),C27&amp;" yr "&amp;D27&amp;" mo","")</f>
        <v/>
      </c>
      <c r="F27" s="5">
        <f>IF(ISNUMBER(C27),C27*12+D27,"")</f>
        <v/>
      </c>
    </row>
    <row r="28">
      <c r="A28" s="3" t="n"/>
      <c r="B28" s="4" t="n"/>
      <c r="C28" s="5">
        <f>IF(B28="","",IF(NOT(ISNUMBER(B28)),"Check date",IF(B28&gt;$I$2,"Check date",DATEDIF(B28,$I$2,"y"))))</f>
        <v/>
      </c>
      <c r="D28" s="5">
        <f>IF(ISNUMBER(C28),DATEDIF(B28,$I$2,"ym"),"")</f>
        <v/>
      </c>
      <c r="E28" s="5">
        <f>IF(ISNUMBER(C28),C28&amp;" yr "&amp;D28&amp;" mo","")</f>
        <v/>
      </c>
      <c r="F28" s="5">
        <f>IF(ISNUMBER(C28),C28*12+D28,"")</f>
        <v/>
      </c>
    </row>
    <row r="29">
      <c r="A29" s="3" t="n"/>
      <c r="B29" s="4" t="n"/>
      <c r="C29" s="5">
        <f>IF(B29="","",IF(NOT(ISNUMBER(B29)),"Check date",IF(B29&gt;$I$2,"Check date",DATEDIF(B29,$I$2,"y"))))</f>
        <v/>
      </c>
      <c r="D29" s="5">
        <f>IF(ISNUMBER(C29),DATEDIF(B29,$I$2,"ym"),"")</f>
        <v/>
      </c>
      <c r="E29" s="5">
        <f>IF(ISNUMBER(C29),C29&amp;" yr "&amp;D29&amp;" mo","")</f>
        <v/>
      </c>
      <c r="F29" s="5">
        <f>IF(ISNUMBER(C29),C29*12+D29,"")</f>
        <v/>
      </c>
    </row>
    <row r="30">
      <c r="A30" s="3" t="n"/>
      <c r="B30" s="4" t="n"/>
      <c r="C30" s="5">
        <f>IF(B30="","",IF(NOT(ISNUMBER(B30)),"Check date",IF(B30&gt;$I$2,"Check date",DATEDIF(B30,$I$2,"y"))))</f>
        <v/>
      </c>
      <c r="D30" s="5">
        <f>IF(ISNUMBER(C30),DATEDIF(B30,$I$2,"ym"),"")</f>
        <v/>
      </c>
      <c r="E30" s="5">
        <f>IF(ISNUMBER(C30),C30&amp;" yr "&amp;D30&amp;" mo","")</f>
        <v/>
      </c>
      <c r="F30" s="5">
        <f>IF(ISNUMBER(C30),C30*12+D30,"")</f>
        <v/>
      </c>
    </row>
  </sheetData>
  <conditionalFormatting sqref="C2:C30">
    <cfRule type="expression" priority="1" dxfId="0">
      <formula>C2="Check date"</formula>
    </cfRule>
  </conditionalFormatting>
  <conditionalFormatting sqref="I8">
    <cfRule type="expression" priority="2" dxfId="0">
      <formula>I8="CHECK"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How Long Has a Client Been With You</t>
        </is>
      </c>
    </row>
    <row r="2">
      <c r="A2" s="9" t="inlineStr"/>
    </row>
    <row r="3">
      <c r="A3" s="9" t="inlineStr">
        <is>
          <t>1. Clients tab: type the client and the first project date in A and B (yellow). Rows 2 to 30 have formulas ready.</t>
        </is>
      </c>
    </row>
    <row r="4">
      <c r="A4" s="9" t="inlineStr">
        <is>
          <t>2. I2 is the as of date. It is typed, not TODAY(), so the results do not change when you reopen the file. Replace it with =TODAY() if you want them to.</t>
        </is>
      </c>
    </row>
    <row r="5">
      <c r="A5" s="9" t="inlineStr">
        <is>
          <t>3. C2: =DATEDIF(B2,$I$2,"y") counts complete years. D2: =DATEDIF(B2,$I$2,"ym") counts the months left over after those years.</t>
        </is>
      </c>
    </row>
    <row r="6">
      <c r="A6" s="9" t="inlineStr">
        <is>
          <t>4. E2 joins them into text like 5 yr 7 mo, and F2 is the total months (years times 12 plus months).</t>
        </is>
      </c>
    </row>
    <row r="7">
      <c r="A7" s="9" t="inlineStr">
        <is>
          <t>5. DATEDIF counts complete months only: a start on the 20th is not a full month until the 20th of the next month.</t>
        </is>
      </c>
    </row>
    <row r="8">
      <c r="A8" s="9" t="inlineStr">
        <is>
          <t>6. DATEDIF is not listed in the Excel function picker, but it works when typed. Google Sheets lists it.</t>
        </is>
      </c>
    </row>
    <row r="9">
      <c r="A9" s="9" t="inlineStr">
        <is>
          <t>7. DATEDIF returns #NUM! when the start date is after the as of date. This sheet shows Check date instead, and so for a date typed as text. A blank date row stays blank.</t>
        </is>
      </c>
    </row>
    <row r="10">
      <c r="A10" s="9" t="inlineStr">
        <is>
          <t>8. I3 is a number of years you type; I5 counts the clients at or over it.</t>
        </is>
      </c>
    </row>
    <row r="11">
      <c r="A11" s="9" t="inlineStr"/>
    </row>
    <row r="12">
      <c r="A12" s="9" t="inlineStr">
        <is>
          <t>Clients and dates are fictional. Checked in LibreOffice Calc only; not opened in Excel or Google Sheets.</t>
        </is>
      </c>
    </row>
    <row r="13">
      <c r="A13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2026-10-15T07:28:37Z</dcterms:created>
  <dcterms:modified xmlns:dcterms="http://purl.org/dc/terms/" xmlns:xsi="http://www.w3.org/2001/XMLSchema-instance" xsi:type="dcterms:W3CDTF">2026-10-15T07:28:37Z</dcterms:modified>
</cp:coreProperties>
</file>