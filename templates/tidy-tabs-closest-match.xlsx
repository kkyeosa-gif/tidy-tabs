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'Sizes'!$8:$8</definedName>
    <definedName name="_xlnm.Print_Area" localSheetId="0">'Sizes'!$A$1:$S$30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" fontId="0" fillId="4" borderId="0" applyAlignment="1" pivotButton="0" quotePrefix="0" xfId="0">
      <alignment horizontal="right"/>
    </xf>
    <xf numFmtId="2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  <col width="15" customWidth="1" min="5" max="5"/>
    <col width="24" customWidth="1" min="6" max="6"/>
    <col width="3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Orders with a length</t>
        </is>
      </c>
      <c r="D1" s="2">
        <f>COUNT(B9:B108)</f>
        <v/>
      </c>
    </row>
    <row r="2">
      <c r="A2" s="1" t="inlineStr">
        <is>
          <t>Closest size is smaller</t>
        </is>
      </c>
      <c r="D2" s="2">
        <f>SUMPRODUCT(--ISNUMBER(C9:C108),--(C9:C108&lt;B9:B108))</f>
        <v/>
      </c>
    </row>
    <row r="3">
      <c r="A3" s="1" t="inlineStr">
        <is>
          <t>Longer than every size</t>
        </is>
      </c>
      <c r="D3" s="2">
        <f>COUNTIF(E9:E108,"None")</f>
        <v/>
      </c>
    </row>
    <row r="4">
      <c r="A4" s="1" t="inlineStr">
        <is>
          <t>Largest gap (in)</t>
        </is>
      </c>
      <c r="D4" s="3">
        <f>IF(COUNT(D9:D108)=0,"",MAX(D9:D108))</f>
        <v/>
      </c>
    </row>
    <row r="5">
      <c r="A5" s="1" t="inlineStr">
        <is>
          <t>Check</t>
        </is>
      </c>
      <c r="D5" s="4">
        <f>IF(AND(COUNT(H7:S7)&gt;0,COUNT(H7:S7)=COUNTA(H7:S7),COUNT(B9:B108)=COUNTA(B9:B108),COUNT(D9:D108)=COUNT(B9:B108),SUMPRODUCT(--(COUNTIF(H7:S7,H7:S7)&gt;1),--ISNUMBER(H7:S7))=0,COUNTA(A109:B500)=0),"OK","CHECK")</f>
        <v/>
      </c>
    </row>
    <row r="6">
      <c r="H6" s="5" t="inlineStr">
        <is>
          <t>Standard sizes in inches (type across H7:S7, up to 12)</t>
        </is>
      </c>
    </row>
    <row r="7">
      <c r="H7" s="6" t="n">
        <v>8</v>
      </c>
      <c r="I7" s="6" t="n">
        <v>10</v>
      </c>
      <c r="J7" s="6" t="n">
        <v>12</v>
      </c>
      <c r="K7" s="6" t="n">
        <v>14</v>
      </c>
      <c r="L7" s="6" t="n">
        <v>16</v>
      </c>
      <c r="M7" s="6" t="n">
        <v>18</v>
      </c>
      <c r="N7" s="6" t="n">
        <v>20</v>
      </c>
      <c r="O7" s="6" t="n">
        <v>24</v>
      </c>
      <c r="P7" s="6" t="n">
        <v>30</v>
      </c>
      <c r="Q7" s="6" t="n"/>
      <c r="R7" s="6" t="n"/>
      <c r="S7" s="6" t="n"/>
    </row>
    <row r="8" ht="48" customHeight="1">
      <c r="A8" s="7" t="inlineStr">
        <is>
          <t>Order</t>
        </is>
      </c>
      <c r="B8" s="7" t="inlineStr">
        <is>
          <t>Item length (in)</t>
        </is>
      </c>
      <c r="C8" s="7" t="inlineStr">
        <is>
          <t>Closest size (in)</t>
        </is>
      </c>
      <c r="D8" s="7" t="inlineStr">
        <is>
          <t>Off by (in)</t>
        </is>
      </c>
      <c r="E8" s="7" t="inlineStr">
        <is>
          <t>Next size that fits (in)</t>
        </is>
      </c>
      <c r="F8" s="7" t="inlineStr">
        <is>
          <t>Note</t>
        </is>
      </c>
      <c r="H8" s="8">
        <f>IF(H7="","","Off from "&amp;H7)</f>
        <v/>
      </c>
      <c r="I8" s="8">
        <f>IF(I7="","","Off from "&amp;I7)</f>
        <v/>
      </c>
      <c r="J8" s="8">
        <f>IF(J7="","","Off from "&amp;J7)</f>
        <v/>
      </c>
      <c r="K8" s="8">
        <f>IF(K7="","","Off from "&amp;K7)</f>
        <v/>
      </c>
      <c r="L8" s="8">
        <f>IF(L7="","","Off from "&amp;L7)</f>
        <v/>
      </c>
      <c r="M8" s="8">
        <f>IF(M7="","","Off from "&amp;M7)</f>
        <v/>
      </c>
      <c r="N8" s="8">
        <f>IF(N7="","","Off from "&amp;N7)</f>
        <v/>
      </c>
      <c r="O8" s="8">
        <f>IF(O7="","","Off from "&amp;O7)</f>
        <v/>
      </c>
      <c r="P8" s="8">
        <f>IF(P7="","","Off from "&amp;P7)</f>
        <v/>
      </c>
      <c r="Q8" s="8">
        <f>IF(Q7="","","Off from "&amp;Q7)</f>
        <v/>
      </c>
      <c r="R8" s="8">
        <f>IF(R7="","","Off from "&amp;R7)</f>
        <v/>
      </c>
      <c r="S8" s="8">
        <f>IF(S7="","","Off from "&amp;S7)</f>
        <v/>
      </c>
    </row>
    <row r="9">
      <c r="A9" s="6" t="inlineStr">
        <is>
          <t>PR-2101</t>
        </is>
      </c>
      <c r="B9" s="6" t="n">
        <v>9</v>
      </c>
      <c r="C9" s="4">
        <f>IF($B9="","",IF(ISNUMBER($B9),IF(COUNT($H9:$S9)=0,"No sizes",INDEX($H$7:$S$7,MATCH(MIN($H9:$S9),$H9:$S9,0))),"Check length"))</f>
        <v/>
      </c>
      <c r="D9" s="4">
        <f>IF(ISNUMBER(C9),MIN($H9:$S9),"")</f>
        <v/>
      </c>
      <c r="E9" s="4">
        <f>IF(ISNUMBER(C9),IF(COUNTIF($H$7:$S$7,"&gt;="&amp;B9)=0,"None",SMALL($H$7:$S$7,COUNTIF($H$7:$S$7,"&lt;"&amp;B9)+1)),"")</f>
        <v/>
      </c>
      <c r="F9" s="4">
        <f>IF(ISNUMBER(C9),IF(COUNTIF($H9:$S9,D9)&gt;1,"Tie, first listed used",""),"")</f>
        <v/>
      </c>
      <c r="H9" s="9">
        <f>IF(AND(ISNUMBER($B9),ISNUMBER(H$7)),ROUND(ABS($B9-H$7),6),"")</f>
        <v/>
      </c>
      <c r="I9" s="9">
        <f>IF(AND(ISNUMBER($B9),ISNUMBER(I$7)),ROUND(ABS($B9-I$7),6),"")</f>
        <v/>
      </c>
      <c r="J9" s="9">
        <f>IF(AND(ISNUMBER($B9),ISNUMBER(J$7)),ROUND(ABS($B9-J$7),6),"")</f>
        <v/>
      </c>
      <c r="K9" s="9">
        <f>IF(AND(ISNUMBER($B9),ISNUMBER(K$7)),ROUND(ABS($B9-K$7),6),"")</f>
        <v/>
      </c>
      <c r="L9" s="9">
        <f>IF(AND(ISNUMBER($B9),ISNUMBER(L$7)),ROUND(ABS($B9-L$7),6),"")</f>
        <v/>
      </c>
      <c r="M9" s="9">
        <f>IF(AND(ISNUMBER($B9),ISNUMBER(M$7)),ROUND(ABS($B9-M$7),6),"")</f>
        <v/>
      </c>
      <c r="N9" s="9">
        <f>IF(AND(ISNUMBER($B9),ISNUMBER(N$7)),ROUND(ABS($B9-N$7),6),"")</f>
        <v/>
      </c>
      <c r="O9" s="9">
        <f>IF(AND(ISNUMBER($B9),ISNUMBER(O$7)),ROUND(ABS($B9-O$7),6),"")</f>
        <v/>
      </c>
      <c r="P9" s="9">
        <f>IF(AND(ISNUMBER($B9),ISNUMBER(P$7)),ROUND(ABS($B9-P$7),6),"")</f>
        <v/>
      </c>
      <c r="Q9" s="9">
        <f>IF(AND(ISNUMBER($B9),ISNUMBER(Q$7)),ROUND(ABS($B9-Q$7),6),"")</f>
        <v/>
      </c>
      <c r="R9" s="9">
        <f>IF(AND(ISNUMBER($B9),ISNUMBER(R$7)),ROUND(ABS($B9-R$7),6),"")</f>
        <v/>
      </c>
      <c r="S9" s="9">
        <f>IF(AND(ISNUMBER($B9),ISNUMBER(S$7)),ROUND(ABS($B9-S$7),6),"")</f>
        <v/>
      </c>
    </row>
    <row r="10">
      <c r="A10" s="6" t="inlineStr">
        <is>
          <t>PR-2102</t>
        </is>
      </c>
      <c r="B10" s="6" t="n">
        <v>11.5</v>
      </c>
      <c r="C10" s="4">
        <f>IF($B10="","",IF(ISNUMBER($B10),IF(COUNT($H10:$S10)=0,"No sizes",INDEX($H$7:$S$7,MATCH(MIN($H10:$S10),$H10:$S10,0))),"Check length"))</f>
        <v/>
      </c>
      <c r="D10" s="4">
        <f>IF(ISNUMBER(C10),MIN($H10:$S10),"")</f>
        <v/>
      </c>
      <c r="E10" s="4">
        <f>IF(ISNUMBER(C10),IF(COUNTIF($H$7:$S$7,"&gt;="&amp;B10)=0,"None",SMALL($H$7:$S$7,COUNTIF($H$7:$S$7,"&lt;"&amp;B10)+1)),"")</f>
        <v/>
      </c>
      <c r="F10" s="4">
        <f>IF(ISNUMBER(C10),IF(COUNTIF($H10:$S10,D10)&gt;1,"Tie, first listed used",""),"")</f>
        <v/>
      </c>
      <c r="H10" s="9">
        <f>IF(AND(ISNUMBER($B10),ISNUMBER(H$7)),ROUND(ABS($B10-H$7),6),"")</f>
        <v/>
      </c>
      <c r="I10" s="9">
        <f>IF(AND(ISNUMBER($B10),ISNUMBER(I$7)),ROUND(ABS($B10-I$7),6),"")</f>
        <v/>
      </c>
      <c r="J10" s="9">
        <f>IF(AND(ISNUMBER($B10),ISNUMBER(J$7)),ROUND(ABS($B10-J$7),6),"")</f>
        <v/>
      </c>
      <c r="K10" s="9">
        <f>IF(AND(ISNUMBER($B10),ISNUMBER(K$7)),ROUND(ABS($B10-K$7),6),"")</f>
        <v/>
      </c>
      <c r="L10" s="9">
        <f>IF(AND(ISNUMBER($B10),ISNUMBER(L$7)),ROUND(ABS($B10-L$7),6),"")</f>
        <v/>
      </c>
      <c r="M10" s="9">
        <f>IF(AND(ISNUMBER($B10),ISNUMBER(M$7)),ROUND(ABS($B10-M$7),6),"")</f>
        <v/>
      </c>
      <c r="N10" s="9">
        <f>IF(AND(ISNUMBER($B10),ISNUMBER(N$7)),ROUND(ABS($B10-N$7),6),"")</f>
        <v/>
      </c>
      <c r="O10" s="9">
        <f>IF(AND(ISNUMBER($B10),ISNUMBER(O$7)),ROUND(ABS($B10-O$7),6),"")</f>
        <v/>
      </c>
      <c r="P10" s="9">
        <f>IF(AND(ISNUMBER($B10),ISNUMBER(P$7)),ROUND(ABS($B10-P$7),6),"")</f>
        <v/>
      </c>
      <c r="Q10" s="9">
        <f>IF(AND(ISNUMBER($B10),ISNUMBER(Q$7)),ROUND(ABS($B10-Q$7),6),"")</f>
        <v/>
      </c>
      <c r="R10" s="9">
        <f>IF(AND(ISNUMBER($B10),ISNUMBER(R$7)),ROUND(ABS($B10-R$7),6),"")</f>
        <v/>
      </c>
      <c r="S10" s="9">
        <f>IF(AND(ISNUMBER($B10),ISNUMBER(S$7)),ROUND(ABS($B10-S$7),6),"")</f>
        <v/>
      </c>
    </row>
    <row r="11">
      <c r="A11" s="6" t="inlineStr">
        <is>
          <t>PR-2103</t>
        </is>
      </c>
      <c r="B11" s="6" t="n">
        <v>13</v>
      </c>
      <c r="C11" s="4">
        <f>IF($B11="","",IF(ISNUMBER($B11),IF(COUNT($H11:$S11)=0,"No sizes",INDEX($H$7:$S$7,MATCH(MIN($H11:$S11),$H11:$S11,0))),"Check length"))</f>
        <v/>
      </c>
      <c r="D11" s="4">
        <f>IF(ISNUMBER(C11),MIN($H11:$S11),"")</f>
        <v/>
      </c>
      <c r="E11" s="4">
        <f>IF(ISNUMBER(C11),IF(COUNTIF($H$7:$S$7,"&gt;="&amp;B11)=0,"None",SMALL($H$7:$S$7,COUNTIF($H$7:$S$7,"&lt;"&amp;B11)+1)),"")</f>
        <v/>
      </c>
      <c r="F11" s="4">
        <f>IF(ISNUMBER(C11),IF(COUNTIF($H11:$S11,D11)&gt;1,"Tie, first listed used",""),"")</f>
        <v/>
      </c>
      <c r="H11" s="9">
        <f>IF(AND(ISNUMBER($B11),ISNUMBER(H$7)),ROUND(ABS($B11-H$7),6),"")</f>
        <v/>
      </c>
      <c r="I11" s="9">
        <f>IF(AND(ISNUMBER($B11),ISNUMBER(I$7)),ROUND(ABS($B11-I$7),6),"")</f>
        <v/>
      </c>
      <c r="J11" s="9">
        <f>IF(AND(ISNUMBER($B11),ISNUMBER(J$7)),ROUND(ABS($B11-J$7),6),"")</f>
        <v/>
      </c>
      <c r="K11" s="9">
        <f>IF(AND(ISNUMBER($B11),ISNUMBER(K$7)),ROUND(ABS($B11-K$7),6),"")</f>
        <v/>
      </c>
      <c r="L11" s="9">
        <f>IF(AND(ISNUMBER($B11),ISNUMBER(L$7)),ROUND(ABS($B11-L$7),6),"")</f>
        <v/>
      </c>
      <c r="M11" s="9">
        <f>IF(AND(ISNUMBER($B11),ISNUMBER(M$7)),ROUND(ABS($B11-M$7),6),"")</f>
        <v/>
      </c>
      <c r="N11" s="9">
        <f>IF(AND(ISNUMBER($B11),ISNUMBER(N$7)),ROUND(ABS($B11-N$7),6),"")</f>
        <v/>
      </c>
      <c r="O11" s="9">
        <f>IF(AND(ISNUMBER($B11),ISNUMBER(O$7)),ROUND(ABS($B11-O$7),6),"")</f>
        <v/>
      </c>
      <c r="P11" s="9">
        <f>IF(AND(ISNUMBER($B11),ISNUMBER(P$7)),ROUND(ABS($B11-P$7),6),"")</f>
        <v/>
      </c>
      <c r="Q11" s="9">
        <f>IF(AND(ISNUMBER($B11),ISNUMBER(Q$7)),ROUND(ABS($B11-Q$7),6),"")</f>
        <v/>
      </c>
      <c r="R11" s="9">
        <f>IF(AND(ISNUMBER($B11),ISNUMBER(R$7)),ROUND(ABS($B11-R$7),6),"")</f>
        <v/>
      </c>
      <c r="S11" s="9">
        <f>IF(AND(ISNUMBER($B11),ISNUMBER(S$7)),ROUND(ABS($B11-S$7),6),"")</f>
        <v/>
      </c>
    </row>
    <row r="12">
      <c r="A12" s="6" t="inlineStr">
        <is>
          <t>PR-2104</t>
        </is>
      </c>
      <c r="B12" s="6" t="n">
        <v>15.25</v>
      </c>
      <c r="C12" s="4">
        <f>IF($B12="","",IF(ISNUMBER($B12),IF(COUNT($H12:$S12)=0,"No sizes",INDEX($H$7:$S$7,MATCH(MIN($H12:$S12),$H12:$S12,0))),"Check length"))</f>
        <v/>
      </c>
      <c r="D12" s="4">
        <f>IF(ISNUMBER(C12),MIN($H12:$S12),"")</f>
        <v/>
      </c>
      <c r="E12" s="4">
        <f>IF(ISNUMBER(C12),IF(COUNTIF($H$7:$S$7,"&gt;="&amp;B12)=0,"None",SMALL($H$7:$S$7,COUNTIF($H$7:$S$7,"&lt;"&amp;B12)+1)),"")</f>
        <v/>
      </c>
      <c r="F12" s="4">
        <f>IF(ISNUMBER(C12),IF(COUNTIF($H12:$S12,D12)&gt;1,"Tie, first listed used",""),"")</f>
        <v/>
      </c>
      <c r="H12" s="9">
        <f>IF(AND(ISNUMBER($B12),ISNUMBER(H$7)),ROUND(ABS($B12-H$7),6),"")</f>
        <v/>
      </c>
      <c r="I12" s="9">
        <f>IF(AND(ISNUMBER($B12),ISNUMBER(I$7)),ROUND(ABS($B12-I$7),6),"")</f>
        <v/>
      </c>
      <c r="J12" s="9">
        <f>IF(AND(ISNUMBER($B12),ISNUMBER(J$7)),ROUND(ABS($B12-J$7),6),"")</f>
        <v/>
      </c>
      <c r="K12" s="9">
        <f>IF(AND(ISNUMBER($B12),ISNUMBER(K$7)),ROUND(ABS($B12-K$7),6),"")</f>
        <v/>
      </c>
      <c r="L12" s="9">
        <f>IF(AND(ISNUMBER($B12),ISNUMBER(L$7)),ROUND(ABS($B12-L$7),6),"")</f>
        <v/>
      </c>
      <c r="M12" s="9">
        <f>IF(AND(ISNUMBER($B12),ISNUMBER(M$7)),ROUND(ABS($B12-M$7),6),"")</f>
        <v/>
      </c>
      <c r="N12" s="9">
        <f>IF(AND(ISNUMBER($B12),ISNUMBER(N$7)),ROUND(ABS($B12-N$7),6),"")</f>
        <v/>
      </c>
      <c r="O12" s="9">
        <f>IF(AND(ISNUMBER($B12),ISNUMBER(O$7)),ROUND(ABS($B12-O$7),6),"")</f>
        <v/>
      </c>
      <c r="P12" s="9">
        <f>IF(AND(ISNUMBER($B12),ISNUMBER(P$7)),ROUND(ABS($B12-P$7),6),"")</f>
        <v/>
      </c>
      <c r="Q12" s="9">
        <f>IF(AND(ISNUMBER($B12),ISNUMBER(Q$7)),ROUND(ABS($B12-Q$7),6),"")</f>
        <v/>
      </c>
      <c r="R12" s="9">
        <f>IF(AND(ISNUMBER($B12),ISNUMBER(R$7)),ROUND(ABS($B12-R$7),6),"")</f>
        <v/>
      </c>
      <c r="S12" s="9">
        <f>IF(AND(ISNUMBER($B12),ISNUMBER(S$7)),ROUND(ABS($B12-S$7),6),"")</f>
        <v/>
      </c>
    </row>
    <row r="13">
      <c r="A13" s="6" t="inlineStr">
        <is>
          <t>PR-2105</t>
        </is>
      </c>
      <c r="B13" s="6" t="n">
        <v>17</v>
      </c>
      <c r="C13" s="4">
        <f>IF($B13="","",IF(ISNUMBER($B13),IF(COUNT($H13:$S13)=0,"No sizes",INDEX($H$7:$S$7,MATCH(MIN($H13:$S13),$H13:$S13,0))),"Check length"))</f>
        <v/>
      </c>
      <c r="D13" s="4">
        <f>IF(ISNUMBER(C13),MIN($H13:$S13),"")</f>
        <v/>
      </c>
      <c r="E13" s="4">
        <f>IF(ISNUMBER(C13),IF(COUNTIF($H$7:$S$7,"&gt;="&amp;B13)=0,"None",SMALL($H$7:$S$7,COUNTIF($H$7:$S$7,"&lt;"&amp;B13)+1)),"")</f>
        <v/>
      </c>
      <c r="F13" s="4">
        <f>IF(ISNUMBER(C13),IF(COUNTIF($H13:$S13,D13)&gt;1,"Tie, first listed used",""),"")</f>
        <v/>
      </c>
      <c r="H13" s="9">
        <f>IF(AND(ISNUMBER($B13),ISNUMBER(H$7)),ROUND(ABS($B13-H$7),6),"")</f>
        <v/>
      </c>
      <c r="I13" s="9">
        <f>IF(AND(ISNUMBER($B13),ISNUMBER(I$7)),ROUND(ABS($B13-I$7),6),"")</f>
        <v/>
      </c>
      <c r="J13" s="9">
        <f>IF(AND(ISNUMBER($B13),ISNUMBER(J$7)),ROUND(ABS($B13-J$7),6),"")</f>
        <v/>
      </c>
      <c r="K13" s="9">
        <f>IF(AND(ISNUMBER($B13),ISNUMBER(K$7)),ROUND(ABS($B13-K$7),6),"")</f>
        <v/>
      </c>
      <c r="L13" s="9">
        <f>IF(AND(ISNUMBER($B13),ISNUMBER(L$7)),ROUND(ABS($B13-L$7),6),"")</f>
        <v/>
      </c>
      <c r="M13" s="9">
        <f>IF(AND(ISNUMBER($B13),ISNUMBER(M$7)),ROUND(ABS($B13-M$7),6),"")</f>
        <v/>
      </c>
      <c r="N13" s="9">
        <f>IF(AND(ISNUMBER($B13),ISNUMBER(N$7)),ROUND(ABS($B13-N$7),6),"")</f>
        <v/>
      </c>
      <c r="O13" s="9">
        <f>IF(AND(ISNUMBER($B13),ISNUMBER(O$7)),ROUND(ABS($B13-O$7),6),"")</f>
        <v/>
      </c>
      <c r="P13" s="9">
        <f>IF(AND(ISNUMBER($B13),ISNUMBER(P$7)),ROUND(ABS($B13-P$7),6),"")</f>
        <v/>
      </c>
      <c r="Q13" s="9">
        <f>IF(AND(ISNUMBER($B13),ISNUMBER(Q$7)),ROUND(ABS($B13-Q$7),6),"")</f>
        <v/>
      </c>
      <c r="R13" s="9">
        <f>IF(AND(ISNUMBER($B13),ISNUMBER(R$7)),ROUND(ABS($B13-R$7),6),"")</f>
        <v/>
      </c>
      <c r="S13" s="9">
        <f>IF(AND(ISNUMBER($B13),ISNUMBER(S$7)),ROUND(ABS($B13-S$7),6),"")</f>
        <v/>
      </c>
    </row>
    <row r="14">
      <c r="A14" s="6" t="inlineStr">
        <is>
          <t>PR-2106</t>
        </is>
      </c>
      <c r="B14" s="6" t="n">
        <v>18</v>
      </c>
      <c r="C14" s="4">
        <f>IF($B14="","",IF(ISNUMBER($B14),IF(COUNT($H14:$S14)=0,"No sizes",INDEX($H$7:$S$7,MATCH(MIN($H14:$S14),$H14:$S14,0))),"Check length"))</f>
        <v/>
      </c>
      <c r="D14" s="4">
        <f>IF(ISNUMBER(C14),MIN($H14:$S14),"")</f>
        <v/>
      </c>
      <c r="E14" s="4">
        <f>IF(ISNUMBER(C14),IF(COUNTIF($H$7:$S$7,"&gt;="&amp;B14)=0,"None",SMALL($H$7:$S$7,COUNTIF($H$7:$S$7,"&lt;"&amp;B14)+1)),"")</f>
        <v/>
      </c>
      <c r="F14" s="4">
        <f>IF(ISNUMBER(C14),IF(COUNTIF($H14:$S14,D14)&gt;1,"Tie, first listed used",""),"")</f>
        <v/>
      </c>
      <c r="H14" s="9">
        <f>IF(AND(ISNUMBER($B14),ISNUMBER(H$7)),ROUND(ABS($B14-H$7),6),"")</f>
        <v/>
      </c>
      <c r="I14" s="9">
        <f>IF(AND(ISNUMBER($B14),ISNUMBER(I$7)),ROUND(ABS($B14-I$7),6),"")</f>
        <v/>
      </c>
      <c r="J14" s="9">
        <f>IF(AND(ISNUMBER($B14),ISNUMBER(J$7)),ROUND(ABS($B14-J$7),6),"")</f>
        <v/>
      </c>
      <c r="K14" s="9">
        <f>IF(AND(ISNUMBER($B14),ISNUMBER(K$7)),ROUND(ABS($B14-K$7),6),"")</f>
        <v/>
      </c>
      <c r="L14" s="9">
        <f>IF(AND(ISNUMBER($B14),ISNUMBER(L$7)),ROUND(ABS($B14-L$7),6),"")</f>
        <v/>
      </c>
      <c r="M14" s="9">
        <f>IF(AND(ISNUMBER($B14),ISNUMBER(M$7)),ROUND(ABS($B14-M$7),6),"")</f>
        <v/>
      </c>
      <c r="N14" s="9">
        <f>IF(AND(ISNUMBER($B14),ISNUMBER(N$7)),ROUND(ABS($B14-N$7),6),"")</f>
        <v/>
      </c>
      <c r="O14" s="9">
        <f>IF(AND(ISNUMBER($B14),ISNUMBER(O$7)),ROUND(ABS($B14-O$7),6),"")</f>
        <v/>
      </c>
      <c r="P14" s="9">
        <f>IF(AND(ISNUMBER($B14),ISNUMBER(P$7)),ROUND(ABS($B14-P$7),6),"")</f>
        <v/>
      </c>
      <c r="Q14" s="9">
        <f>IF(AND(ISNUMBER($B14),ISNUMBER(Q$7)),ROUND(ABS($B14-Q$7),6),"")</f>
        <v/>
      </c>
      <c r="R14" s="9">
        <f>IF(AND(ISNUMBER($B14),ISNUMBER(R$7)),ROUND(ABS($B14-R$7),6),"")</f>
        <v/>
      </c>
      <c r="S14" s="9">
        <f>IF(AND(ISNUMBER($B14),ISNUMBER(S$7)),ROUND(ABS($B14-S$7),6),"")</f>
        <v/>
      </c>
    </row>
    <row r="15">
      <c r="A15" s="6" t="inlineStr">
        <is>
          <t>PR-2107</t>
        </is>
      </c>
      <c r="B15" s="6" t="n">
        <v>21</v>
      </c>
      <c r="C15" s="4">
        <f>IF($B15="","",IF(ISNUMBER($B15),IF(COUNT($H15:$S15)=0,"No sizes",INDEX($H$7:$S$7,MATCH(MIN($H15:$S15),$H15:$S15,0))),"Check length"))</f>
        <v/>
      </c>
      <c r="D15" s="4">
        <f>IF(ISNUMBER(C15),MIN($H15:$S15),"")</f>
        <v/>
      </c>
      <c r="E15" s="4">
        <f>IF(ISNUMBER(C15),IF(COUNTIF($H$7:$S$7,"&gt;="&amp;B15)=0,"None",SMALL($H$7:$S$7,COUNTIF($H$7:$S$7,"&lt;"&amp;B15)+1)),"")</f>
        <v/>
      </c>
      <c r="F15" s="4">
        <f>IF(ISNUMBER(C15),IF(COUNTIF($H15:$S15,D15)&gt;1,"Tie, first listed used",""),"")</f>
        <v/>
      </c>
      <c r="H15" s="9">
        <f>IF(AND(ISNUMBER($B15),ISNUMBER(H$7)),ROUND(ABS($B15-H$7),6),"")</f>
        <v/>
      </c>
      <c r="I15" s="9">
        <f>IF(AND(ISNUMBER($B15),ISNUMBER(I$7)),ROUND(ABS($B15-I$7),6),"")</f>
        <v/>
      </c>
      <c r="J15" s="9">
        <f>IF(AND(ISNUMBER($B15),ISNUMBER(J$7)),ROUND(ABS($B15-J$7),6),"")</f>
        <v/>
      </c>
      <c r="K15" s="9">
        <f>IF(AND(ISNUMBER($B15),ISNUMBER(K$7)),ROUND(ABS($B15-K$7),6),"")</f>
        <v/>
      </c>
      <c r="L15" s="9">
        <f>IF(AND(ISNUMBER($B15),ISNUMBER(L$7)),ROUND(ABS($B15-L$7),6),"")</f>
        <v/>
      </c>
      <c r="M15" s="9">
        <f>IF(AND(ISNUMBER($B15),ISNUMBER(M$7)),ROUND(ABS($B15-M$7),6),"")</f>
        <v/>
      </c>
      <c r="N15" s="9">
        <f>IF(AND(ISNUMBER($B15),ISNUMBER(N$7)),ROUND(ABS($B15-N$7),6),"")</f>
        <v/>
      </c>
      <c r="O15" s="9">
        <f>IF(AND(ISNUMBER($B15),ISNUMBER(O$7)),ROUND(ABS($B15-O$7),6),"")</f>
        <v/>
      </c>
      <c r="P15" s="9">
        <f>IF(AND(ISNUMBER($B15),ISNUMBER(P$7)),ROUND(ABS($B15-P$7),6),"")</f>
        <v/>
      </c>
      <c r="Q15" s="9">
        <f>IF(AND(ISNUMBER($B15),ISNUMBER(Q$7)),ROUND(ABS($B15-Q$7),6),"")</f>
        <v/>
      </c>
      <c r="R15" s="9">
        <f>IF(AND(ISNUMBER($B15),ISNUMBER(R$7)),ROUND(ABS($B15-R$7),6),"")</f>
        <v/>
      </c>
      <c r="S15" s="9">
        <f>IF(AND(ISNUMBER($B15),ISNUMBER(S$7)),ROUND(ABS($B15-S$7),6),"")</f>
        <v/>
      </c>
    </row>
    <row r="16">
      <c r="A16" s="6" t="inlineStr">
        <is>
          <t>PR-2108</t>
        </is>
      </c>
      <c r="B16" s="6" t="n">
        <v>22</v>
      </c>
      <c r="C16" s="4">
        <f>IF($B16="","",IF(ISNUMBER($B16),IF(COUNT($H16:$S16)=0,"No sizes",INDEX($H$7:$S$7,MATCH(MIN($H16:$S16),$H16:$S16,0))),"Check length"))</f>
        <v/>
      </c>
      <c r="D16" s="4">
        <f>IF(ISNUMBER(C16),MIN($H16:$S16),"")</f>
        <v/>
      </c>
      <c r="E16" s="4">
        <f>IF(ISNUMBER(C16),IF(COUNTIF($H$7:$S$7,"&gt;="&amp;B16)=0,"None",SMALL($H$7:$S$7,COUNTIF($H$7:$S$7,"&lt;"&amp;B16)+1)),"")</f>
        <v/>
      </c>
      <c r="F16" s="4">
        <f>IF(ISNUMBER(C16),IF(COUNTIF($H16:$S16,D16)&gt;1,"Tie, first listed used",""),"")</f>
        <v/>
      </c>
      <c r="H16" s="9">
        <f>IF(AND(ISNUMBER($B16),ISNUMBER(H$7)),ROUND(ABS($B16-H$7),6),"")</f>
        <v/>
      </c>
      <c r="I16" s="9">
        <f>IF(AND(ISNUMBER($B16),ISNUMBER(I$7)),ROUND(ABS($B16-I$7),6),"")</f>
        <v/>
      </c>
      <c r="J16" s="9">
        <f>IF(AND(ISNUMBER($B16),ISNUMBER(J$7)),ROUND(ABS($B16-J$7),6),"")</f>
        <v/>
      </c>
      <c r="K16" s="9">
        <f>IF(AND(ISNUMBER($B16),ISNUMBER(K$7)),ROUND(ABS($B16-K$7),6),"")</f>
        <v/>
      </c>
      <c r="L16" s="9">
        <f>IF(AND(ISNUMBER($B16),ISNUMBER(L$7)),ROUND(ABS($B16-L$7),6),"")</f>
        <v/>
      </c>
      <c r="M16" s="9">
        <f>IF(AND(ISNUMBER($B16),ISNUMBER(M$7)),ROUND(ABS($B16-M$7),6),"")</f>
        <v/>
      </c>
      <c r="N16" s="9">
        <f>IF(AND(ISNUMBER($B16),ISNUMBER(N$7)),ROUND(ABS($B16-N$7),6),"")</f>
        <v/>
      </c>
      <c r="O16" s="9">
        <f>IF(AND(ISNUMBER($B16),ISNUMBER(O$7)),ROUND(ABS($B16-O$7),6),"")</f>
        <v/>
      </c>
      <c r="P16" s="9">
        <f>IF(AND(ISNUMBER($B16),ISNUMBER(P$7)),ROUND(ABS($B16-P$7),6),"")</f>
        <v/>
      </c>
      <c r="Q16" s="9">
        <f>IF(AND(ISNUMBER($B16),ISNUMBER(Q$7)),ROUND(ABS($B16-Q$7),6),"")</f>
        <v/>
      </c>
      <c r="R16" s="9">
        <f>IF(AND(ISNUMBER($B16),ISNUMBER(R$7)),ROUND(ABS($B16-R$7),6),"")</f>
        <v/>
      </c>
      <c r="S16" s="9">
        <f>IF(AND(ISNUMBER($B16),ISNUMBER(S$7)),ROUND(ABS($B16-S$7),6),"")</f>
        <v/>
      </c>
    </row>
    <row r="17">
      <c r="A17" s="6" t="inlineStr">
        <is>
          <t>PR-2109</t>
        </is>
      </c>
      <c r="B17" s="6" t="n">
        <v>26</v>
      </c>
      <c r="C17" s="4">
        <f>IF($B17="","",IF(ISNUMBER($B17),IF(COUNT($H17:$S17)=0,"No sizes",INDEX($H$7:$S$7,MATCH(MIN($H17:$S17),$H17:$S17,0))),"Check length"))</f>
        <v/>
      </c>
      <c r="D17" s="4">
        <f>IF(ISNUMBER(C17),MIN($H17:$S17),"")</f>
        <v/>
      </c>
      <c r="E17" s="4">
        <f>IF(ISNUMBER(C17),IF(COUNTIF($H$7:$S$7,"&gt;="&amp;B17)=0,"None",SMALL($H$7:$S$7,COUNTIF($H$7:$S$7,"&lt;"&amp;B17)+1)),"")</f>
        <v/>
      </c>
      <c r="F17" s="4">
        <f>IF(ISNUMBER(C17),IF(COUNTIF($H17:$S17,D17)&gt;1,"Tie, first listed used",""),"")</f>
        <v/>
      </c>
      <c r="H17" s="9">
        <f>IF(AND(ISNUMBER($B17),ISNUMBER(H$7)),ROUND(ABS($B17-H$7),6),"")</f>
        <v/>
      </c>
      <c r="I17" s="9">
        <f>IF(AND(ISNUMBER($B17),ISNUMBER(I$7)),ROUND(ABS($B17-I$7),6),"")</f>
        <v/>
      </c>
      <c r="J17" s="9">
        <f>IF(AND(ISNUMBER($B17),ISNUMBER(J$7)),ROUND(ABS($B17-J$7),6),"")</f>
        <v/>
      </c>
      <c r="K17" s="9">
        <f>IF(AND(ISNUMBER($B17),ISNUMBER(K$7)),ROUND(ABS($B17-K$7),6),"")</f>
        <v/>
      </c>
      <c r="L17" s="9">
        <f>IF(AND(ISNUMBER($B17),ISNUMBER(L$7)),ROUND(ABS($B17-L$7),6),"")</f>
        <v/>
      </c>
      <c r="M17" s="9">
        <f>IF(AND(ISNUMBER($B17),ISNUMBER(M$7)),ROUND(ABS($B17-M$7),6),"")</f>
        <v/>
      </c>
      <c r="N17" s="9">
        <f>IF(AND(ISNUMBER($B17),ISNUMBER(N$7)),ROUND(ABS($B17-N$7),6),"")</f>
        <v/>
      </c>
      <c r="O17" s="9">
        <f>IF(AND(ISNUMBER($B17),ISNUMBER(O$7)),ROUND(ABS($B17-O$7),6),"")</f>
        <v/>
      </c>
      <c r="P17" s="9">
        <f>IF(AND(ISNUMBER($B17),ISNUMBER(P$7)),ROUND(ABS($B17-P$7),6),"")</f>
        <v/>
      </c>
      <c r="Q17" s="9">
        <f>IF(AND(ISNUMBER($B17),ISNUMBER(Q$7)),ROUND(ABS($B17-Q$7),6),"")</f>
        <v/>
      </c>
      <c r="R17" s="9">
        <f>IF(AND(ISNUMBER($B17),ISNUMBER(R$7)),ROUND(ABS($B17-R$7),6),"")</f>
        <v/>
      </c>
      <c r="S17" s="9">
        <f>IF(AND(ISNUMBER($B17),ISNUMBER(S$7)),ROUND(ABS($B17-S$7),6),"")</f>
        <v/>
      </c>
    </row>
    <row r="18">
      <c r="A18" s="6" t="inlineStr">
        <is>
          <t>PR-2110</t>
        </is>
      </c>
      <c r="B18" s="6" t="n">
        <v>27</v>
      </c>
      <c r="C18" s="4">
        <f>IF($B18="","",IF(ISNUMBER($B18),IF(COUNT($H18:$S18)=0,"No sizes",INDEX($H$7:$S$7,MATCH(MIN($H18:$S18),$H18:$S18,0))),"Check length"))</f>
        <v/>
      </c>
      <c r="D18" s="4">
        <f>IF(ISNUMBER(C18),MIN($H18:$S18),"")</f>
        <v/>
      </c>
      <c r="E18" s="4">
        <f>IF(ISNUMBER(C18),IF(COUNTIF($H$7:$S$7,"&gt;="&amp;B18)=0,"None",SMALL($H$7:$S$7,COUNTIF($H$7:$S$7,"&lt;"&amp;B18)+1)),"")</f>
        <v/>
      </c>
      <c r="F18" s="4">
        <f>IF(ISNUMBER(C18),IF(COUNTIF($H18:$S18,D18)&gt;1,"Tie, first listed used",""),"")</f>
        <v/>
      </c>
      <c r="H18" s="9">
        <f>IF(AND(ISNUMBER($B18),ISNUMBER(H$7)),ROUND(ABS($B18-H$7),6),"")</f>
        <v/>
      </c>
      <c r="I18" s="9">
        <f>IF(AND(ISNUMBER($B18),ISNUMBER(I$7)),ROUND(ABS($B18-I$7),6),"")</f>
        <v/>
      </c>
      <c r="J18" s="9">
        <f>IF(AND(ISNUMBER($B18),ISNUMBER(J$7)),ROUND(ABS($B18-J$7),6),"")</f>
        <v/>
      </c>
      <c r="K18" s="9">
        <f>IF(AND(ISNUMBER($B18),ISNUMBER(K$7)),ROUND(ABS($B18-K$7),6),"")</f>
        <v/>
      </c>
      <c r="L18" s="9">
        <f>IF(AND(ISNUMBER($B18),ISNUMBER(L$7)),ROUND(ABS($B18-L$7),6),"")</f>
        <v/>
      </c>
      <c r="M18" s="9">
        <f>IF(AND(ISNUMBER($B18),ISNUMBER(M$7)),ROUND(ABS($B18-M$7),6),"")</f>
        <v/>
      </c>
      <c r="N18" s="9">
        <f>IF(AND(ISNUMBER($B18),ISNUMBER(N$7)),ROUND(ABS($B18-N$7),6),"")</f>
        <v/>
      </c>
      <c r="O18" s="9">
        <f>IF(AND(ISNUMBER($B18),ISNUMBER(O$7)),ROUND(ABS($B18-O$7),6),"")</f>
        <v/>
      </c>
      <c r="P18" s="9">
        <f>IF(AND(ISNUMBER($B18),ISNUMBER(P$7)),ROUND(ABS($B18-P$7),6),"")</f>
        <v/>
      </c>
      <c r="Q18" s="9">
        <f>IF(AND(ISNUMBER($B18),ISNUMBER(Q$7)),ROUND(ABS($B18-Q$7),6),"")</f>
        <v/>
      </c>
      <c r="R18" s="9">
        <f>IF(AND(ISNUMBER($B18),ISNUMBER(R$7)),ROUND(ABS($B18-R$7),6),"")</f>
        <v/>
      </c>
      <c r="S18" s="9">
        <f>IF(AND(ISNUMBER($B18),ISNUMBER(S$7)),ROUND(ABS($B18-S$7),6),"")</f>
        <v/>
      </c>
    </row>
    <row r="19">
      <c r="A19" s="6" t="inlineStr">
        <is>
          <t>PR-2111</t>
        </is>
      </c>
      <c r="B19" s="6" t="n">
        <v>29</v>
      </c>
      <c r="C19" s="4">
        <f>IF($B19="","",IF(ISNUMBER($B19),IF(COUNT($H19:$S19)=0,"No sizes",INDEX($H$7:$S$7,MATCH(MIN($H19:$S19),$H19:$S19,0))),"Check length"))</f>
        <v/>
      </c>
      <c r="D19" s="4">
        <f>IF(ISNUMBER(C19),MIN($H19:$S19),"")</f>
        <v/>
      </c>
      <c r="E19" s="4">
        <f>IF(ISNUMBER(C19),IF(COUNTIF($H$7:$S$7,"&gt;="&amp;B19)=0,"None",SMALL($H$7:$S$7,COUNTIF($H$7:$S$7,"&lt;"&amp;B19)+1)),"")</f>
        <v/>
      </c>
      <c r="F19" s="4">
        <f>IF(ISNUMBER(C19),IF(COUNTIF($H19:$S19,D19)&gt;1,"Tie, first listed used",""),"")</f>
        <v/>
      </c>
      <c r="H19" s="9">
        <f>IF(AND(ISNUMBER($B19),ISNUMBER(H$7)),ROUND(ABS($B19-H$7),6),"")</f>
        <v/>
      </c>
      <c r="I19" s="9">
        <f>IF(AND(ISNUMBER($B19),ISNUMBER(I$7)),ROUND(ABS($B19-I$7),6),"")</f>
        <v/>
      </c>
      <c r="J19" s="9">
        <f>IF(AND(ISNUMBER($B19),ISNUMBER(J$7)),ROUND(ABS($B19-J$7),6),"")</f>
        <v/>
      </c>
      <c r="K19" s="9">
        <f>IF(AND(ISNUMBER($B19),ISNUMBER(K$7)),ROUND(ABS($B19-K$7),6),"")</f>
        <v/>
      </c>
      <c r="L19" s="9">
        <f>IF(AND(ISNUMBER($B19),ISNUMBER(L$7)),ROUND(ABS($B19-L$7),6),"")</f>
        <v/>
      </c>
      <c r="M19" s="9">
        <f>IF(AND(ISNUMBER($B19),ISNUMBER(M$7)),ROUND(ABS($B19-M$7),6),"")</f>
        <v/>
      </c>
      <c r="N19" s="9">
        <f>IF(AND(ISNUMBER($B19),ISNUMBER(N$7)),ROUND(ABS($B19-N$7),6),"")</f>
        <v/>
      </c>
      <c r="O19" s="9">
        <f>IF(AND(ISNUMBER($B19),ISNUMBER(O$7)),ROUND(ABS($B19-O$7),6),"")</f>
        <v/>
      </c>
      <c r="P19" s="9">
        <f>IF(AND(ISNUMBER($B19),ISNUMBER(P$7)),ROUND(ABS($B19-P$7),6),"")</f>
        <v/>
      </c>
      <c r="Q19" s="9">
        <f>IF(AND(ISNUMBER($B19),ISNUMBER(Q$7)),ROUND(ABS($B19-Q$7),6),"")</f>
        <v/>
      </c>
      <c r="R19" s="9">
        <f>IF(AND(ISNUMBER($B19),ISNUMBER(R$7)),ROUND(ABS($B19-R$7),6),"")</f>
        <v/>
      </c>
      <c r="S19" s="9">
        <f>IF(AND(ISNUMBER($B19),ISNUMBER(S$7)),ROUND(ABS($B19-S$7),6),"")</f>
        <v/>
      </c>
    </row>
    <row r="20">
      <c r="A20" s="6" t="inlineStr">
        <is>
          <t>PR-2112</t>
        </is>
      </c>
      <c r="B20" s="6" t="n">
        <v>31.5</v>
      </c>
      <c r="C20" s="4">
        <f>IF($B20="","",IF(ISNUMBER($B20),IF(COUNT($H20:$S20)=0,"No sizes",INDEX($H$7:$S$7,MATCH(MIN($H20:$S20),$H20:$S20,0))),"Check length"))</f>
        <v/>
      </c>
      <c r="D20" s="4">
        <f>IF(ISNUMBER(C20),MIN($H20:$S20),"")</f>
        <v/>
      </c>
      <c r="E20" s="4">
        <f>IF(ISNUMBER(C20),IF(COUNTIF($H$7:$S$7,"&gt;="&amp;B20)=0,"None",SMALL($H$7:$S$7,COUNTIF($H$7:$S$7,"&lt;"&amp;B20)+1)),"")</f>
        <v/>
      </c>
      <c r="F20" s="4">
        <f>IF(ISNUMBER(C20),IF(COUNTIF($H20:$S20,D20)&gt;1,"Tie, first listed used",""),"")</f>
        <v/>
      </c>
      <c r="H20" s="9">
        <f>IF(AND(ISNUMBER($B20),ISNUMBER(H$7)),ROUND(ABS($B20-H$7),6),"")</f>
        <v/>
      </c>
      <c r="I20" s="9">
        <f>IF(AND(ISNUMBER($B20),ISNUMBER(I$7)),ROUND(ABS($B20-I$7),6),"")</f>
        <v/>
      </c>
      <c r="J20" s="9">
        <f>IF(AND(ISNUMBER($B20),ISNUMBER(J$7)),ROUND(ABS($B20-J$7),6),"")</f>
        <v/>
      </c>
      <c r="K20" s="9">
        <f>IF(AND(ISNUMBER($B20),ISNUMBER(K$7)),ROUND(ABS($B20-K$7),6),"")</f>
        <v/>
      </c>
      <c r="L20" s="9">
        <f>IF(AND(ISNUMBER($B20),ISNUMBER(L$7)),ROUND(ABS($B20-L$7),6),"")</f>
        <v/>
      </c>
      <c r="M20" s="9">
        <f>IF(AND(ISNUMBER($B20),ISNUMBER(M$7)),ROUND(ABS($B20-M$7),6),"")</f>
        <v/>
      </c>
      <c r="N20" s="9">
        <f>IF(AND(ISNUMBER($B20),ISNUMBER(N$7)),ROUND(ABS($B20-N$7),6),"")</f>
        <v/>
      </c>
      <c r="O20" s="9">
        <f>IF(AND(ISNUMBER($B20),ISNUMBER(O$7)),ROUND(ABS($B20-O$7),6),"")</f>
        <v/>
      </c>
      <c r="P20" s="9">
        <f>IF(AND(ISNUMBER($B20),ISNUMBER(P$7)),ROUND(ABS($B20-P$7),6),"")</f>
        <v/>
      </c>
      <c r="Q20" s="9">
        <f>IF(AND(ISNUMBER($B20),ISNUMBER(Q$7)),ROUND(ABS($B20-Q$7),6),"")</f>
        <v/>
      </c>
      <c r="R20" s="9">
        <f>IF(AND(ISNUMBER($B20),ISNUMBER(R$7)),ROUND(ABS($B20-R$7),6),"")</f>
        <v/>
      </c>
      <c r="S20" s="9">
        <f>IF(AND(ISNUMBER($B20),ISNUMBER(S$7)),ROUND(ABS($B20-S$7),6),"")</f>
        <v/>
      </c>
    </row>
    <row r="21">
      <c r="A21" s="6" t="inlineStr">
        <is>
          <t>PR-2113</t>
        </is>
      </c>
      <c r="B21" s="6" t="n">
        <v>5</v>
      </c>
      <c r="C21" s="4">
        <f>IF($B21="","",IF(ISNUMBER($B21),IF(COUNT($H21:$S21)=0,"No sizes",INDEX($H$7:$S$7,MATCH(MIN($H21:$S21),$H21:$S21,0))),"Check length"))</f>
        <v/>
      </c>
      <c r="D21" s="4">
        <f>IF(ISNUMBER(C21),MIN($H21:$S21),"")</f>
        <v/>
      </c>
      <c r="E21" s="4">
        <f>IF(ISNUMBER(C21),IF(COUNTIF($H$7:$S$7,"&gt;="&amp;B21)=0,"None",SMALL($H$7:$S$7,COUNTIF($H$7:$S$7,"&lt;"&amp;B21)+1)),"")</f>
        <v/>
      </c>
      <c r="F21" s="4">
        <f>IF(ISNUMBER(C21),IF(COUNTIF($H21:$S21,D21)&gt;1,"Tie, first listed used",""),"")</f>
        <v/>
      </c>
      <c r="H21" s="9">
        <f>IF(AND(ISNUMBER($B21),ISNUMBER(H$7)),ROUND(ABS($B21-H$7),6),"")</f>
        <v/>
      </c>
      <c r="I21" s="9">
        <f>IF(AND(ISNUMBER($B21),ISNUMBER(I$7)),ROUND(ABS($B21-I$7),6),"")</f>
        <v/>
      </c>
      <c r="J21" s="9">
        <f>IF(AND(ISNUMBER($B21),ISNUMBER(J$7)),ROUND(ABS($B21-J$7),6),"")</f>
        <v/>
      </c>
      <c r="K21" s="9">
        <f>IF(AND(ISNUMBER($B21),ISNUMBER(K$7)),ROUND(ABS($B21-K$7),6),"")</f>
        <v/>
      </c>
      <c r="L21" s="9">
        <f>IF(AND(ISNUMBER($B21),ISNUMBER(L$7)),ROUND(ABS($B21-L$7),6),"")</f>
        <v/>
      </c>
      <c r="M21" s="9">
        <f>IF(AND(ISNUMBER($B21),ISNUMBER(M$7)),ROUND(ABS($B21-M$7),6),"")</f>
        <v/>
      </c>
      <c r="N21" s="9">
        <f>IF(AND(ISNUMBER($B21),ISNUMBER(N$7)),ROUND(ABS($B21-N$7),6),"")</f>
        <v/>
      </c>
      <c r="O21" s="9">
        <f>IF(AND(ISNUMBER($B21),ISNUMBER(O$7)),ROUND(ABS($B21-O$7),6),"")</f>
        <v/>
      </c>
      <c r="P21" s="9">
        <f>IF(AND(ISNUMBER($B21),ISNUMBER(P$7)),ROUND(ABS($B21-P$7),6),"")</f>
        <v/>
      </c>
      <c r="Q21" s="9">
        <f>IF(AND(ISNUMBER($B21),ISNUMBER(Q$7)),ROUND(ABS($B21-Q$7),6),"")</f>
        <v/>
      </c>
      <c r="R21" s="9">
        <f>IF(AND(ISNUMBER($B21),ISNUMBER(R$7)),ROUND(ABS($B21-R$7),6),"")</f>
        <v/>
      </c>
      <c r="S21" s="9">
        <f>IF(AND(ISNUMBER($B21),ISNUMBER(S$7)),ROUND(ABS($B21-S$7),6),"")</f>
        <v/>
      </c>
    </row>
    <row r="22">
      <c r="A22" s="6" t="inlineStr">
        <is>
          <t>PR-2114</t>
        </is>
      </c>
      <c r="B22" s="6" t="n">
        <v>35</v>
      </c>
      <c r="C22" s="4">
        <f>IF($B22="","",IF(ISNUMBER($B22),IF(COUNT($H22:$S22)=0,"No sizes",INDEX($H$7:$S$7,MATCH(MIN($H22:$S22),$H22:$S22,0))),"Check length"))</f>
        <v/>
      </c>
      <c r="D22" s="4">
        <f>IF(ISNUMBER(C22),MIN($H22:$S22),"")</f>
        <v/>
      </c>
      <c r="E22" s="4">
        <f>IF(ISNUMBER(C22),IF(COUNTIF($H$7:$S$7,"&gt;="&amp;B22)=0,"None",SMALL($H$7:$S$7,COUNTIF($H$7:$S$7,"&lt;"&amp;B22)+1)),"")</f>
        <v/>
      </c>
      <c r="F22" s="4">
        <f>IF(ISNUMBER(C22),IF(COUNTIF($H22:$S22,D22)&gt;1,"Tie, first listed used",""),"")</f>
        <v/>
      </c>
      <c r="H22" s="9">
        <f>IF(AND(ISNUMBER($B22),ISNUMBER(H$7)),ROUND(ABS($B22-H$7),6),"")</f>
        <v/>
      </c>
      <c r="I22" s="9">
        <f>IF(AND(ISNUMBER($B22),ISNUMBER(I$7)),ROUND(ABS($B22-I$7),6),"")</f>
        <v/>
      </c>
      <c r="J22" s="9">
        <f>IF(AND(ISNUMBER($B22),ISNUMBER(J$7)),ROUND(ABS($B22-J$7),6),"")</f>
        <v/>
      </c>
      <c r="K22" s="9">
        <f>IF(AND(ISNUMBER($B22),ISNUMBER(K$7)),ROUND(ABS($B22-K$7),6),"")</f>
        <v/>
      </c>
      <c r="L22" s="9">
        <f>IF(AND(ISNUMBER($B22),ISNUMBER(L$7)),ROUND(ABS($B22-L$7),6),"")</f>
        <v/>
      </c>
      <c r="M22" s="9">
        <f>IF(AND(ISNUMBER($B22),ISNUMBER(M$7)),ROUND(ABS($B22-M$7),6),"")</f>
        <v/>
      </c>
      <c r="N22" s="9">
        <f>IF(AND(ISNUMBER($B22),ISNUMBER(N$7)),ROUND(ABS($B22-N$7),6),"")</f>
        <v/>
      </c>
      <c r="O22" s="9">
        <f>IF(AND(ISNUMBER($B22),ISNUMBER(O$7)),ROUND(ABS($B22-O$7),6),"")</f>
        <v/>
      </c>
      <c r="P22" s="9">
        <f>IF(AND(ISNUMBER($B22),ISNUMBER(P$7)),ROUND(ABS($B22-P$7),6),"")</f>
        <v/>
      </c>
      <c r="Q22" s="9">
        <f>IF(AND(ISNUMBER($B22),ISNUMBER(Q$7)),ROUND(ABS($B22-Q$7),6),"")</f>
        <v/>
      </c>
      <c r="R22" s="9">
        <f>IF(AND(ISNUMBER($B22),ISNUMBER(R$7)),ROUND(ABS($B22-R$7),6),"")</f>
        <v/>
      </c>
      <c r="S22" s="9">
        <f>IF(AND(ISNUMBER($B22),ISNUMBER(S$7)),ROUND(ABS($B22-S$7),6),"")</f>
        <v/>
      </c>
    </row>
    <row r="23">
      <c r="A23" s="6" t="inlineStr">
        <is>
          <t>PR-2115</t>
        </is>
      </c>
      <c r="B23" s="6" t="n">
        <v>24</v>
      </c>
      <c r="C23" s="4">
        <f>IF($B23="","",IF(ISNUMBER($B23),IF(COUNT($H23:$S23)=0,"No sizes",INDEX($H$7:$S$7,MATCH(MIN($H23:$S23),$H23:$S23,0))),"Check length"))</f>
        <v/>
      </c>
      <c r="D23" s="4">
        <f>IF(ISNUMBER(C23),MIN($H23:$S23),"")</f>
        <v/>
      </c>
      <c r="E23" s="4">
        <f>IF(ISNUMBER(C23),IF(COUNTIF($H$7:$S$7,"&gt;="&amp;B23)=0,"None",SMALL($H$7:$S$7,COUNTIF($H$7:$S$7,"&lt;"&amp;B23)+1)),"")</f>
        <v/>
      </c>
      <c r="F23" s="4">
        <f>IF(ISNUMBER(C23),IF(COUNTIF($H23:$S23,D23)&gt;1,"Tie, first listed used",""),"")</f>
        <v/>
      </c>
      <c r="H23" s="9">
        <f>IF(AND(ISNUMBER($B23),ISNUMBER(H$7)),ROUND(ABS($B23-H$7),6),"")</f>
        <v/>
      </c>
      <c r="I23" s="9">
        <f>IF(AND(ISNUMBER($B23),ISNUMBER(I$7)),ROUND(ABS($B23-I$7),6),"")</f>
        <v/>
      </c>
      <c r="J23" s="9">
        <f>IF(AND(ISNUMBER($B23),ISNUMBER(J$7)),ROUND(ABS($B23-J$7),6),"")</f>
        <v/>
      </c>
      <c r="K23" s="9">
        <f>IF(AND(ISNUMBER($B23),ISNUMBER(K$7)),ROUND(ABS($B23-K$7),6),"")</f>
        <v/>
      </c>
      <c r="L23" s="9">
        <f>IF(AND(ISNUMBER($B23),ISNUMBER(L$7)),ROUND(ABS($B23-L$7),6),"")</f>
        <v/>
      </c>
      <c r="M23" s="9">
        <f>IF(AND(ISNUMBER($B23),ISNUMBER(M$7)),ROUND(ABS($B23-M$7),6),"")</f>
        <v/>
      </c>
      <c r="N23" s="9">
        <f>IF(AND(ISNUMBER($B23),ISNUMBER(N$7)),ROUND(ABS($B23-N$7),6),"")</f>
        <v/>
      </c>
      <c r="O23" s="9">
        <f>IF(AND(ISNUMBER($B23),ISNUMBER(O$7)),ROUND(ABS($B23-O$7),6),"")</f>
        <v/>
      </c>
      <c r="P23" s="9">
        <f>IF(AND(ISNUMBER($B23),ISNUMBER(P$7)),ROUND(ABS($B23-P$7),6),"")</f>
        <v/>
      </c>
      <c r="Q23" s="9">
        <f>IF(AND(ISNUMBER($B23),ISNUMBER(Q$7)),ROUND(ABS($B23-Q$7),6),"")</f>
        <v/>
      </c>
      <c r="R23" s="9">
        <f>IF(AND(ISNUMBER($B23),ISNUMBER(R$7)),ROUND(ABS($B23-R$7),6),"")</f>
        <v/>
      </c>
      <c r="S23" s="9">
        <f>IF(AND(ISNUMBER($B23),ISNUMBER(S$7)),ROUND(ABS($B23-S$7),6),"")</f>
        <v/>
      </c>
    </row>
    <row r="24">
      <c r="A24" s="6" t="n"/>
      <c r="B24" s="6" t="n"/>
      <c r="C24" s="4">
        <f>IF($B24="","",IF(ISNUMBER($B24),IF(COUNT($H24:$S24)=0,"No sizes",INDEX($H$7:$S$7,MATCH(MIN($H24:$S24),$H24:$S24,0))),"Check length"))</f>
        <v/>
      </c>
      <c r="D24" s="4">
        <f>IF(ISNUMBER(C24),MIN($H24:$S24),"")</f>
        <v/>
      </c>
      <c r="E24" s="4">
        <f>IF(ISNUMBER(C24),IF(COUNTIF($H$7:$S$7,"&gt;="&amp;B24)=0,"None",SMALL($H$7:$S$7,COUNTIF($H$7:$S$7,"&lt;"&amp;B24)+1)),"")</f>
        <v/>
      </c>
      <c r="F24" s="4">
        <f>IF(ISNUMBER(C24),IF(COUNTIF($H24:$S24,D24)&gt;1,"Tie, first listed used",""),"")</f>
        <v/>
      </c>
      <c r="H24" s="9">
        <f>IF(AND(ISNUMBER($B24),ISNUMBER(H$7)),ROUND(ABS($B24-H$7),6),"")</f>
        <v/>
      </c>
      <c r="I24" s="9">
        <f>IF(AND(ISNUMBER($B24),ISNUMBER(I$7)),ROUND(ABS($B24-I$7),6),"")</f>
        <v/>
      </c>
      <c r="J24" s="9">
        <f>IF(AND(ISNUMBER($B24),ISNUMBER(J$7)),ROUND(ABS($B24-J$7),6),"")</f>
        <v/>
      </c>
      <c r="K24" s="9">
        <f>IF(AND(ISNUMBER($B24),ISNUMBER(K$7)),ROUND(ABS($B24-K$7),6),"")</f>
        <v/>
      </c>
      <c r="L24" s="9">
        <f>IF(AND(ISNUMBER($B24),ISNUMBER(L$7)),ROUND(ABS($B24-L$7),6),"")</f>
        <v/>
      </c>
      <c r="M24" s="9">
        <f>IF(AND(ISNUMBER($B24),ISNUMBER(M$7)),ROUND(ABS($B24-M$7),6),"")</f>
        <v/>
      </c>
      <c r="N24" s="9">
        <f>IF(AND(ISNUMBER($B24),ISNUMBER(N$7)),ROUND(ABS($B24-N$7),6),"")</f>
        <v/>
      </c>
      <c r="O24" s="9">
        <f>IF(AND(ISNUMBER($B24),ISNUMBER(O$7)),ROUND(ABS($B24-O$7),6),"")</f>
        <v/>
      </c>
      <c r="P24" s="9">
        <f>IF(AND(ISNUMBER($B24),ISNUMBER(P$7)),ROUND(ABS($B24-P$7),6),"")</f>
        <v/>
      </c>
      <c r="Q24" s="9">
        <f>IF(AND(ISNUMBER($B24),ISNUMBER(Q$7)),ROUND(ABS($B24-Q$7),6),"")</f>
        <v/>
      </c>
      <c r="R24" s="9">
        <f>IF(AND(ISNUMBER($B24),ISNUMBER(R$7)),ROUND(ABS($B24-R$7),6),"")</f>
        <v/>
      </c>
      <c r="S24" s="9">
        <f>IF(AND(ISNUMBER($B24),ISNUMBER(S$7)),ROUND(ABS($B24-S$7),6),"")</f>
        <v/>
      </c>
    </row>
    <row r="25">
      <c r="A25" s="6" t="n"/>
      <c r="B25" s="6" t="n"/>
      <c r="C25" s="4">
        <f>IF($B25="","",IF(ISNUMBER($B25),IF(COUNT($H25:$S25)=0,"No sizes",INDEX($H$7:$S$7,MATCH(MIN($H25:$S25),$H25:$S25,0))),"Check length"))</f>
        <v/>
      </c>
      <c r="D25" s="4">
        <f>IF(ISNUMBER(C25),MIN($H25:$S25),"")</f>
        <v/>
      </c>
      <c r="E25" s="4">
        <f>IF(ISNUMBER(C25),IF(COUNTIF($H$7:$S$7,"&gt;="&amp;B25)=0,"None",SMALL($H$7:$S$7,COUNTIF($H$7:$S$7,"&lt;"&amp;B25)+1)),"")</f>
        <v/>
      </c>
      <c r="F25" s="4">
        <f>IF(ISNUMBER(C25),IF(COUNTIF($H25:$S25,D25)&gt;1,"Tie, first listed used",""),"")</f>
        <v/>
      </c>
      <c r="H25" s="9">
        <f>IF(AND(ISNUMBER($B25),ISNUMBER(H$7)),ROUND(ABS($B25-H$7),6),"")</f>
        <v/>
      </c>
      <c r="I25" s="9">
        <f>IF(AND(ISNUMBER($B25),ISNUMBER(I$7)),ROUND(ABS($B25-I$7),6),"")</f>
        <v/>
      </c>
      <c r="J25" s="9">
        <f>IF(AND(ISNUMBER($B25),ISNUMBER(J$7)),ROUND(ABS($B25-J$7),6),"")</f>
        <v/>
      </c>
      <c r="K25" s="9">
        <f>IF(AND(ISNUMBER($B25),ISNUMBER(K$7)),ROUND(ABS($B25-K$7),6),"")</f>
        <v/>
      </c>
      <c r="L25" s="9">
        <f>IF(AND(ISNUMBER($B25),ISNUMBER(L$7)),ROUND(ABS($B25-L$7),6),"")</f>
        <v/>
      </c>
      <c r="M25" s="9">
        <f>IF(AND(ISNUMBER($B25),ISNUMBER(M$7)),ROUND(ABS($B25-M$7),6),"")</f>
        <v/>
      </c>
      <c r="N25" s="9">
        <f>IF(AND(ISNUMBER($B25),ISNUMBER(N$7)),ROUND(ABS($B25-N$7),6),"")</f>
        <v/>
      </c>
      <c r="O25" s="9">
        <f>IF(AND(ISNUMBER($B25),ISNUMBER(O$7)),ROUND(ABS($B25-O$7),6),"")</f>
        <v/>
      </c>
      <c r="P25" s="9">
        <f>IF(AND(ISNUMBER($B25),ISNUMBER(P$7)),ROUND(ABS($B25-P$7),6),"")</f>
        <v/>
      </c>
      <c r="Q25" s="9">
        <f>IF(AND(ISNUMBER($B25),ISNUMBER(Q$7)),ROUND(ABS($B25-Q$7),6),"")</f>
        <v/>
      </c>
      <c r="R25" s="9">
        <f>IF(AND(ISNUMBER($B25),ISNUMBER(R$7)),ROUND(ABS($B25-R$7),6),"")</f>
        <v/>
      </c>
      <c r="S25" s="9">
        <f>IF(AND(ISNUMBER($B25),ISNUMBER(S$7)),ROUND(ABS($B25-S$7),6),"")</f>
        <v/>
      </c>
    </row>
    <row r="26">
      <c r="A26" s="6" t="n"/>
      <c r="B26" s="6" t="n"/>
      <c r="C26" s="4">
        <f>IF($B26="","",IF(ISNUMBER($B26),IF(COUNT($H26:$S26)=0,"No sizes",INDEX($H$7:$S$7,MATCH(MIN($H26:$S26),$H26:$S26,0))),"Check length"))</f>
        <v/>
      </c>
      <c r="D26" s="4">
        <f>IF(ISNUMBER(C26),MIN($H26:$S26),"")</f>
        <v/>
      </c>
      <c r="E26" s="4">
        <f>IF(ISNUMBER(C26),IF(COUNTIF($H$7:$S$7,"&gt;="&amp;B26)=0,"None",SMALL($H$7:$S$7,COUNTIF($H$7:$S$7,"&lt;"&amp;B26)+1)),"")</f>
        <v/>
      </c>
      <c r="F26" s="4">
        <f>IF(ISNUMBER(C26),IF(COUNTIF($H26:$S26,D26)&gt;1,"Tie, first listed used",""),"")</f>
        <v/>
      </c>
      <c r="H26" s="9">
        <f>IF(AND(ISNUMBER($B26),ISNUMBER(H$7)),ROUND(ABS($B26-H$7),6),"")</f>
        <v/>
      </c>
      <c r="I26" s="9">
        <f>IF(AND(ISNUMBER($B26),ISNUMBER(I$7)),ROUND(ABS($B26-I$7),6),"")</f>
        <v/>
      </c>
      <c r="J26" s="9">
        <f>IF(AND(ISNUMBER($B26),ISNUMBER(J$7)),ROUND(ABS($B26-J$7),6),"")</f>
        <v/>
      </c>
      <c r="K26" s="9">
        <f>IF(AND(ISNUMBER($B26),ISNUMBER(K$7)),ROUND(ABS($B26-K$7),6),"")</f>
        <v/>
      </c>
      <c r="L26" s="9">
        <f>IF(AND(ISNUMBER($B26),ISNUMBER(L$7)),ROUND(ABS($B26-L$7),6),"")</f>
        <v/>
      </c>
      <c r="M26" s="9">
        <f>IF(AND(ISNUMBER($B26),ISNUMBER(M$7)),ROUND(ABS($B26-M$7),6),"")</f>
        <v/>
      </c>
      <c r="N26" s="9">
        <f>IF(AND(ISNUMBER($B26),ISNUMBER(N$7)),ROUND(ABS($B26-N$7),6),"")</f>
        <v/>
      </c>
      <c r="O26" s="9">
        <f>IF(AND(ISNUMBER($B26),ISNUMBER(O$7)),ROUND(ABS($B26-O$7),6),"")</f>
        <v/>
      </c>
      <c r="P26" s="9">
        <f>IF(AND(ISNUMBER($B26),ISNUMBER(P$7)),ROUND(ABS($B26-P$7),6),"")</f>
        <v/>
      </c>
      <c r="Q26" s="9">
        <f>IF(AND(ISNUMBER($B26),ISNUMBER(Q$7)),ROUND(ABS($B26-Q$7),6),"")</f>
        <v/>
      </c>
      <c r="R26" s="9">
        <f>IF(AND(ISNUMBER($B26),ISNUMBER(R$7)),ROUND(ABS($B26-R$7),6),"")</f>
        <v/>
      </c>
      <c r="S26" s="9">
        <f>IF(AND(ISNUMBER($B26),ISNUMBER(S$7)),ROUND(ABS($B26-S$7),6),"")</f>
        <v/>
      </c>
    </row>
    <row r="27">
      <c r="A27" s="6" t="n"/>
      <c r="B27" s="6" t="n"/>
      <c r="C27" s="4">
        <f>IF($B27="","",IF(ISNUMBER($B27),IF(COUNT($H27:$S27)=0,"No sizes",INDEX($H$7:$S$7,MATCH(MIN($H27:$S27),$H27:$S27,0))),"Check length"))</f>
        <v/>
      </c>
      <c r="D27" s="4">
        <f>IF(ISNUMBER(C27),MIN($H27:$S27),"")</f>
        <v/>
      </c>
      <c r="E27" s="4">
        <f>IF(ISNUMBER(C27),IF(COUNTIF($H$7:$S$7,"&gt;="&amp;B27)=0,"None",SMALL($H$7:$S$7,COUNTIF($H$7:$S$7,"&lt;"&amp;B27)+1)),"")</f>
        <v/>
      </c>
      <c r="F27" s="4">
        <f>IF(ISNUMBER(C27),IF(COUNTIF($H27:$S27,D27)&gt;1,"Tie, first listed used",""),"")</f>
        <v/>
      </c>
      <c r="H27" s="9">
        <f>IF(AND(ISNUMBER($B27),ISNUMBER(H$7)),ROUND(ABS($B27-H$7),6),"")</f>
        <v/>
      </c>
      <c r="I27" s="9">
        <f>IF(AND(ISNUMBER($B27),ISNUMBER(I$7)),ROUND(ABS($B27-I$7),6),"")</f>
        <v/>
      </c>
      <c r="J27" s="9">
        <f>IF(AND(ISNUMBER($B27),ISNUMBER(J$7)),ROUND(ABS($B27-J$7),6),"")</f>
        <v/>
      </c>
      <c r="K27" s="9">
        <f>IF(AND(ISNUMBER($B27),ISNUMBER(K$7)),ROUND(ABS($B27-K$7),6),"")</f>
        <v/>
      </c>
      <c r="L27" s="9">
        <f>IF(AND(ISNUMBER($B27),ISNUMBER(L$7)),ROUND(ABS($B27-L$7),6),"")</f>
        <v/>
      </c>
      <c r="M27" s="9">
        <f>IF(AND(ISNUMBER($B27),ISNUMBER(M$7)),ROUND(ABS($B27-M$7),6),"")</f>
        <v/>
      </c>
      <c r="N27" s="9">
        <f>IF(AND(ISNUMBER($B27),ISNUMBER(N$7)),ROUND(ABS($B27-N$7),6),"")</f>
        <v/>
      </c>
      <c r="O27" s="9">
        <f>IF(AND(ISNUMBER($B27),ISNUMBER(O$7)),ROUND(ABS($B27-O$7),6),"")</f>
        <v/>
      </c>
      <c r="P27" s="9">
        <f>IF(AND(ISNUMBER($B27),ISNUMBER(P$7)),ROUND(ABS($B27-P$7),6),"")</f>
        <v/>
      </c>
      <c r="Q27" s="9">
        <f>IF(AND(ISNUMBER($B27),ISNUMBER(Q$7)),ROUND(ABS($B27-Q$7),6),"")</f>
        <v/>
      </c>
      <c r="R27" s="9">
        <f>IF(AND(ISNUMBER($B27),ISNUMBER(R$7)),ROUND(ABS($B27-R$7),6),"")</f>
        <v/>
      </c>
      <c r="S27" s="9">
        <f>IF(AND(ISNUMBER($B27),ISNUMBER(S$7)),ROUND(ABS($B27-S$7),6),"")</f>
        <v/>
      </c>
    </row>
    <row r="28">
      <c r="A28" s="6" t="n"/>
      <c r="B28" s="6" t="n"/>
      <c r="C28" s="4">
        <f>IF($B28="","",IF(ISNUMBER($B28),IF(COUNT($H28:$S28)=0,"No sizes",INDEX($H$7:$S$7,MATCH(MIN($H28:$S28),$H28:$S28,0))),"Check length"))</f>
        <v/>
      </c>
      <c r="D28" s="4">
        <f>IF(ISNUMBER(C28),MIN($H28:$S28),"")</f>
        <v/>
      </c>
      <c r="E28" s="4">
        <f>IF(ISNUMBER(C28),IF(COUNTIF($H$7:$S$7,"&gt;="&amp;B28)=0,"None",SMALL($H$7:$S$7,COUNTIF($H$7:$S$7,"&lt;"&amp;B28)+1)),"")</f>
        <v/>
      </c>
      <c r="F28" s="4">
        <f>IF(ISNUMBER(C28),IF(COUNTIF($H28:$S28,D28)&gt;1,"Tie, first listed used",""),"")</f>
        <v/>
      </c>
      <c r="H28" s="9">
        <f>IF(AND(ISNUMBER($B28),ISNUMBER(H$7)),ROUND(ABS($B28-H$7),6),"")</f>
        <v/>
      </c>
      <c r="I28" s="9">
        <f>IF(AND(ISNUMBER($B28),ISNUMBER(I$7)),ROUND(ABS($B28-I$7),6),"")</f>
        <v/>
      </c>
      <c r="J28" s="9">
        <f>IF(AND(ISNUMBER($B28),ISNUMBER(J$7)),ROUND(ABS($B28-J$7),6),"")</f>
        <v/>
      </c>
      <c r="K28" s="9">
        <f>IF(AND(ISNUMBER($B28),ISNUMBER(K$7)),ROUND(ABS($B28-K$7),6),"")</f>
        <v/>
      </c>
      <c r="L28" s="9">
        <f>IF(AND(ISNUMBER($B28),ISNUMBER(L$7)),ROUND(ABS($B28-L$7),6),"")</f>
        <v/>
      </c>
      <c r="M28" s="9">
        <f>IF(AND(ISNUMBER($B28),ISNUMBER(M$7)),ROUND(ABS($B28-M$7),6),"")</f>
        <v/>
      </c>
      <c r="N28" s="9">
        <f>IF(AND(ISNUMBER($B28),ISNUMBER(N$7)),ROUND(ABS($B28-N$7),6),"")</f>
        <v/>
      </c>
      <c r="O28" s="9">
        <f>IF(AND(ISNUMBER($B28),ISNUMBER(O$7)),ROUND(ABS($B28-O$7),6),"")</f>
        <v/>
      </c>
      <c r="P28" s="9">
        <f>IF(AND(ISNUMBER($B28),ISNUMBER(P$7)),ROUND(ABS($B28-P$7),6),"")</f>
        <v/>
      </c>
      <c r="Q28" s="9">
        <f>IF(AND(ISNUMBER($B28),ISNUMBER(Q$7)),ROUND(ABS($B28-Q$7),6),"")</f>
        <v/>
      </c>
      <c r="R28" s="9">
        <f>IF(AND(ISNUMBER($B28),ISNUMBER(R$7)),ROUND(ABS($B28-R$7),6),"")</f>
        <v/>
      </c>
      <c r="S28" s="9">
        <f>IF(AND(ISNUMBER($B28),ISNUMBER(S$7)),ROUND(ABS($B28-S$7),6),"")</f>
        <v/>
      </c>
    </row>
    <row r="29">
      <c r="A29" s="6" t="n"/>
      <c r="B29" s="6" t="n"/>
      <c r="C29" s="4">
        <f>IF($B29="","",IF(ISNUMBER($B29),IF(COUNT($H29:$S29)=0,"No sizes",INDEX($H$7:$S$7,MATCH(MIN($H29:$S29),$H29:$S29,0))),"Check length"))</f>
        <v/>
      </c>
      <c r="D29" s="4">
        <f>IF(ISNUMBER(C29),MIN($H29:$S29),"")</f>
        <v/>
      </c>
      <c r="E29" s="4">
        <f>IF(ISNUMBER(C29),IF(COUNTIF($H$7:$S$7,"&gt;="&amp;B29)=0,"None",SMALL($H$7:$S$7,COUNTIF($H$7:$S$7,"&lt;"&amp;B29)+1)),"")</f>
        <v/>
      </c>
      <c r="F29" s="4">
        <f>IF(ISNUMBER(C29),IF(COUNTIF($H29:$S29,D29)&gt;1,"Tie, first listed used",""),"")</f>
        <v/>
      </c>
      <c r="H29" s="9">
        <f>IF(AND(ISNUMBER($B29),ISNUMBER(H$7)),ROUND(ABS($B29-H$7),6),"")</f>
        <v/>
      </c>
      <c r="I29" s="9">
        <f>IF(AND(ISNUMBER($B29),ISNUMBER(I$7)),ROUND(ABS($B29-I$7),6),"")</f>
        <v/>
      </c>
      <c r="J29" s="9">
        <f>IF(AND(ISNUMBER($B29),ISNUMBER(J$7)),ROUND(ABS($B29-J$7),6),"")</f>
        <v/>
      </c>
      <c r="K29" s="9">
        <f>IF(AND(ISNUMBER($B29),ISNUMBER(K$7)),ROUND(ABS($B29-K$7),6),"")</f>
        <v/>
      </c>
      <c r="L29" s="9">
        <f>IF(AND(ISNUMBER($B29),ISNUMBER(L$7)),ROUND(ABS($B29-L$7),6),"")</f>
        <v/>
      </c>
      <c r="M29" s="9">
        <f>IF(AND(ISNUMBER($B29),ISNUMBER(M$7)),ROUND(ABS($B29-M$7),6),"")</f>
        <v/>
      </c>
      <c r="N29" s="9">
        <f>IF(AND(ISNUMBER($B29),ISNUMBER(N$7)),ROUND(ABS($B29-N$7),6),"")</f>
        <v/>
      </c>
      <c r="O29" s="9">
        <f>IF(AND(ISNUMBER($B29),ISNUMBER(O$7)),ROUND(ABS($B29-O$7),6),"")</f>
        <v/>
      </c>
      <c r="P29" s="9">
        <f>IF(AND(ISNUMBER($B29),ISNUMBER(P$7)),ROUND(ABS($B29-P$7),6),"")</f>
        <v/>
      </c>
      <c r="Q29" s="9">
        <f>IF(AND(ISNUMBER($B29),ISNUMBER(Q$7)),ROUND(ABS($B29-Q$7),6),"")</f>
        <v/>
      </c>
      <c r="R29" s="9">
        <f>IF(AND(ISNUMBER($B29),ISNUMBER(R$7)),ROUND(ABS($B29-R$7),6),"")</f>
        <v/>
      </c>
      <c r="S29" s="9">
        <f>IF(AND(ISNUMBER($B29),ISNUMBER(S$7)),ROUND(ABS($B29-S$7),6),"")</f>
        <v/>
      </c>
    </row>
    <row r="30">
      <c r="A30" s="6" t="n"/>
      <c r="B30" s="6" t="n"/>
      <c r="C30" s="4">
        <f>IF($B30="","",IF(ISNUMBER($B30),IF(COUNT($H30:$S30)=0,"No sizes",INDEX($H$7:$S$7,MATCH(MIN($H30:$S30),$H30:$S30,0))),"Check length"))</f>
        <v/>
      </c>
      <c r="D30" s="4">
        <f>IF(ISNUMBER(C30),MIN($H30:$S30),"")</f>
        <v/>
      </c>
      <c r="E30" s="4">
        <f>IF(ISNUMBER(C30),IF(COUNTIF($H$7:$S$7,"&gt;="&amp;B30)=0,"None",SMALL($H$7:$S$7,COUNTIF($H$7:$S$7,"&lt;"&amp;B30)+1)),"")</f>
        <v/>
      </c>
      <c r="F30" s="4">
        <f>IF(ISNUMBER(C30),IF(COUNTIF($H30:$S30,D30)&gt;1,"Tie, first listed used",""),"")</f>
        <v/>
      </c>
      <c r="H30" s="9">
        <f>IF(AND(ISNUMBER($B30),ISNUMBER(H$7)),ROUND(ABS($B30-H$7),6),"")</f>
        <v/>
      </c>
      <c r="I30" s="9">
        <f>IF(AND(ISNUMBER($B30),ISNUMBER(I$7)),ROUND(ABS($B30-I$7),6),"")</f>
        <v/>
      </c>
      <c r="J30" s="9">
        <f>IF(AND(ISNUMBER($B30),ISNUMBER(J$7)),ROUND(ABS($B30-J$7),6),"")</f>
        <v/>
      </c>
      <c r="K30" s="9">
        <f>IF(AND(ISNUMBER($B30),ISNUMBER(K$7)),ROUND(ABS($B30-K$7),6),"")</f>
        <v/>
      </c>
      <c r="L30" s="9">
        <f>IF(AND(ISNUMBER($B30),ISNUMBER(L$7)),ROUND(ABS($B30-L$7),6),"")</f>
        <v/>
      </c>
      <c r="M30" s="9">
        <f>IF(AND(ISNUMBER($B30),ISNUMBER(M$7)),ROUND(ABS($B30-M$7),6),"")</f>
        <v/>
      </c>
      <c r="N30" s="9">
        <f>IF(AND(ISNUMBER($B30),ISNUMBER(N$7)),ROUND(ABS($B30-N$7),6),"")</f>
        <v/>
      </c>
      <c r="O30" s="9">
        <f>IF(AND(ISNUMBER($B30),ISNUMBER(O$7)),ROUND(ABS($B30-O$7),6),"")</f>
        <v/>
      </c>
      <c r="P30" s="9">
        <f>IF(AND(ISNUMBER($B30),ISNUMBER(P$7)),ROUND(ABS($B30-P$7),6),"")</f>
        <v/>
      </c>
      <c r="Q30" s="9">
        <f>IF(AND(ISNUMBER($B30),ISNUMBER(Q$7)),ROUND(ABS($B30-Q$7),6),"")</f>
        <v/>
      </c>
      <c r="R30" s="9">
        <f>IF(AND(ISNUMBER($B30),ISNUMBER(R$7)),ROUND(ABS($B30-R$7),6),"")</f>
        <v/>
      </c>
      <c r="S30" s="9">
        <f>IF(AND(ISNUMBER($B30),ISNUMBER(S$7)),ROUND(ABS($B30-S$7),6),"")</f>
        <v/>
      </c>
    </row>
    <row r="31">
      <c r="A31" s="6" t="n"/>
      <c r="B31" s="6" t="n"/>
      <c r="C31" s="4">
        <f>IF($B31="","",IF(ISNUMBER($B31),IF(COUNT($H31:$S31)=0,"No sizes",INDEX($H$7:$S$7,MATCH(MIN($H31:$S31),$H31:$S31,0))),"Check length"))</f>
        <v/>
      </c>
      <c r="D31" s="4">
        <f>IF(ISNUMBER(C31),MIN($H31:$S31),"")</f>
        <v/>
      </c>
      <c r="E31" s="4">
        <f>IF(ISNUMBER(C31),IF(COUNTIF($H$7:$S$7,"&gt;="&amp;B31)=0,"None",SMALL($H$7:$S$7,COUNTIF($H$7:$S$7,"&lt;"&amp;B31)+1)),"")</f>
        <v/>
      </c>
      <c r="F31" s="4">
        <f>IF(ISNUMBER(C31),IF(COUNTIF($H31:$S31,D31)&gt;1,"Tie, first listed used",""),"")</f>
        <v/>
      </c>
      <c r="H31" s="9">
        <f>IF(AND(ISNUMBER($B31),ISNUMBER(H$7)),ROUND(ABS($B31-H$7),6),"")</f>
        <v/>
      </c>
      <c r="I31" s="9">
        <f>IF(AND(ISNUMBER($B31),ISNUMBER(I$7)),ROUND(ABS($B31-I$7),6),"")</f>
        <v/>
      </c>
      <c r="J31" s="9">
        <f>IF(AND(ISNUMBER($B31),ISNUMBER(J$7)),ROUND(ABS($B31-J$7),6),"")</f>
        <v/>
      </c>
      <c r="K31" s="9">
        <f>IF(AND(ISNUMBER($B31),ISNUMBER(K$7)),ROUND(ABS($B31-K$7),6),"")</f>
        <v/>
      </c>
      <c r="L31" s="9">
        <f>IF(AND(ISNUMBER($B31),ISNUMBER(L$7)),ROUND(ABS($B31-L$7),6),"")</f>
        <v/>
      </c>
      <c r="M31" s="9">
        <f>IF(AND(ISNUMBER($B31),ISNUMBER(M$7)),ROUND(ABS($B31-M$7),6),"")</f>
        <v/>
      </c>
      <c r="N31" s="9">
        <f>IF(AND(ISNUMBER($B31),ISNUMBER(N$7)),ROUND(ABS($B31-N$7),6),"")</f>
        <v/>
      </c>
      <c r="O31" s="9">
        <f>IF(AND(ISNUMBER($B31),ISNUMBER(O$7)),ROUND(ABS($B31-O$7),6),"")</f>
        <v/>
      </c>
      <c r="P31" s="9">
        <f>IF(AND(ISNUMBER($B31),ISNUMBER(P$7)),ROUND(ABS($B31-P$7),6),"")</f>
        <v/>
      </c>
      <c r="Q31" s="9">
        <f>IF(AND(ISNUMBER($B31),ISNUMBER(Q$7)),ROUND(ABS($B31-Q$7),6),"")</f>
        <v/>
      </c>
      <c r="R31" s="9">
        <f>IF(AND(ISNUMBER($B31),ISNUMBER(R$7)),ROUND(ABS($B31-R$7),6),"")</f>
        <v/>
      </c>
      <c r="S31" s="9">
        <f>IF(AND(ISNUMBER($B31),ISNUMBER(S$7)),ROUND(ABS($B31-S$7),6),"")</f>
        <v/>
      </c>
    </row>
    <row r="32">
      <c r="A32" s="6" t="n"/>
      <c r="B32" s="6" t="n"/>
      <c r="C32" s="4">
        <f>IF($B32="","",IF(ISNUMBER($B32),IF(COUNT($H32:$S32)=0,"No sizes",INDEX($H$7:$S$7,MATCH(MIN($H32:$S32),$H32:$S32,0))),"Check length"))</f>
        <v/>
      </c>
      <c r="D32" s="4">
        <f>IF(ISNUMBER(C32),MIN($H32:$S32),"")</f>
        <v/>
      </c>
      <c r="E32" s="4">
        <f>IF(ISNUMBER(C32),IF(COUNTIF($H$7:$S$7,"&gt;="&amp;B32)=0,"None",SMALL($H$7:$S$7,COUNTIF($H$7:$S$7,"&lt;"&amp;B32)+1)),"")</f>
        <v/>
      </c>
      <c r="F32" s="4">
        <f>IF(ISNUMBER(C32),IF(COUNTIF($H32:$S32,D32)&gt;1,"Tie, first listed used",""),"")</f>
        <v/>
      </c>
      <c r="H32" s="9">
        <f>IF(AND(ISNUMBER($B32),ISNUMBER(H$7)),ROUND(ABS($B32-H$7),6),"")</f>
        <v/>
      </c>
      <c r="I32" s="9">
        <f>IF(AND(ISNUMBER($B32),ISNUMBER(I$7)),ROUND(ABS($B32-I$7),6),"")</f>
        <v/>
      </c>
      <c r="J32" s="9">
        <f>IF(AND(ISNUMBER($B32),ISNUMBER(J$7)),ROUND(ABS($B32-J$7),6),"")</f>
        <v/>
      </c>
      <c r="K32" s="9">
        <f>IF(AND(ISNUMBER($B32),ISNUMBER(K$7)),ROUND(ABS($B32-K$7),6),"")</f>
        <v/>
      </c>
      <c r="L32" s="9">
        <f>IF(AND(ISNUMBER($B32),ISNUMBER(L$7)),ROUND(ABS($B32-L$7),6),"")</f>
        <v/>
      </c>
      <c r="M32" s="9">
        <f>IF(AND(ISNUMBER($B32),ISNUMBER(M$7)),ROUND(ABS($B32-M$7),6),"")</f>
        <v/>
      </c>
      <c r="N32" s="9">
        <f>IF(AND(ISNUMBER($B32),ISNUMBER(N$7)),ROUND(ABS($B32-N$7),6),"")</f>
        <v/>
      </c>
      <c r="O32" s="9">
        <f>IF(AND(ISNUMBER($B32),ISNUMBER(O$7)),ROUND(ABS($B32-O$7),6),"")</f>
        <v/>
      </c>
      <c r="P32" s="9">
        <f>IF(AND(ISNUMBER($B32),ISNUMBER(P$7)),ROUND(ABS($B32-P$7),6),"")</f>
        <v/>
      </c>
      <c r="Q32" s="9">
        <f>IF(AND(ISNUMBER($B32),ISNUMBER(Q$7)),ROUND(ABS($B32-Q$7),6),"")</f>
        <v/>
      </c>
      <c r="R32" s="9">
        <f>IF(AND(ISNUMBER($B32),ISNUMBER(R$7)),ROUND(ABS($B32-R$7),6),"")</f>
        <v/>
      </c>
      <c r="S32" s="9">
        <f>IF(AND(ISNUMBER($B32),ISNUMBER(S$7)),ROUND(ABS($B32-S$7),6),"")</f>
        <v/>
      </c>
    </row>
    <row r="33">
      <c r="A33" s="6" t="n"/>
      <c r="B33" s="6" t="n"/>
      <c r="C33" s="4">
        <f>IF($B33="","",IF(ISNUMBER($B33),IF(COUNT($H33:$S33)=0,"No sizes",INDEX($H$7:$S$7,MATCH(MIN($H33:$S33),$H33:$S33,0))),"Check length"))</f>
        <v/>
      </c>
      <c r="D33" s="4">
        <f>IF(ISNUMBER(C33),MIN($H33:$S33),"")</f>
        <v/>
      </c>
      <c r="E33" s="4">
        <f>IF(ISNUMBER(C33),IF(COUNTIF($H$7:$S$7,"&gt;="&amp;B33)=0,"None",SMALL($H$7:$S$7,COUNTIF($H$7:$S$7,"&lt;"&amp;B33)+1)),"")</f>
        <v/>
      </c>
      <c r="F33" s="4">
        <f>IF(ISNUMBER(C33),IF(COUNTIF($H33:$S33,D33)&gt;1,"Tie, first listed used",""),"")</f>
        <v/>
      </c>
      <c r="H33" s="9">
        <f>IF(AND(ISNUMBER($B33),ISNUMBER(H$7)),ROUND(ABS($B33-H$7),6),"")</f>
        <v/>
      </c>
      <c r="I33" s="9">
        <f>IF(AND(ISNUMBER($B33),ISNUMBER(I$7)),ROUND(ABS($B33-I$7),6),"")</f>
        <v/>
      </c>
      <c r="J33" s="9">
        <f>IF(AND(ISNUMBER($B33),ISNUMBER(J$7)),ROUND(ABS($B33-J$7),6),"")</f>
        <v/>
      </c>
      <c r="K33" s="9">
        <f>IF(AND(ISNUMBER($B33),ISNUMBER(K$7)),ROUND(ABS($B33-K$7),6),"")</f>
        <v/>
      </c>
      <c r="L33" s="9">
        <f>IF(AND(ISNUMBER($B33),ISNUMBER(L$7)),ROUND(ABS($B33-L$7),6),"")</f>
        <v/>
      </c>
      <c r="M33" s="9">
        <f>IF(AND(ISNUMBER($B33),ISNUMBER(M$7)),ROUND(ABS($B33-M$7),6),"")</f>
        <v/>
      </c>
      <c r="N33" s="9">
        <f>IF(AND(ISNUMBER($B33),ISNUMBER(N$7)),ROUND(ABS($B33-N$7),6),"")</f>
        <v/>
      </c>
      <c r="O33" s="9">
        <f>IF(AND(ISNUMBER($B33),ISNUMBER(O$7)),ROUND(ABS($B33-O$7),6),"")</f>
        <v/>
      </c>
      <c r="P33" s="9">
        <f>IF(AND(ISNUMBER($B33),ISNUMBER(P$7)),ROUND(ABS($B33-P$7),6),"")</f>
        <v/>
      </c>
      <c r="Q33" s="9">
        <f>IF(AND(ISNUMBER($B33),ISNUMBER(Q$7)),ROUND(ABS($B33-Q$7),6),"")</f>
        <v/>
      </c>
      <c r="R33" s="9">
        <f>IF(AND(ISNUMBER($B33),ISNUMBER(R$7)),ROUND(ABS($B33-R$7),6),"")</f>
        <v/>
      </c>
      <c r="S33" s="9">
        <f>IF(AND(ISNUMBER($B33),ISNUMBER(S$7)),ROUND(ABS($B33-S$7),6),"")</f>
        <v/>
      </c>
    </row>
    <row r="34">
      <c r="A34" s="6" t="n"/>
      <c r="B34" s="6" t="n"/>
      <c r="C34" s="4">
        <f>IF($B34="","",IF(ISNUMBER($B34),IF(COUNT($H34:$S34)=0,"No sizes",INDEX($H$7:$S$7,MATCH(MIN($H34:$S34),$H34:$S34,0))),"Check length"))</f>
        <v/>
      </c>
      <c r="D34" s="4">
        <f>IF(ISNUMBER(C34),MIN($H34:$S34),"")</f>
        <v/>
      </c>
      <c r="E34" s="4">
        <f>IF(ISNUMBER(C34),IF(COUNTIF($H$7:$S$7,"&gt;="&amp;B34)=0,"None",SMALL($H$7:$S$7,COUNTIF($H$7:$S$7,"&lt;"&amp;B34)+1)),"")</f>
        <v/>
      </c>
      <c r="F34" s="4">
        <f>IF(ISNUMBER(C34),IF(COUNTIF($H34:$S34,D34)&gt;1,"Tie, first listed used",""),"")</f>
        <v/>
      </c>
      <c r="H34" s="9">
        <f>IF(AND(ISNUMBER($B34),ISNUMBER(H$7)),ROUND(ABS($B34-H$7),6),"")</f>
        <v/>
      </c>
      <c r="I34" s="9">
        <f>IF(AND(ISNUMBER($B34),ISNUMBER(I$7)),ROUND(ABS($B34-I$7),6),"")</f>
        <v/>
      </c>
      <c r="J34" s="9">
        <f>IF(AND(ISNUMBER($B34),ISNUMBER(J$7)),ROUND(ABS($B34-J$7),6),"")</f>
        <v/>
      </c>
      <c r="K34" s="9">
        <f>IF(AND(ISNUMBER($B34),ISNUMBER(K$7)),ROUND(ABS($B34-K$7),6),"")</f>
        <v/>
      </c>
      <c r="L34" s="9">
        <f>IF(AND(ISNUMBER($B34),ISNUMBER(L$7)),ROUND(ABS($B34-L$7),6),"")</f>
        <v/>
      </c>
      <c r="M34" s="9">
        <f>IF(AND(ISNUMBER($B34),ISNUMBER(M$7)),ROUND(ABS($B34-M$7),6),"")</f>
        <v/>
      </c>
      <c r="N34" s="9">
        <f>IF(AND(ISNUMBER($B34),ISNUMBER(N$7)),ROUND(ABS($B34-N$7),6),"")</f>
        <v/>
      </c>
      <c r="O34" s="9">
        <f>IF(AND(ISNUMBER($B34),ISNUMBER(O$7)),ROUND(ABS($B34-O$7),6),"")</f>
        <v/>
      </c>
      <c r="P34" s="9">
        <f>IF(AND(ISNUMBER($B34),ISNUMBER(P$7)),ROUND(ABS($B34-P$7),6),"")</f>
        <v/>
      </c>
      <c r="Q34" s="9">
        <f>IF(AND(ISNUMBER($B34),ISNUMBER(Q$7)),ROUND(ABS($B34-Q$7),6),"")</f>
        <v/>
      </c>
      <c r="R34" s="9">
        <f>IF(AND(ISNUMBER($B34),ISNUMBER(R$7)),ROUND(ABS($B34-R$7),6),"")</f>
        <v/>
      </c>
      <c r="S34" s="9">
        <f>IF(AND(ISNUMBER($B34),ISNUMBER(S$7)),ROUND(ABS($B34-S$7),6),"")</f>
        <v/>
      </c>
    </row>
    <row r="35">
      <c r="A35" s="6" t="n"/>
      <c r="B35" s="6" t="n"/>
      <c r="C35" s="4">
        <f>IF($B35="","",IF(ISNUMBER($B35),IF(COUNT($H35:$S35)=0,"No sizes",INDEX($H$7:$S$7,MATCH(MIN($H35:$S35),$H35:$S35,0))),"Check length"))</f>
        <v/>
      </c>
      <c r="D35" s="4">
        <f>IF(ISNUMBER(C35),MIN($H35:$S35),"")</f>
        <v/>
      </c>
      <c r="E35" s="4">
        <f>IF(ISNUMBER(C35),IF(COUNTIF($H$7:$S$7,"&gt;="&amp;B35)=0,"None",SMALL($H$7:$S$7,COUNTIF($H$7:$S$7,"&lt;"&amp;B35)+1)),"")</f>
        <v/>
      </c>
      <c r="F35" s="4">
        <f>IF(ISNUMBER(C35),IF(COUNTIF($H35:$S35,D35)&gt;1,"Tie, first listed used",""),"")</f>
        <v/>
      </c>
      <c r="H35" s="9">
        <f>IF(AND(ISNUMBER($B35),ISNUMBER(H$7)),ROUND(ABS($B35-H$7),6),"")</f>
        <v/>
      </c>
      <c r="I35" s="9">
        <f>IF(AND(ISNUMBER($B35),ISNUMBER(I$7)),ROUND(ABS($B35-I$7),6),"")</f>
        <v/>
      </c>
      <c r="J35" s="9">
        <f>IF(AND(ISNUMBER($B35),ISNUMBER(J$7)),ROUND(ABS($B35-J$7),6),"")</f>
        <v/>
      </c>
      <c r="K35" s="9">
        <f>IF(AND(ISNUMBER($B35),ISNUMBER(K$7)),ROUND(ABS($B35-K$7),6),"")</f>
        <v/>
      </c>
      <c r="L35" s="9">
        <f>IF(AND(ISNUMBER($B35),ISNUMBER(L$7)),ROUND(ABS($B35-L$7),6),"")</f>
        <v/>
      </c>
      <c r="M35" s="9">
        <f>IF(AND(ISNUMBER($B35),ISNUMBER(M$7)),ROUND(ABS($B35-M$7),6),"")</f>
        <v/>
      </c>
      <c r="N35" s="9">
        <f>IF(AND(ISNUMBER($B35),ISNUMBER(N$7)),ROUND(ABS($B35-N$7),6),"")</f>
        <v/>
      </c>
      <c r="O35" s="9">
        <f>IF(AND(ISNUMBER($B35),ISNUMBER(O$7)),ROUND(ABS($B35-O$7),6),"")</f>
        <v/>
      </c>
      <c r="P35" s="9">
        <f>IF(AND(ISNUMBER($B35),ISNUMBER(P$7)),ROUND(ABS($B35-P$7),6),"")</f>
        <v/>
      </c>
      <c r="Q35" s="9">
        <f>IF(AND(ISNUMBER($B35),ISNUMBER(Q$7)),ROUND(ABS($B35-Q$7),6),"")</f>
        <v/>
      </c>
      <c r="R35" s="9">
        <f>IF(AND(ISNUMBER($B35),ISNUMBER(R$7)),ROUND(ABS($B35-R$7),6),"")</f>
        <v/>
      </c>
      <c r="S35" s="9">
        <f>IF(AND(ISNUMBER($B35),ISNUMBER(S$7)),ROUND(ABS($B35-S$7),6),"")</f>
        <v/>
      </c>
    </row>
    <row r="36">
      <c r="A36" s="6" t="n"/>
      <c r="B36" s="6" t="n"/>
      <c r="C36" s="4">
        <f>IF($B36="","",IF(ISNUMBER($B36),IF(COUNT($H36:$S36)=0,"No sizes",INDEX($H$7:$S$7,MATCH(MIN($H36:$S36),$H36:$S36,0))),"Check length"))</f>
        <v/>
      </c>
      <c r="D36" s="4">
        <f>IF(ISNUMBER(C36),MIN($H36:$S36),"")</f>
        <v/>
      </c>
      <c r="E36" s="4">
        <f>IF(ISNUMBER(C36),IF(COUNTIF($H$7:$S$7,"&gt;="&amp;B36)=0,"None",SMALL($H$7:$S$7,COUNTIF($H$7:$S$7,"&lt;"&amp;B36)+1)),"")</f>
        <v/>
      </c>
      <c r="F36" s="4">
        <f>IF(ISNUMBER(C36),IF(COUNTIF($H36:$S36,D36)&gt;1,"Tie, first listed used",""),"")</f>
        <v/>
      </c>
      <c r="H36" s="9">
        <f>IF(AND(ISNUMBER($B36),ISNUMBER(H$7)),ROUND(ABS($B36-H$7),6),"")</f>
        <v/>
      </c>
      <c r="I36" s="9">
        <f>IF(AND(ISNUMBER($B36),ISNUMBER(I$7)),ROUND(ABS($B36-I$7),6),"")</f>
        <v/>
      </c>
      <c r="J36" s="9">
        <f>IF(AND(ISNUMBER($B36),ISNUMBER(J$7)),ROUND(ABS($B36-J$7),6),"")</f>
        <v/>
      </c>
      <c r="K36" s="9">
        <f>IF(AND(ISNUMBER($B36),ISNUMBER(K$7)),ROUND(ABS($B36-K$7),6),"")</f>
        <v/>
      </c>
      <c r="L36" s="9">
        <f>IF(AND(ISNUMBER($B36),ISNUMBER(L$7)),ROUND(ABS($B36-L$7),6),"")</f>
        <v/>
      </c>
      <c r="M36" s="9">
        <f>IF(AND(ISNUMBER($B36),ISNUMBER(M$7)),ROUND(ABS($B36-M$7),6),"")</f>
        <v/>
      </c>
      <c r="N36" s="9">
        <f>IF(AND(ISNUMBER($B36),ISNUMBER(N$7)),ROUND(ABS($B36-N$7),6),"")</f>
        <v/>
      </c>
      <c r="O36" s="9">
        <f>IF(AND(ISNUMBER($B36),ISNUMBER(O$7)),ROUND(ABS($B36-O$7),6),"")</f>
        <v/>
      </c>
      <c r="P36" s="9">
        <f>IF(AND(ISNUMBER($B36),ISNUMBER(P$7)),ROUND(ABS($B36-P$7),6),"")</f>
        <v/>
      </c>
      <c r="Q36" s="9">
        <f>IF(AND(ISNUMBER($B36),ISNUMBER(Q$7)),ROUND(ABS($B36-Q$7),6),"")</f>
        <v/>
      </c>
      <c r="R36" s="9">
        <f>IF(AND(ISNUMBER($B36),ISNUMBER(R$7)),ROUND(ABS($B36-R$7),6),"")</f>
        <v/>
      </c>
      <c r="S36" s="9">
        <f>IF(AND(ISNUMBER($B36),ISNUMBER(S$7)),ROUND(ABS($B36-S$7),6),"")</f>
        <v/>
      </c>
    </row>
    <row r="37">
      <c r="A37" s="6" t="n"/>
      <c r="B37" s="6" t="n"/>
      <c r="C37" s="4">
        <f>IF($B37="","",IF(ISNUMBER($B37),IF(COUNT($H37:$S37)=0,"No sizes",INDEX($H$7:$S$7,MATCH(MIN($H37:$S37),$H37:$S37,0))),"Check length"))</f>
        <v/>
      </c>
      <c r="D37" s="4">
        <f>IF(ISNUMBER(C37),MIN($H37:$S37),"")</f>
        <v/>
      </c>
      <c r="E37" s="4">
        <f>IF(ISNUMBER(C37),IF(COUNTIF($H$7:$S$7,"&gt;="&amp;B37)=0,"None",SMALL($H$7:$S$7,COUNTIF($H$7:$S$7,"&lt;"&amp;B37)+1)),"")</f>
        <v/>
      </c>
      <c r="F37" s="4">
        <f>IF(ISNUMBER(C37),IF(COUNTIF($H37:$S37,D37)&gt;1,"Tie, first listed used",""),"")</f>
        <v/>
      </c>
      <c r="H37" s="9">
        <f>IF(AND(ISNUMBER($B37),ISNUMBER(H$7)),ROUND(ABS($B37-H$7),6),"")</f>
        <v/>
      </c>
      <c r="I37" s="9">
        <f>IF(AND(ISNUMBER($B37),ISNUMBER(I$7)),ROUND(ABS($B37-I$7),6),"")</f>
        <v/>
      </c>
      <c r="J37" s="9">
        <f>IF(AND(ISNUMBER($B37),ISNUMBER(J$7)),ROUND(ABS($B37-J$7),6),"")</f>
        <v/>
      </c>
      <c r="K37" s="9">
        <f>IF(AND(ISNUMBER($B37),ISNUMBER(K$7)),ROUND(ABS($B37-K$7),6),"")</f>
        <v/>
      </c>
      <c r="L37" s="9">
        <f>IF(AND(ISNUMBER($B37),ISNUMBER(L$7)),ROUND(ABS($B37-L$7),6),"")</f>
        <v/>
      </c>
      <c r="M37" s="9">
        <f>IF(AND(ISNUMBER($B37),ISNUMBER(M$7)),ROUND(ABS($B37-M$7),6),"")</f>
        <v/>
      </c>
      <c r="N37" s="9">
        <f>IF(AND(ISNUMBER($B37),ISNUMBER(N$7)),ROUND(ABS($B37-N$7),6),"")</f>
        <v/>
      </c>
      <c r="O37" s="9">
        <f>IF(AND(ISNUMBER($B37),ISNUMBER(O$7)),ROUND(ABS($B37-O$7),6),"")</f>
        <v/>
      </c>
      <c r="P37" s="9">
        <f>IF(AND(ISNUMBER($B37),ISNUMBER(P$7)),ROUND(ABS($B37-P$7),6),"")</f>
        <v/>
      </c>
      <c r="Q37" s="9">
        <f>IF(AND(ISNUMBER($B37),ISNUMBER(Q$7)),ROUND(ABS($B37-Q$7),6),"")</f>
        <v/>
      </c>
      <c r="R37" s="9">
        <f>IF(AND(ISNUMBER($B37),ISNUMBER(R$7)),ROUND(ABS($B37-R$7),6),"")</f>
        <v/>
      </c>
      <c r="S37" s="9">
        <f>IF(AND(ISNUMBER($B37),ISNUMBER(S$7)),ROUND(ABS($B37-S$7),6),"")</f>
        <v/>
      </c>
    </row>
    <row r="38">
      <c r="A38" s="6" t="n"/>
      <c r="B38" s="6" t="n"/>
      <c r="C38" s="4">
        <f>IF($B38="","",IF(ISNUMBER($B38),IF(COUNT($H38:$S38)=0,"No sizes",INDEX($H$7:$S$7,MATCH(MIN($H38:$S38),$H38:$S38,0))),"Check length"))</f>
        <v/>
      </c>
      <c r="D38" s="4">
        <f>IF(ISNUMBER(C38),MIN($H38:$S38),"")</f>
        <v/>
      </c>
      <c r="E38" s="4">
        <f>IF(ISNUMBER(C38),IF(COUNTIF($H$7:$S$7,"&gt;="&amp;B38)=0,"None",SMALL($H$7:$S$7,COUNTIF($H$7:$S$7,"&lt;"&amp;B38)+1)),"")</f>
        <v/>
      </c>
      <c r="F38" s="4">
        <f>IF(ISNUMBER(C38),IF(COUNTIF($H38:$S38,D38)&gt;1,"Tie, first listed used",""),"")</f>
        <v/>
      </c>
      <c r="H38" s="9">
        <f>IF(AND(ISNUMBER($B38),ISNUMBER(H$7)),ROUND(ABS($B38-H$7),6),"")</f>
        <v/>
      </c>
      <c r="I38" s="9">
        <f>IF(AND(ISNUMBER($B38),ISNUMBER(I$7)),ROUND(ABS($B38-I$7),6),"")</f>
        <v/>
      </c>
      <c r="J38" s="9">
        <f>IF(AND(ISNUMBER($B38),ISNUMBER(J$7)),ROUND(ABS($B38-J$7),6),"")</f>
        <v/>
      </c>
      <c r="K38" s="9">
        <f>IF(AND(ISNUMBER($B38),ISNUMBER(K$7)),ROUND(ABS($B38-K$7),6),"")</f>
        <v/>
      </c>
      <c r="L38" s="9">
        <f>IF(AND(ISNUMBER($B38),ISNUMBER(L$7)),ROUND(ABS($B38-L$7),6),"")</f>
        <v/>
      </c>
      <c r="M38" s="9">
        <f>IF(AND(ISNUMBER($B38),ISNUMBER(M$7)),ROUND(ABS($B38-M$7),6),"")</f>
        <v/>
      </c>
      <c r="N38" s="9">
        <f>IF(AND(ISNUMBER($B38),ISNUMBER(N$7)),ROUND(ABS($B38-N$7),6),"")</f>
        <v/>
      </c>
      <c r="O38" s="9">
        <f>IF(AND(ISNUMBER($B38),ISNUMBER(O$7)),ROUND(ABS($B38-O$7),6),"")</f>
        <v/>
      </c>
      <c r="P38" s="9">
        <f>IF(AND(ISNUMBER($B38),ISNUMBER(P$7)),ROUND(ABS($B38-P$7),6),"")</f>
        <v/>
      </c>
      <c r="Q38" s="9">
        <f>IF(AND(ISNUMBER($B38),ISNUMBER(Q$7)),ROUND(ABS($B38-Q$7),6),"")</f>
        <v/>
      </c>
      <c r="R38" s="9">
        <f>IF(AND(ISNUMBER($B38),ISNUMBER(R$7)),ROUND(ABS($B38-R$7),6),"")</f>
        <v/>
      </c>
      <c r="S38" s="9">
        <f>IF(AND(ISNUMBER($B38),ISNUMBER(S$7)),ROUND(ABS($B38-S$7),6),"")</f>
        <v/>
      </c>
    </row>
    <row r="39">
      <c r="A39" s="6" t="n"/>
      <c r="B39" s="6" t="n"/>
      <c r="C39" s="4">
        <f>IF($B39="","",IF(ISNUMBER($B39),IF(COUNT($H39:$S39)=0,"No sizes",INDEX($H$7:$S$7,MATCH(MIN($H39:$S39),$H39:$S39,0))),"Check length"))</f>
        <v/>
      </c>
      <c r="D39" s="4">
        <f>IF(ISNUMBER(C39),MIN($H39:$S39),"")</f>
        <v/>
      </c>
      <c r="E39" s="4">
        <f>IF(ISNUMBER(C39),IF(COUNTIF($H$7:$S$7,"&gt;="&amp;B39)=0,"None",SMALL($H$7:$S$7,COUNTIF($H$7:$S$7,"&lt;"&amp;B39)+1)),"")</f>
        <v/>
      </c>
      <c r="F39" s="4">
        <f>IF(ISNUMBER(C39),IF(COUNTIF($H39:$S39,D39)&gt;1,"Tie, first listed used",""),"")</f>
        <v/>
      </c>
      <c r="H39" s="9">
        <f>IF(AND(ISNUMBER($B39),ISNUMBER(H$7)),ROUND(ABS($B39-H$7),6),"")</f>
        <v/>
      </c>
      <c r="I39" s="9">
        <f>IF(AND(ISNUMBER($B39),ISNUMBER(I$7)),ROUND(ABS($B39-I$7),6),"")</f>
        <v/>
      </c>
      <c r="J39" s="9">
        <f>IF(AND(ISNUMBER($B39),ISNUMBER(J$7)),ROUND(ABS($B39-J$7),6),"")</f>
        <v/>
      </c>
      <c r="K39" s="9">
        <f>IF(AND(ISNUMBER($B39),ISNUMBER(K$7)),ROUND(ABS($B39-K$7),6),"")</f>
        <v/>
      </c>
      <c r="L39" s="9">
        <f>IF(AND(ISNUMBER($B39),ISNUMBER(L$7)),ROUND(ABS($B39-L$7),6),"")</f>
        <v/>
      </c>
      <c r="M39" s="9">
        <f>IF(AND(ISNUMBER($B39),ISNUMBER(M$7)),ROUND(ABS($B39-M$7),6),"")</f>
        <v/>
      </c>
      <c r="N39" s="9">
        <f>IF(AND(ISNUMBER($B39),ISNUMBER(N$7)),ROUND(ABS($B39-N$7),6),"")</f>
        <v/>
      </c>
      <c r="O39" s="9">
        <f>IF(AND(ISNUMBER($B39),ISNUMBER(O$7)),ROUND(ABS($B39-O$7),6),"")</f>
        <v/>
      </c>
      <c r="P39" s="9">
        <f>IF(AND(ISNUMBER($B39),ISNUMBER(P$7)),ROUND(ABS($B39-P$7),6),"")</f>
        <v/>
      </c>
      <c r="Q39" s="9">
        <f>IF(AND(ISNUMBER($B39),ISNUMBER(Q$7)),ROUND(ABS($B39-Q$7),6),"")</f>
        <v/>
      </c>
      <c r="R39" s="9">
        <f>IF(AND(ISNUMBER($B39),ISNUMBER(R$7)),ROUND(ABS($B39-R$7),6),"")</f>
        <v/>
      </c>
      <c r="S39" s="9">
        <f>IF(AND(ISNUMBER($B39),ISNUMBER(S$7)),ROUND(ABS($B39-S$7),6),"")</f>
        <v/>
      </c>
    </row>
    <row r="40">
      <c r="A40" s="6" t="n"/>
      <c r="B40" s="6" t="n"/>
      <c r="C40" s="4">
        <f>IF($B40="","",IF(ISNUMBER($B40),IF(COUNT($H40:$S40)=0,"No sizes",INDEX($H$7:$S$7,MATCH(MIN($H40:$S40),$H40:$S40,0))),"Check length"))</f>
        <v/>
      </c>
      <c r="D40" s="4">
        <f>IF(ISNUMBER(C40),MIN($H40:$S40),"")</f>
        <v/>
      </c>
      <c r="E40" s="4">
        <f>IF(ISNUMBER(C40),IF(COUNTIF($H$7:$S$7,"&gt;="&amp;B40)=0,"None",SMALL($H$7:$S$7,COUNTIF($H$7:$S$7,"&lt;"&amp;B40)+1)),"")</f>
        <v/>
      </c>
      <c r="F40" s="4">
        <f>IF(ISNUMBER(C40),IF(COUNTIF($H40:$S40,D40)&gt;1,"Tie, first listed used",""),"")</f>
        <v/>
      </c>
      <c r="H40" s="9">
        <f>IF(AND(ISNUMBER($B40),ISNUMBER(H$7)),ROUND(ABS($B40-H$7),6),"")</f>
        <v/>
      </c>
      <c r="I40" s="9">
        <f>IF(AND(ISNUMBER($B40),ISNUMBER(I$7)),ROUND(ABS($B40-I$7),6),"")</f>
        <v/>
      </c>
      <c r="J40" s="9">
        <f>IF(AND(ISNUMBER($B40),ISNUMBER(J$7)),ROUND(ABS($B40-J$7),6),"")</f>
        <v/>
      </c>
      <c r="K40" s="9">
        <f>IF(AND(ISNUMBER($B40),ISNUMBER(K$7)),ROUND(ABS($B40-K$7),6),"")</f>
        <v/>
      </c>
      <c r="L40" s="9">
        <f>IF(AND(ISNUMBER($B40),ISNUMBER(L$7)),ROUND(ABS($B40-L$7),6),"")</f>
        <v/>
      </c>
      <c r="M40" s="9">
        <f>IF(AND(ISNUMBER($B40),ISNUMBER(M$7)),ROUND(ABS($B40-M$7),6),"")</f>
        <v/>
      </c>
      <c r="N40" s="9">
        <f>IF(AND(ISNUMBER($B40),ISNUMBER(N$7)),ROUND(ABS($B40-N$7),6),"")</f>
        <v/>
      </c>
      <c r="O40" s="9">
        <f>IF(AND(ISNUMBER($B40),ISNUMBER(O$7)),ROUND(ABS($B40-O$7),6),"")</f>
        <v/>
      </c>
      <c r="P40" s="9">
        <f>IF(AND(ISNUMBER($B40),ISNUMBER(P$7)),ROUND(ABS($B40-P$7),6),"")</f>
        <v/>
      </c>
      <c r="Q40" s="9">
        <f>IF(AND(ISNUMBER($B40),ISNUMBER(Q$7)),ROUND(ABS($B40-Q$7),6),"")</f>
        <v/>
      </c>
      <c r="R40" s="9">
        <f>IF(AND(ISNUMBER($B40),ISNUMBER(R$7)),ROUND(ABS($B40-R$7),6),"")</f>
        <v/>
      </c>
      <c r="S40" s="9">
        <f>IF(AND(ISNUMBER($B40),ISNUMBER(S$7)),ROUND(ABS($B40-S$7),6),"")</f>
        <v/>
      </c>
    </row>
    <row r="41">
      <c r="A41" s="6" t="n"/>
      <c r="B41" s="6" t="n"/>
      <c r="C41" s="4">
        <f>IF($B41="","",IF(ISNUMBER($B41),IF(COUNT($H41:$S41)=0,"No sizes",INDEX($H$7:$S$7,MATCH(MIN($H41:$S41),$H41:$S41,0))),"Check length"))</f>
        <v/>
      </c>
      <c r="D41" s="4">
        <f>IF(ISNUMBER(C41),MIN($H41:$S41),"")</f>
        <v/>
      </c>
      <c r="E41" s="4">
        <f>IF(ISNUMBER(C41),IF(COUNTIF($H$7:$S$7,"&gt;="&amp;B41)=0,"None",SMALL($H$7:$S$7,COUNTIF($H$7:$S$7,"&lt;"&amp;B41)+1)),"")</f>
        <v/>
      </c>
      <c r="F41" s="4">
        <f>IF(ISNUMBER(C41),IF(COUNTIF($H41:$S41,D41)&gt;1,"Tie, first listed used",""),"")</f>
        <v/>
      </c>
      <c r="H41" s="9">
        <f>IF(AND(ISNUMBER($B41),ISNUMBER(H$7)),ROUND(ABS($B41-H$7),6),"")</f>
        <v/>
      </c>
      <c r="I41" s="9">
        <f>IF(AND(ISNUMBER($B41),ISNUMBER(I$7)),ROUND(ABS($B41-I$7),6),"")</f>
        <v/>
      </c>
      <c r="J41" s="9">
        <f>IF(AND(ISNUMBER($B41),ISNUMBER(J$7)),ROUND(ABS($B41-J$7),6),"")</f>
        <v/>
      </c>
      <c r="K41" s="9">
        <f>IF(AND(ISNUMBER($B41),ISNUMBER(K$7)),ROUND(ABS($B41-K$7),6),"")</f>
        <v/>
      </c>
      <c r="L41" s="9">
        <f>IF(AND(ISNUMBER($B41),ISNUMBER(L$7)),ROUND(ABS($B41-L$7),6),"")</f>
        <v/>
      </c>
      <c r="M41" s="9">
        <f>IF(AND(ISNUMBER($B41),ISNUMBER(M$7)),ROUND(ABS($B41-M$7),6),"")</f>
        <v/>
      </c>
      <c r="N41" s="9">
        <f>IF(AND(ISNUMBER($B41),ISNUMBER(N$7)),ROUND(ABS($B41-N$7),6),"")</f>
        <v/>
      </c>
      <c r="O41" s="9">
        <f>IF(AND(ISNUMBER($B41),ISNUMBER(O$7)),ROUND(ABS($B41-O$7),6),"")</f>
        <v/>
      </c>
      <c r="P41" s="9">
        <f>IF(AND(ISNUMBER($B41),ISNUMBER(P$7)),ROUND(ABS($B41-P$7),6),"")</f>
        <v/>
      </c>
      <c r="Q41" s="9">
        <f>IF(AND(ISNUMBER($B41),ISNUMBER(Q$7)),ROUND(ABS($B41-Q$7),6),"")</f>
        <v/>
      </c>
      <c r="R41" s="9">
        <f>IF(AND(ISNUMBER($B41),ISNUMBER(R$7)),ROUND(ABS($B41-R$7),6),"")</f>
        <v/>
      </c>
      <c r="S41" s="9">
        <f>IF(AND(ISNUMBER($B41),ISNUMBER(S$7)),ROUND(ABS($B41-S$7),6),"")</f>
        <v/>
      </c>
    </row>
    <row r="42">
      <c r="A42" s="6" t="n"/>
      <c r="B42" s="6" t="n"/>
      <c r="C42" s="4">
        <f>IF($B42="","",IF(ISNUMBER($B42),IF(COUNT($H42:$S42)=0,"No sizes",INDEX($H$7:$S$7,MATCH(MIN($H42:$S42),$H42:$S42,0))),"Check length"))</f>
        <v/>
      </c>
      <c r="D42" s="4">
        <f>IF(ISNUMBER(C42),MIN($H42:$S42),"")</f>
        <v/>
      </c>
      <c r="E42" s="4">
        <f>IF(ISNUMBER(C42),IF(COUNTIF($H$7:$S$7,"&gt;="&amp;B42)=0,"None",SMALL($H$7:$S$7,COUNTIF($H$7:$S$7,"&lt;"&amp;B42)+1)),"")</f>
        <v/>
      </c>
      <c r="F42" s="4">
        <f>IF(ISNUMBER(C42),IF(COUNTIF($H42:$S42,D42)&gt;1,"Tie, first listed used",""),"")</f>
        <v/>
      </c>
      <c r="H42" s="9">
        <f>IF(AND(ISNUMBER($B42),ISNUMBER(H$7)),ROUND(ABS($B42-H$7),6),"")</f>
        <v/>
      </c>
      <c r="I42" s="9">
        <f>IF(AND(ISNUMBER($B42),ISNUMBER(I$7)),ROUND(ABS($B42-I$7),6),"")</f>
        <v/>
      </c>
      <c r="J42" s="9">
        <f>IF(AND(ISNUMBER($B42),ISNUMBER(J$7)),ROUND(ABS($B42-J$7),6),"")</f>
        <v/>
      </c>
      <c r="K42" s="9">
        <f>IF(AND(ISNUMBER($B42),ISNUMBER(K$7)),ROUND(ABS($B42-K$7),6),"")</f>
        <v/>
      </c>
      <c r="L42" s="9">
        <f>IF(AND(ISNUMBER($B42),ISNUMBER(L$7)),ROUND(ABS($B42-L$7),6),"")</f>
        <v/>
      </c>
      <c r="M42" s="9">
        <f>IF(AND(ISNUMBER($B42),ISNUMBER(M$7)),ROUND(ABS($B42-M$7),6),"")</f>
        <v/>
      </c>
      <c r="N42" s="9">
        <f>IF(AND(ISNUMBER($B42),ISNUMBER(N$7)),ROUND(ABS($B42-N$7),6),"")</f>
        <v/>
      </c>
      <c r="O42" s="9">
        <f>IF(AND(ISNUMBER($B42),ISNUMBER(O$7)),ROUND(ABS($B42-O$7),6),"")</f>
        <v/>
      </c>
      <c r="P42" s="9">
        <f>IF(AND(ISNUMBER($B42),ISNUMBER(P$7)),ROUND(ABS($B42-P$7),6),"")</f>
        <v/>
      </c>
      <c r="Q42" s="9">
        <f>IF(AND(ISNUMBER($B42),ISNUMBER(Q$7)),ROUND(ABS($B42-Q$7),6),"")</f>
        <v/>
      </c>
      <c r="R42" s="9">
        <f>IF(AND(ISNUMBER($B42),ISNUMBER(R$7)),ROUND(ABS($B42-R$7),6),"")</f>
        <v/>
      </c>
      <c r="S42" s="9">
        <f>IF(AND(ISNUMBER($B42),ISNUMBER(S$7)),ROUND(ABS($B42-S$7),6),"")</f>
        <v/>
      </c>
    </row>
    <row r="43">
      <c r="A43" s="6" t="n"/>
      <c r="B43" s="6" t="n"/>
      <c r="C43" s="4">
        <f>IF($B43="","",IF(ISNUMBER($B43),IF(COUNT($H43:$S43)=0,"No sizes",INDEX($H$7:$S$7,MATCH(MIN($H43:$S43),$H43:$S43,0))),"Check length"))</f>
        <v/>
      </c>
      <c r="D43" s="4">
        <f>IF(ISNUMBER(C43),MIN($H43:$S43),"")</f>
        <v/>
      </c>
      <c r="E43" s="4">
        <f>IF(ISNUMBER(C43),IF(COUNTIF($H$7:$S$7,"&gt;="&amp;B43)=0,"None",SMALL($H$7:$S$7,COUNTIF($H$7:$S$7,"&lt;"&amp;B43)+1)),"")</f>
        <v/>
      </c>
      <c r="F43" s="4">
        <f>IF(ISNUMBER(C43),IF(COUNTIF($H43:$S43,D43)&gt;1,"Tie, first listed used",""),"")</f>
        <v/>
      </c>
      <c r="H43" s="9">
        <f>IF(AND(ISNUMBER($B43),ISNUMBER(H$7)),ROUND(ABS($B43-H$7),6),"")</f>
        <v/>
      </c>
      <c r="I43" s="9">
        <f>IF(AND(ISNUMBER($B43),ISNUMBER(I$7)),ROUND(ABS($B43-I$7),6),"")</f>
        <v/>
      </c>
      <c r="J43" s="9">
        <f>IF(AND(ISNUMBER($B43),ISNUMBER(J$7)),ROUND(ABS($B43-J$7),6),"")</f>
        <v/>
      </c>
      <c r="K43" s="9">
        <f>IF(AND(ISNUMBER($B43),ISNUMBER(K$7)),ROUND(ABS($B43-K$7),6),"")</f>
        <v/>
      </c>
      <c r="L43" s="9">
        <f>IF(AND(ISNUMBER($B43),ISNUMBER(L$7)),ROUND(ABS($B43-L$7),6),"")</f>
        <v/>
      </c>
      <c r="M43" s="9">
        <f>IF(AND(ISNUMBER($B43),ISNUMBER(M$7)),ROUND(ABS($B43-M$7),6),"")</f>
        <v/>
      </c>
      <c r="N43" s="9">
        <f>IF(AND(ISNUMBER($B43),ISNUMBER(N$7)),ROUND(ABS($B43-N$7),6),"")</f>
        <v/>
      </c>
      <c r="O43" s="9">
        <f>IF(AND(ISNUMBER($B43),ISNUMBER(O$7)),ROUND(ABS($B43-O$7),6),"")</f>
        <v/>
      </c>
      <c r="P43" s="9">
        <f>IF(AND(ISNUMBER($B43),ISNUMBER(P$7)),ROUND(ABS($B43-P$7),6),"")</f>
        <v/>
      </c>
      <c r="Q43" s="9">
        <f>IF(AND(ISNUMBER($B43),ISNUMBER(Q$7)),ROUND(ABS($B43-Q$7),6),"")</f>
        <v/>
      </c>
      <c r="R43" s="9">
        <f>IF(AND(ISNUMBER($B43),ISNUMBER(R$7)),ROUND(ABS($B43-R$7),6),"")</f>
        <v/>
      </c>
      <c r="S43" s="9">
        <f>IF(AND(ISNUMBER($B43),ISNUMBER(S$7)),ROUND(ABS($B43-S$7),6),"")</f>
        <v/>
      </c>
    </row>
    <row r="44">
      <c r="A44" s="6" t="n"/>
      <c r="B44" s="6" t="n"/>
      <c r="C44" s="4">
        <f>IF($B44="","",IF(ISNUMBER($B44),IF(COUNT($H44:$S44)=0,"No sizes",INDEX($H$7:$S$7,MATCH(MIN($H44:$S44),$H44:$S44,0))),"Check length"))</f>
        <v/>
      </c>
      <c r="D44" s="4">
        <f>IF(ISNUMBER(C44),MIN($H44:$S44),"")</f>
        <v/>
      </c>
      <c r="E44" s="4">
        <f>IF(ISNUMBER(C44),IF(COUNTIF($H$7:$S$7,"&gt;="&amp;B44)=0,"None",SMALL($H$7:$S$7,COUNTIF($H$7:$S$7,"&lt;"&amp;B44)+1)),"")</f>
        <v/>
      </c>
      <c r="F44" s="4">
        <f>IF(ISNUMBER(C44),IF(COUNTIF($H44:$S44,D44)&gt;1,"Tie, first listed used",""),"")</f>
        <v/>
      </c>
      <c r="H44" s="9">
        <f>IF(AND(ISNUMBER($B44),ISNUMBER(H$7)),ROUND(ABS($B44-H$7),6),"")</f>
        <v/>
      </c>
      <c r="I44" s="9">
        <f>IF(AND(ISNUMBER($B44),ISNUMBER(I$7)),ROUND(ABS($B44-I$7),6),"")</f>
        <v/>
      </c>
      <c r="J44" s="9">
        <f>IF(AND(ISNUMBER($B44),ISNUMBER(J$7)),ROUND(ABS($B44-J$7),6),"")</f>
        <v/>
      </c>
      <c r="K44" s="9">
        <f>IF(AND(ISNUMBER($B44),ISNUMBER(K$7)),ROUND(ABS($B44-K$7),6),"")</f>
        <v/>
      </c>
      <c r="L44" s="9">
        <f>IF(AND(ISNUMBER($B44),ISNUMBER(L$7)),ROUND(ABS($B44-L$7),6),"")</f>
        <v/>
      </c>
      <c r="M44" s="9">
        <f>IF(AND(ISNUMBER($B44),ISNUMBER(M$7)),ROUND(ABS($B44-M$7),6),"")</f>
        <v/>
      </c>
      <c r="N44" s="9">
        <f>IF(AND(ISNUMBER($B44),ISNUMBER(N$7)),ROUND(ABS($B44-N$7),6),"")</f>
        <v/>
      </c>
      <c r="O44" s="9">
        <f>IF(AND(ISNUMBER($B44),ISNUMBER(O$7)),ROUND(ABS($B44-O$7),6),"")</f>
        <v/>
      </c>
      <c r="P44" s="9">
        <f>IF(AND(ISNUMBER($B44),ISNUMBER(P$7)),ROUND(ABS($B44-P$7),6),"")</f>
        <v/>
      </c>
      <c r="Q44" s="9">
        <f>IF(AND(ISNUMBER($B44),ISNUMBER(Q$7)),ROUND(ABS($B44-Q$7),6),"")</f>
        <v/>
      </c>
      <c r="R44" s="9">
        <f>IF(AND(ISNUMBER($B44),ISNUMBER(R$7)),ROUND(ABS($B44-R$7),6),"")</f>
        <v/>
      </c>
      <c r="S44" s="9">
        <f>IF(AND(ISNUMBER($B44),ISNUMBER(S$7)),ROUND(ABS($B44-S$7),6),"")</f>
        <v/>
      </c>
    </row>
    <row r="45">
      <c r="A45" s="6" t="n"/>
      <c r="B45" s="6" t="n"/>
      <c r="C45" s="4">
        <f>IF($B45="","",IF(ISNUMBER($B45),IF(COUNT($H45:$S45)=0,"No sizes",INDEX($H$7:$S$7,MATCH(MIN($H45:$S45),$H45:$S45,0))),"Check length"))</f>
        <v/>
      </c>
      <c r="D45" s="4">
        <f>IF(ISNUMBER(C45),MIN($H45:$S45),"")</f>
        <v/>
      </c>
      <c r="E45" s="4">
        <f>IF(ISNUMBER(C45),IF(COUNTIF($H$7:$S$7,"&gt;="&amp;B45)=0,"None",SMALL($H$7:$S$7,COUNTIF($H$7:$S$7,"&lt;"&amp;B45)+1)),"")</f>
        <v/>
      </c>
      <c r="F45" s="4">
        <f>IF(ISNUMBER(C45),IF(COUNTIF($H45:$S45,D45)&gt;1,"Tie, first listed used",""),"")</f>
        <v/>
      </c>
      <c r="H45" s="9">
        <f>IF(AND(ISNUMBER($B45),ISNUMBER(H$7)),ROUND(ABS($B45-H$7),6),"")</f>
        <v/>
      </c>
      <c r="I45" s="9">
        <f>IF(AND(ISNUMBER($B45),ISNUMBER(I$7)),ROUND(ABS($B45-I$7),6),"")</f>
        <v/>
      </c>
      <c r="J45" s="9">
        <f>IF(AND(ISNUMBER($B45),ISNUMBER(J$7)),ROUND(ABS($B45-J$7),6),"")</f>
        <v/>
      </c>
      <c r="K45" s="9">
        <f>IF(AND(ISNUMBER($B45),ISNUMBER(K$7)),ROUND(ABS($B45-K$7),6),"")</f>
        <v/>
      </c>
      <c r="L45" s="9">
        <f>IF(AND(ISNUMBER($B45),ISNUMBER(L$7)),ROUND(ABS($B45-L$7),6),"")</f>
        <v/>
      </c>
      <c r="M45" s="9">
        <f>IF(AND(ISNUMBER($B45),ISNUMBER(M$7)),ROUND(ABS($B45-M$7),6),"")</f>
        <v/>
      </c>
      <c r="N45" s="9">
        <f>IF(AND(ISNUMBER($B45),ISNUMBER(N$7)),ROUND(ABS($B45-N$7),6),"")</f>
        <v/>
      </c>
      <c r="O45" s="9">
        <f>IF(AND(ISNUMBER($B45),ISNUMBER(O$7)),ROUND(ABS($B45-O$7),6),"")</f>
        <v/>
      </c>
      <c r="P45" s="9">
        <f>IF(AND(ISNUMBER($B45),ISNUMBER(P$7)),ROUND(ABS($B45-P$7),6),"")</f>
        <v/>
      </c>
      <c r="Q45" s="9">
        <f>IF(AND(ISNUMBER($B45),ISNUMBER(Q$7)),ROUND(ABS($B45-Q$7),6),"")</f>
        <v/>
      </c>
      <c r="R45" s="9">
        <f>IF(AND(ISNUMBER($B45),ISNUMBER(R$7)),ROUND(ABS($B45-R$7),6),"")</f>
        <v/>
      </c>
      <c r="S45" s="9">
        <f>IF(AND(ISNUMBER($B45),ISNUMBER(S$7)),ROUND(ABS($B45-S$7),6),"")</f>
        <v/>
      </c>
    </row>
    <row r="46">
      <c r="A46" s="6" t="n"/>
      <c r="B46" s="6" t="n"/>
      <c r="C46" s="4">
        <f>IF($B46="","",IF(ISNUMBER($B46),IF(COUNT($H46:$S46)=0,"No sizes",INDEX($H$7:$S$7,MATCH(MIN($H46:$S46),$H46:$S46,0))),"Check length"))</f>
        <v/>
      </c>
      <c r="D46" s="4">
        <f>IF(ISNUMBER(C46),MIN($H46:$S46),"")</f>
        <v/>
      </c>
      <c r="E46" s="4">
        <f>IF(ISNUMBER(C46),IF(COUNTIF($H$7:$S$7,"&gt;="&amp;B46)=0,"None",SMALL($H$7:$S$7,COUNTIF($H$7:$S$7,"&lt;"&amp;B46)+1)),"")</f>
        <v/>
      </c>
      <c r="F46" s="4">
        <f>IF(ISNUMBER(C46),IF(COUNTIF($H46:$S46,D46)&gt;1,"Tie, first listed used",""),"")</f>
        <v/>
      </c>
      <c r="H46" s="9">
        <f>IF(AND(ISNUMBER($B46),ISNUMBER(H$7)),ROUND(ABS($B46-H$7),6),"")</f>
        <v/>
      </c>
      <c r="I46" s="9">
        <f>IF(AND(ISNUMBER($B46),ISNUMBER(I$7)),ROUND(ABS($B46-I$7),6),"")</f>
        <v/>
      </c>
      <c r="J46" s="9">
        <f>IF(AND(ISNUMBER($B46),ISNUMBER(J$7)),ROUND(ABS($B46-J$7),6),"")</f>
        <v/>
      </c>
      <c r="K46" s="9">
        <f>IF(AND(ISNUMBER($B46),ISNUMBER(K$7)),ROUND(ABS($B46-K$7),6),"")</f>
        <v/>
      </c>
      <c r="L46" s="9">
        <f>IF(AND(ISNUMBER($B46),ISNUMBER(L$7)),ROUND(ABS($B46-L$7),6),"")</f>
        <v/>
      </c>
      <c r="M46" s="9">
        <f>IF(AND(ISNUMBER($B46),ISNUMBER(M$7)),ROUND(ABS($B46-M$7),6),"")</f>
        <v/>
      </c>
      <c r="N46" s="9">
        <f>IF(AND(ISNUMBER($B46),ISNUMBER(N$7)),ROUND(ABS($B46-N$7),6),"")</f>
        <v/>
      </c>
      <c r="O46" s="9">
        <f>IF(AND(ISNUMBER($B46),ISNUMBER(O$7)),ROUND(ABS($B46-O$7),6),"")</f>
        <v/>
      </c>
      <c r="P46" s="9">
        <f>IF(AND(ISNUMBER($B46),ISNUMBER(P$7)),ROUND(ABS($B46-P$7),6),"")</f>
        <v/>
      </c>
      <c r="Q46" s="9">
        <f>IF(AND(ISNUMBER($B46),ISNUMBER(Q$7)),ROUND(ABS($B46-Q$7),6),"")</f>
        <v/>
      </c>
      <c r="R46" s="9">
        <f>IF(AND(ISNUMBER($B46),ISNUMBER(R$7)),ROUND(ABS($B46-R$7),6),"")</f>
        <v/>
      </c>
      <c r="S46" s="9">
        <f>IF(AND(ISNUMBER($B46),ISNUMBER(S$7)),ROUND(ABS($B46-S$7),6),"")</f>
        <v/>
      </c>
    </row>
    <row r="47">
      <c r="A47" s="6" t="n"/>
      <c r="B47" s="6" t="n"/>
      <c r="C47" s="4">
        <f>IF($B47="","",IF(ISNUMBER($B47),IF(COUNT($H47:$S47)=0,"No sizes",INDEX($H$7:$S$7,MATCH(MIN($H47:$S47),$H47:$S47,0))),"Check length"))</f>
        <v/>
      </c>
      <c r="D47" s="4">
        <f>IF(ISNUMBER(C47),MIN($H47:$S47),"")</f>
        <v/>
      </c>
      <c r="E47" s="4">
        <f>IF(ISNUMBER(C47),IF(COUNTIF($H$7:$S$7,"&gt;="&amp;B47)=0,"None",SMALL($H$7:$S$7,COUNTIF($H$7:$S$7,"&lt;"&amp;B47)+1)),"")</f>
        <v/>
      </c>
      <c r="F47" s="4">
        <f>IF(ISNUMBER(C47),IF(COUNTIF($H47:$S47,D47)&gt;1,"Tie, first listed used",""),"")</f>
        <v/>
      </c>
      <c r="H47" s="9">
        <f>IF(AND(ISNUMBER($B47),ISNUMBER(H$7)),ROUND(ABS($B47-H$7),6),"")</f>
        <v/>
      </c>
      <c r="I47" s="9">
        <f>IF(AND(ISNUMBER($B47),ISNUMBER(I$7)),ROUND(ABS($B47-I$7),6),"")</f>
        <v/>
      </c>
      <c r="J47" s="9">
        <f>IF(AND(ISNUMBER($B47),ISNUMBER(J$7)),ROUND(ABS($B47-J$7),6),"")</f>
        <v/>
      </c>
      <c r="K47" s="9">
        <f>IF(AND(ISNUMBER($B47),ISNUMBER(K$7)),ROUND(ABS($B47-K$7),6),"")</f>
        <v/>
      </c>
      <c r="L47" s="9">
        <f>IF(AND(ISNUMBER($B47),ISNUMBER(L$7)),ROUND(ABS($B47-L$7),6),"")</f>
        <v/>
      </c>
      <c r="M47" s="9">
        <f>IF(AND(ISNUMBER($B47),ISNUMBER(M$7)),ROUND(ABS($B47-M$7),6),"")</f>
        <v/>
      </c>
      <c r="N47" s="9">
        <f>IF(AND(ISNUMBER($B47),ISNUMBER(N$7)),ROUND(ABS($B47-N$7),6),"")</f>
        <v/>
      </c>
      <c r="O47" s="9">
        <f>IF(AND(ISNUMBER($B47),ISNUMBER(O$7)),ROUND(ABS($B47-O$7),6),"")</f>
        <v/>
      </c>
      <c r="P47" s="9">
        <f>IF(AND(ISNUMBER($B47),ISNUMBER(P$7)),ROUND(ABS($B47-P$7),6),"")</f>
        <v/>
      </c>
      <c r="Q47" s="9">
        <f>IF(AND(ISNUMBER($B47),ISNUMBER(Q$7)),ROUND(ABS($B47-Q$7),6),"")</f>
        <v/>
      </c>
      <c r="R47" s="9">
        <f>IF(AND(ISNUMBER($B47),ISNUMBER(R$7)),ROUND(ABS($B47-R$7),6),"")</f>
        <v/>
      </c>
      <c r="S47" s="9">
        <f>IF(AND(ISNUMBER($B47),ISNUMBER(S$7)),ROUND(ABS($B47-S$7),6),"")</f>
        <v/>
      </c>
    </row>
    <row r="48">
      <c r="A48" s="6" t="n"/>
      <c r="B48" s="6" t="n"/>
      <c r="C48" s="4">
        <f>IF($B48="","",IF(ISNUMBER($B48),IF(COUNT($H48:$S48)=0,"No sizes",INDEX($H$7:$S$7,MATCH(MIN($H48:$S48),$H48:$S48,0))),"Check length"))</f>
        <v/>
      </c>
      <c r="D48" s="4">
        <f>IF(ISNUMBER(C48),MIN($H48:$S48),"")</f>
        <v/>
      </c>
      <c r="E48" s="4">
        <f>IF(ISNUMBER(C48),IF(COUNTIF($H$7:$S$7,"&gt;="&amp;B48)=0,"None",SMALL($H$7:$S$7,COUNTIF($H$7:$S$7,"&lt;"&amp;B48)+1)),"")</f>
        <v/>
      </c>
      <c r="F48" s="4">
        <f>IF(ISNUMBER(C48),IF(COUNTIF($H48:$S48,D48)&gt;1,"Tie, first listed used",""),"")</f>
        <v/>
      </c>
      <c r="H48" s="9">
        <f>IF(AND(ISNUMBER($B48),ISNUMBER(H$7)),ROUND(ABS($B48-H$7),6),"")</f>
        <v/>
      </c>
      <c r="I48" s="9">
        <f>IF(AND(ISNUMBER($B48),ISNUMBER(I$7)),ROUND(ABS($B48-I$7),6),"")</f>
        <v/>
      </c>
      <c r="J48" s="9">
        <f>IF(AND(ISNUMBER($B48),ISNUMBER(J$7)),ROUND(ABS($B48-J$7),6),"")</f>
        <v/>
      </c>
      <c r="K48" s="9">
        <f>IF(AND(ISNUMBER($B48),ISNUMBER(K$7)),ROUND(ABS($B48-K$7),6),"")</f>
        <v/>
      </c>
      <c r="L48" s="9">
        <f>IF(AND(ISNUMBER($B48),ISNUMBER(L$7)),ROUND(ABS($B48-L$7),6),"")</f>
        <v/>
      </c>
      <c r="M48" s="9">
        <f>IF(AND(ISNUMBER($B48),ISNUMBER(M$7)),ROUND(ABS($B48-M$7),6),"")</f>
        <v/>
      </c>
      <c r="N48" s="9">
        <f>IF(AND(ISNUMBER($B48),ISNUMBER(N$7)),ROUND(ABS($B48-N$7),6),"")</f>
        <v/>
      </c>
      <c r="O48" s="9">
        <f>IF(AND(ISNUMBER($B48),ISNUMBER(O$7)),ROUND(ABS($B48-O$7),6),"")</f>
        <v/>
      </c>
      <c r="P48" s="9">
        <f>IF(AND(ISNUMBER($B48),ISNUMBER(P$7)),ROUND(ABS($B48-P$7),6),"")</f>
        <v/>
      </c>
      <c r="Q48" s="9">
        <f>IF(AND(ISNUMBER($B48),ISNUMBER(Q$7)),ROUND(ABS($B48-Q$7),6),"")</f>
        <v/>
      </c>
      <c r="R48" s="9">
        <f>IF(AND(ISNUMBER($B48),ISNUMBER(R$7)),ROUND(ABS($B48-R$7),6),"")</f>
        <v/>
      </c>
      <c r="S48" s="9">
        <f>IF(AND(ISNUMBER($B48),ISNUMBER(S$7)),ROUND(ABS($B48-S$7),6),"")</f>
        <v/>
      </c>
    </row>
    <row r="49">
      <c r="A49" s="6" t="n"/>
      <c r="B49" s="6" t="n"/>
      <c r="C49" s="4">
        <f>IF($B49="","",IF(ISNUMBER($B49),IF(COUNT($H49:$S49)=0,"No sizes",INDEX($H$7:$S$7,MATCH(MIN($H49:$S49),$H49:$S49,0))),"Check length"))</f>
        <v/>
      </c>
      <c r="D49" s="4">
        <f>IF(ISNUMBER(C49),MIN($H49:$S49),"")</f>
        <v/>
      </c>
      <c r="E49" s="4">
        <f>IF(ISNUMBER(C49),IF(COUNTIF($H$7:$S$7,"&gt;="&amp;B49)=0,"None",SMALL($H$7:$S$7,COUNTIF($H$7:$S$7,"&lt;"&amp;B49)+1)),"")</f>
        <v/>
      </c>
      <c r="F49" s="4">
        <f>IF(ISNUMBER(C49),IF(COUNTIF($H49:$S49,D49)&gt;1,"Tie, first listed used",""),"")</f>
        <v/>
      </c>
      <c r="H49" s="9">
        <f>IF(AND(ISNUMBER($B49),ISNUMBER(H$7)),ROUND(ABS($B49-H$7),6),"")</f>
        <v/>
      </c>
      <c r="I49" s="9">
        <f>IF(AND(ISNUMBER($B49),ISNUMBER(I$7)),ROUND(ABS($B49-I$7),6),"")</f>
        <v/>
      </c>
      <c r="J49" s="9">
        <f>IF(AND(ISNUMBER($B49),ISNUMBER(J$7)),ROUND(ABS($B49-J$7),6),"")</f>
        <v/>
      </c>
      <c r="K49" s="9">
        <f>IF(AND(ISNUMBER($B49),ISNUMBER(K$7)),ROUND(ABS($B49-K$7),6),"")</f>
        <v/>
      </c>
      <c r="L49" s="9">
        <f>IF(AND(ISNUMBER($B49),ISNUMBER(L$7)),ROUND(ABS($B49-L$7),6),"")</f>
        <v/>
      </c>
      <c r="M49" s="9">
        <f>IF(AND(ISNUMBER($B49),ISNUMBER(M$7)),ROUND(ABS($B49-M$7),6),"")</f>
        <v/>
      </c>
      <c r="N49" s="9">
        <f>IF(AND(ISNUMBER($B49),ISNUMBER(N$7)),ROUND(ABS($B49-N$7),6),"")</f>
        <v/>
      </c>
      <c r="O49" s="9">
        <f>IF(AND(ISNUMBER($B49),ISNUMBER(O$7)),ROUND(ABS($B49-O$7),6),"")</f>
        <v/>
      </c>
      <c r="P49" s="9">
        <f>IF(AND(ISNUMBER($B49),ISNUMBER(P$7)),ROUND(ABS($B49-P$7),6),"")</f>
        <v/>
      </c>
      <c r="Q49" s="9">
        <f>IF(AND(ISNUMBER($B49),ISNUMBER(Q$7)),ROUND(ABS($B49-Q$7),6),"")</f>
        <v/>
      </c>
      <c r="R49" s="9">
        <f>IF(AND(ISNUMBER($B49),ISNUMBER(R$7)),ROUND(ABS($B49-R$7),6),"")</f>
        <v/>
      </c>
      <c r="S49" s="9">
        <f>IF(AND(ISNUMBER($B49),ISNUMBER(S$7)),ROUND(ABS($B49-S$7),6),"")</f>
        <v/>
      </c>
    </row>
    <row r="50">
      <c r="A50" s="6" t="n"/>
      <c r="B50" s="6" t="n"/>
      <c r="C50" s="4">
        <f>IF($B50="","",IF(ISNUMBER($B50),IF(COUNT($H50:$S50)=0,"No sizes",INDEX($H$7:$S$7,MATCH(MIN($H50:$S50),$H50:$S50,0))),"Check length"))</f>
        <v/>
      </c>
      <c r="D50" s="4">
        <f>IF(ISNUMBER(C50),MIN($H50:$S50),"")</f>
        <v/>
      </c>
      <c r="E50" s="4">
        <f>IF(ISNUMBER(C50),IF(COUNTIF($H$7:$S$7,"&gt;="&amp;B50)=0,"None",SMALL($H$7:$S$7,COUNTIF($H$7:$S$7,"&lt;"&amp;B50)+1)),"")</f>
        <v/>
      </c>
      <c r="F50" s="4">
        <f>IF(ISNUMBER(C50),IF(COUNTIF($H50:$S50,D50)&gt;1,"Tie, first listed used",""),"")</f>
        <v/>
      </c>
      <c r="H50" s="9">
        <f>IF(AND(ISNUMBER($B50),ISNUMBER(H$7)),ROUND(ABS($B50-H$7),6),"")</f>
        <v/>
      </c>
      <c r="I50" s="9">
        <f>IF(AND(ISNUMBER($B50),ISNUMBER(I$7)),ROUND(ABS($B50-I$7),6),"")</f>
        <v/>
      </c>
      <c r="J50" s="9">
        <f>IF(AND(ISNUMBER($B50),ISNUMBER(J$7)),ROUND(ABS($B50-J$7),6),"")</f>
        <v/>
      </c>
      <c r="K50" s="9">
        <f>IF(AND(ISNUMBER($B50),ISNUMBER(K$7)),ROUND(ABS($B50-K$7),6),"")</f>
        <v/>
      </c>
      <c r="L50" s="9">
        <f>IF(AND(ISNUMBER($B50),ISNUMBER(L$7)),ROUND(ABS($B50-L$7),6),"")</f>
        <v/>
      </c>
      <c r="M50" s="9">
        <f>IF(AND(ISNUMBER($B50),ISNUMBER(M$7)),ROUND(ABS($B50-M$7),6),"")</f>
        <v/>
      </c>
      <c r="N50" s="9">
        <f>IF(AND(ISNUMBER($B50),ISNUMBER(N$7)),ROUND(ABS($B50-N$7),6),"")</f>
        <v/>
      </c>
      <c r="O50" s="9">
        <f>IF(AND(ISNUMBER($B50),ISNUMBER(O$7)),ROUND(ABS($B50-O$7),6),"")</f>
        <v/>
      </c>
      <c r="P50" s="9">
        <f>IF(AND(ISNUMBER($B50),ISNUMBER(P$7)),ROUND(ABS($B50-P$7),6),"")</f>
        <v/>
      </c>
      <c r="Q50" s="9">
        <f>IF(AND(ISNUMBER($B50),ISNUMBER(Q$7)),ROUND(ABS($B50-Q$7),6),"")</f>
        <v/>
      </c>
      <c r="R50" s="9">
        <f>IF(AND(ISNUMBER($B50),ISNUMBER(R$7)),ROUND(ABS($B50-R$7),6),"")</f>
        <v/>
      </c>
      <c r="S50" s="9">
        <f>IF(AND(ISNUMBER($B50),ISNUMBER(S$7)),ROUND(ABS($B50-S$7),6),"")</f>
        <v/>
      </c>
    </row>
    <row r="51">
      <c r="A51" s="6" t="n"/>
      <c r="B51" s="6" t="n"/>
      <c r="C51" s="4">
        <f>IF($B51="","",IF(ISNUMBER($B51),IF(COUNT($H51:$S51)=0,"No sizes",INDEX($H$7:$S$7,MATCH(MIN($H51:$S51),$H51:$S51,0))),"Check length"))</f>
        <v/>
      </c>
      <c r="D51" s="4">
        <f>IF(ISNUMBER(C51),MIN($H51:$S51),"")</f>
        <v/>
      </c>
      <c r="E51" s="4">
        <f>IF(ISNUMBER(C51),IF(COUNTIF($H$7:$S$7,"&gt;="&amp;B51)=0,"None",SMALL($H$7:$S$7,COUNTIF($H$7:$S$7,"&lt;"&amp;B51)+1)),"")</f>
        <v/>
      </c>
      <c r="F51" s="4">
        <f>IF(ISNUMBER(C51),IF(COUNTIF($H51:$S51,D51)&gt;1,"Tie, first listed used",""),"")</f>
        <v/>
      </c>
      <c r="H51" s="9">
        <f>IF(AND(ISNUMBER($B51),ISNUMBER(H$7)),ROUND(ABS($B51-H$7),6),"")</f>
        <v/>
      </c>
      <c r="I51" s="9">
        <f>IF(AND(ISNUMBER($B51),ISNUMBER(I$7)),ROUND(ABS($B51-I$7),6),"")</f>
        <v/>
      </c>
      <c r="J51" s="9">
        <f>IF(AND(ISNUMBER($B51),ISNUMBER(J$7)),ROUND(ABS($B51-J$7),6),"")</f>
        <v/>
      </c>
      <c r="K51" s="9">
        <f>IF(AND(ISNUMBER($B51),ISNUMBER(K$7)),ROUND(ABS($B51-K$7),6),"")</f>
        <v/>
      </c>
      <c r="L51" s="9">
        <f>IF(AND(ISNUMBER($B51),ISNUMBER(L$7)),ROUND(ABS($B51-L$7),6),"")</f>
        <v/>
      </c>
      <c r="M51" s="9">
        <f>IF(AND(ISNUMBER($B51),ISNUMBER(M$7)),ROUND(ABS($B51-M$7),6),"")</f>
        <v/>
      </c>
      <c r="N51" s="9">
        <f>IF(AND(ISNUMBER($B51),ISNUMBER(N$7)),ROUND(ABS($B51-N$7),6),"")</f>
        <v/>
      </c>
      <c r="O51" s="9">
        <f>IF(AND(ISNUMBER($B51),ISNUMBER(O$7)),ROUND(ABS($B51-O$7),6),"")</f>
        <v/>
      </c>
      <c r="P51" s="9">
        <f>IF(AND(ISNUMBER($B51),ISNUMBER(P$7)),ROUND(ABS($B51-P$7),6),"")</f>
        <v/>
      </c>
      <c r="Q51" s="9">
        <f>IF(AND(ISNUMBER($B51),ISNUMBER(Q$7)),ROUND(ABS($B51-Q$7),6),"")</f>
        <v/>
      </c>
      <c r="R51" s="9">
        <f>IF(AND(ISNUMBER($B51),ISNUMBER(R$7)),ROUND(ABS($B51-R$7),6),"")</f>
        <v/>
      </c>
      <c r="S51" s="9">
        <f>IF(AND(ISNUMBER($B51),ISNUMBER(S$7)),ROUND(ABS($B51-S$7),6),"")</f>
        <v/>
      </c>
    </row>
    <row r="52">
      <c r="A52" s="6" t="n"/>
      <c r="B52" s="6" t="n"/>
      <c r="C52" s="4">
        <f>IF($B52="","",IF(ISNUMBER($B52),IF(COUNT($H52:$S52)=0,"No sizes",INDEX($H$7:$S$7,MATCH(MIN($H52:$S52),$H52:$S52,0))),"Check length"))</f>
        <v/>
      </c>
      <c r="D52" s="4">
        <f>IF(ISNUMBER(C52),MIN($H52:$S52),"")</f>
        <v/>
      </c>
      <c r="E52" s="4">
        <f>IF(ISNUMBER(C52),IF(COUNTIF($H$7:$S$7,"&gt;="&amp;B52)=0,"None",SMALL($H$7:$S$7,COUNTIF($H$7:$S$7,"&lt;"&amp;B52)+1)),"")</f>
        <v/>
      </c>
      <c r="F52" s="4">
        <f>IF(ISNUMBER(C52),IF(COUNTIF($H52:$S52,D52)&gt;1,"Tie, first listed used",""),"")</f>
        <v/>
      </c>
      <c r="H52" s="9">
        <f>IF(AND(ISNUMBER($B52),ISNUMBER(H$7)),ROUND(ABS($B52-H$7),6),"")</f>
        <v/>
      </c>
      <c r="I52" s="9">
        <f>IF(AND(ISNUMBER($B52),ISNUMBER(I$7)),ROUND(ABS($B52-I$7),6),"")</f>
        <v/>
      </c>
      <c r="J52" s="9">
        <f>IF(AND(ISNUMBER($B52),ISNUMBER(J$7)),ROUND(ABS($B52-J$7),6),"")</f>
        <v/>
      </c>
      <c r="K52" s="9">
        <f>IF(AND(ISNUMBER($B52),ISNUMBER(K$7)),ROUND(ABS($B52-K$7),6),"")</f>
        <v/>
      </c>
      <c r="L52" s="9">
        <f>IF(AND(ISNUMBER($B52),ISNUMBER(L$7)),ROUND(ABS($B52-L$7),6),"")</f>
        <v/>
      </c>
      <c r="M52" s="9">
        <f>IF(AND(ISNUMBER($B52),ISNUMBER(M$7)),ROUND(ABS($B52-M$7),6),"")</f>
        <v/>
      </c>
      <c r="N52" s="9">
        <f>IF(AND(ISNUMBER($B52),ISNUMBER(N$7)),ROUND(ABS($B52-N$7),6),"")</f>
        <v/>
      </c>
      <c r="O52" s="9">
        <f>IF(AND(ISNUMBER($B52),ISNUMBER(O$7)),ROUND(ABS($B52-O$7),6),"")</f>
        <v/>
      </c>
      <c r="P52" s="9">
        <f>IF(AND(ISNUMBER($B52),ISNUMBER(P$7)),ROUND(ABS($B52-P$7),6),"")</f>
        <v/>
      </c>
      <c r="Q52" s="9">
        <f>IF(AND(ISNUMBER($B52),ISNUMBER(Q$7)),ROUND(ABS($B52-Q$7),6),"")</f>
        <v/>
      </c>
      <c r="R52" s="9">
        <f>IF(AND(ISNUMBER($B52),ISNUMBER(R$7)),ROUND(ABS($B52-R$7),6),"")</f>
        <v/>
      </c>
      <c r="S52" s="9">
        <f>IF(AND(ISNUMBER($B52),ISNUMBER(S$7)),ROUND(ABS($B52-S$7),6),"")</f>
        <v/>
      </c>
    </row>
    <row r="53">
      <c r="A53" s="6" t="n"/>
      <c r="B53" s="6" t="n"/>
      <c r="C53" s="4">
        <f>IF($B53="","",IF(ISNUMBER($B53),IF(COUNT($H53:$S53)=0,"No sizes",INDEX($H$7:$S$7,MATCH(MIN($H53:$S53),$H53:$S53,0))),"Check length"))</f>
        <v/>
      </c>
      <c r="D53" s="4">
        <f>IF(ISNUMBER(C53),MIN($H53:$S53),"")</f>
        <v/>
      </c>
      <c r="E53" s="4">
        <f>IF(ISNUMBER(C53),IF(COUNTIF($H$7:$S$7,"&gt;="&amp;B53)=0,"None",SMALL($H$7:$S$7,COUNTIF($H$7:$S$7,"&lt;"&amp;B53)+1)),"")</f>
        <v/>
      </c>
      <c r="F53" s="4">
        <f>IF(ISNUMBER(C53),IF(COUNTIF($H53:$S53,D53)&gt;1,"Tie, first listed used",""),"")</f>
        <v/>
      </c>
      <c r="H53" s="9">
        <f>IF(AND(ISNUMBER($B53),ISNUMBER(H$7)),ROUND(ABS($B53-H$7),6),"")</f>
        <v/>
      </c>
      <c r="I53" s="9">
        <f>IF(AND(ISNUMBER($B53),ISNUMBER(I$7)),ROUND(ABS($B53-I$7),6),"")</f>
        <v/>
      </c>
      <c r="J53" s="9">
        <f>IF(AND(ISNUMBER($B53),ISNUMBER(J$7)),ROUND(ABS($B53-J$7),6),"")</f>
        <v/>
      </c>
      <c r="K53" s="9">
        <f>IF(AND(ISNUMBER($B53),ISNUMBER(K$7)),ROUND(ABS($B53-K$7),6),"")</f>
        <v/>
      </c>
      <c r="L53" s="9">
        <f>IF(AND(ISNUMBER($B53),ISNUMBER(L$7)),ROUND(ABS($B53-L$7),6),"")</f>
        <v/>
      </c>
      <c r="M53" s="9">
        <f>IF(AND(ISNUMBER($B53),ISNUMBER(M$7)),ROUND(ABS($B53-M$7),6),"")</f>
        <v/>
      </c>
      <c r="N53" s="9">
        <f>IF(AND(ISNUMBER($B53),ISNUMBER(N$7)),ROUND(ABS($B53-N$7),6),"")</f>
        <v/>
      </c>
      <c r="O53" s="9">
        <f>IF(AND(ISNUMBER($B53),ISNUMBER(O$7)),ROUND(ABS($B53-O$7),6),"")</f>
        <v/>
      </c>
      <c r="P53" s="9">
        <f>IF(AND(ISNUMBER($B53),ISNUMBER(P$7)),ROUND(ABS($B53-P$7),6),"")</f>
        <v/>
      </c>
      <c r="Q53" s="9">
        <f>IF(AND(ISNUMBER($B53),ISNUMBER(Q$7)),ROUND(ABS($B53-Q$7),6),"")</f>
        <v/>
      </c>
      <c r="R53" s="9">
        <f>IF(AND(ISNUMBER($B53),ISNUMBER(R$7)),ROUND(ABS($B53-R$7),6),"")</f>
        <v/>
      </c>
      <c r="S53" s="9">
        <f>IF(AND(ISNUMBER($B53),ISNUMBER(S$7)),ROUND(ABS($B53-S$7),6),"")</f>
        <v/>
      </c>
    </row>
    <row r="54">
      <c r="A54" s="6" t="n"/>
      <c r="B54" s="6" t="n"/>
      <c r="C54" s="4">
        <f>IF($B54="","",IF(ISNUMBER($B54),IF(COUNT($H54:$S54)=0,"No sizes",INDEX($H$7:$S$7,MATCH(MIN($H54:$S54),$H54:$S54,0))),"Check length"))</f>
        <v/>
      </c>
      <c r="D54" s="4">
        <f>IF(ISNUMBER(C54),MIN($H54:$S54),"")</f>
        <v/>
      </c>
      <c r="E54" s="4">
        <f>IF(ISNUMBER(C54),IF(COUNTIF($H$7:$S$7,"&gt;="&amp;B54)=0,"None",SMALL($H$7:$S$7,COUNTIF($H$7:$S$7,"&lt;"&amp;B54)+1)),"")</f>
        <v/>
      </c>
      <c r="F54" s="4">
        <f>IF(ISNUMBER(C54),IF(COUNTIF($H54:$S54,D54)&gt;1,"Tie, first listed used",""),"")</f>
        <v/>
      </c>
      <c r="H54" s="9">
        <f>IF(AND(ISNUMBER($B54),ISNUMBER(H$7)),ROUND(ABS($B54-H$7),6),"")</f>
        <v/>
      </c>
      <c r="I54" s="9">
        <f>IF(AND(ISNUMBER($B54),ISNUMBER(I$7)),ROUND(ABS($B54-I$7),6),"")</f>
        <v/>
      </c>
      <c r="J54" s="9">
        <f>IF(AND(ISNUMBER($B54),ISNUMBER(J$7)),ROUND(ABS($B54-J$7),6),"")</f>
        <v/>
      </c>
      <c r="K54" s="9">
        <f>IF(AND(ISNUMBER($B54),ISNUMBER(K$7)),ROUND(ABS($B54-K$7),6),"")</f>
        <v/>
      </c>
      <c r="L54" s="9">
        <f>IF(AND(ISNUMBER($B54),ISNUMBER(L$7)),ROUND(ABS($B54-L$7),6),"")</f>
        <v/>
      </c>
      <c r="M54" s="9">
        <f>IF(AND(ISNUMBER($B54),ISNUMBER(M$7)),ROUND(ABS($B54-M$7),6),"")</f>
        <v/>
      </c>
      <c r="N54" s="9">
        <f>IF(AND(ISNUMBER($B54),ISNUMBER(N$7)),ROUND(ABS($B54-N$7),6),"")</f>
        <v/>
      </c>
      <c r="O54" s="9">
        <f>IF(AND(ISNUMBER($B54),ISNUMBER(O$7)),ROUND(ABS($B54-O$7),6),"")</f>
        <v/>
      </c>
      <c r="P54" s="9">
        <f>IF(AND(ISNUMBER($B54),ISNUMBER(P$7)),ROUND(ABS($B54-P$7),6),"")</f>
        <v/>
      </c>
      <c r="Q54" s="9">
        <f>IF(AND(ISNUMBER($B54),ISNUMBER(Q$7)),ROUND(ABS($B54-Q$7),6),"")</f>
        <v/>
      </c>
      <c r="R54" s="9">
        <f>IF(AND(ISNUMBER($B54),ISNUMBER(R$7)),ROUND(ABS($B54-R$7),6),"")</f>
        <v/>
      </c>
      <c r="S54" s="9">
        <f>IF(AND(ISNUMBER($B54),ISNUMBER(S$7)),ROUND(ABS($B54-S$7),6),"")</f>
        <v/>
      </c>
    </row>
    <row r="55">
      <c r="A55" s="6" t="n"/>
      <c r="B55" s="6" t="n"/>
      <c r="C55" s="4">
        <f>IF($B55="","",IF(ISNUMBER($B55),IF(COUNT($H55:$S55)=0,"No sizes",INDEX($H$7:$S$7,MATCH(MIN($H55:$S55),$H55:$S55,0))),"Check length"))</f>
        <v/>
      </c>
      <c r="D55" s="4">
        <f>IF(ISNUMBER(C55),MIN($H55:$S55),"")</f>
        <v/>
      </c>
      <c r="E55" s="4">
        <f>IF(ISNUMBER(C55),IF(COUNTIF($H$7:$S$7,"&gt;="&amp;B55)=0,"None",SMALL($H$7:$S$7,COUNTIF($H$7:$S$7,"&lt;"&amp;B55)+1)),"")</f>
        <v/>
      </c>
      <c r="F55" s="4">
        <f>IF(ISNUMBER(C55),IF(COUNTIF($H55:$S55,D55)&gt;1,"Tie, first listed used",""),"")</f>
        <v/>
      </c>
      <c r="H55" s="9">
        <f>IF(AND(ISNUMBER($B55),ISNUMBER(H$7)),ROUND(ABS($B55-H$7),6),"")</f>
        <v/>
      </c>
      <c r="I55" s="9">
        <f>IF(AND(ISNUMBER($B55),ISNUMBER(I$7)),ROUND(ABS($B55-I$7),6),"")</f>
        <v/>
      </c>
      <c r="J55" s="9">
        <f>IF(AND(ISNUMBER($B55),ISNUMBER(J$7)),ROUND(ABS($B55-J$7),6),"")</f>
        <v/>
      </c>
      <c r="K55" s="9">
        <f>IF(AND(ISNUMBER($B55),ISNUMBER(K$7)),ROUND(ABS($B55-K$7),6),"")</f>
        <v/>
      </c>
      <c r="L55" s="9">
        <f>IF(AND(ISNUMBER($B55),ISNUMBER(L$7)),ROUND(ABS($B55-L$7),6),"")</f>
        <v/>
      </c>
      <c r="M55" s="9">
        <f>IF(AND(ISNUMBER($B55),ISNUMBER(M$7)),ROUND(ABS($B55-M$7),6),"")</f>
        <v/>
      </c>
      <c r="N55" s="9">
        <f>IF(AND(ISNUMBER($B55),ISNUMBER(N$7)),ROUND(ABS($B55-N$7),6),"")</f>
        <v/>
      </c>
      <c r="O55" s="9">
        <f>IF(AND(ISNUMBER($B55),ISNUMBER(O$7)),ROUND(ABS($B55-O$7),6),"")</f>
        <v/>
      </c>
      <c r="P55" s="9">
        <f>IF(AND(ISNUMBER($B55),ISNUMBER(P$7)),ROUND(ABS($B55-P$7),6),"")</f>
        <v/>
      </c>
      <c r="Q55" s="9">
        <f>IF(AND(ISNUMBER($B55),ISNUMBER(Q$7)),ROUND(ABS($B55-Q$7),6),"")</f>
        <v/>
      </c>
      <c r="R55" s="9">
        <f>IF(AND(ISNUMBER($B55),ISNUMBER(R$7)),ROUND(ABS($B55-R$7),6),"")</f>
        <v/>
      </c>
      <c r="S55" s="9">
        <f>IF(AND(ISNUMBER($B55),ISNUMBER(S$7)),ROUND(ABS($B55-S$7),6),"")</f>
        <v/>
      </c>
    </row>
    <row r="56">
      <c r="A56" s="6" t="n"/>
      <c r="B56" s="6" t="n"/>
      <c r="C56" s="4">
        <f>IF($B56="","",IF(ISNUMBER($B56),IF(COUNT($H56:$S56)=0,"No sizes",INDEX($H$7:$S$7,MATCH(MIN($H56:$S56),$H56:$S56,0))),"Check length"))</f>
        <v/>
      </c>
      <c r="D56" s="4">
        <f>IF(ISNUMBER(C56),MIN($H56:$S56),"")</f>
        <v/>
      </c>
      <c r="E56" s="4">
        <f>IF(ISNUMBER(C56),IF(COUNTIF($H$7:$S$7,"&gt;="&amp;B56)=0,"None",SMALL($H$7:$S$7,COUNTIF($H$7:$S$7,"&lt;"&amp;B56)+1)),"")</f>
        <v/>
      </c>
      <c r="F56" s="4">
        <f>IF(ISNUMBER(C56),IF(COUNTIF($H56:$S56,D56)&gt;1,"Tie, first listed used",""),"")</f>
        <v/>
      </c>
      <c r="H56" s="9">
        <f>IF(AND(ISNUMBER($B56),ISNUMBER(H$7)),ROUND(ABS($B56-H$7),6),"")</f>
        <v/>
      </c>
      <c r="I56" s="9">
        <f>IF(AND(ISNUMBER($B56),ISNUMBER(I$7)),ROUND(ABS($B56-I$7),6),"")</f>
        <v/>
      </c>
      <c r="J56" s="9">
        <f>IF(AND(ISNUMBER($B56),ISNUMBER(J$7)),ROUND(ABS($B56-J$7),6),"")</f>
        <v/>
      </c>
      <c r="K56" s="9">
        <f>IF(AND(ISNUMBER($B56),ISNUMBER(K$7)),ROUND(ABS($B56-K$7),6),"")</f>
        <v/>
      </c>
      <c r="L56" s="9">
        <f>IF(AND(ISNUMBER($B56),ISNUMBER(L$7)),ROUND(ABS($B56-L$7),6),"")</f>
        <v/>
      </c>
      <c r="M56" s="9">
        <f>IF(AND(ISNUMBER($B56),ISNUMBER(M$7)),ROUND(ABS($B56-M$7),6),"")</f>
        <v/>
      </c>
      <c r="N56" s="9">
        <f>IF(AND(ISNUMBER($B56),ISNUMBER(N$7)),ROUND(ABS($B56-N$7),6),"")</f>
        <v/>
      </c>
      <c r="O56" s="9">
        <f>IF(AND(ISNUMBER($B56),ISNUMBER(O$7)),ROUND(ABS($B56-O$7),6),"")</f>
        <v/>
      </c>
      <c r="P56" s="9">
        <f>IF(AND(ISNUMBER($B56),ISNUMBER(P$7)),ROUND(ABS($B56-P$7),6),"")</f>
        <v/>
      </c>
      <c r="Q56" s="9">
        <f>IF(AND(ISNUMBER($B56),ISNUMBER(Q$7)),ROUND(ABS($B56-Q$7),6),"")</f>
        <v/>
      </c>
      <c r="R56" s="9">
        <f>IF(AND(ISNUMBER($B56),ISNUMBER(R$7)),ROUND(ABS($B56-R$7),6),"")</f>
        <v/>
      </c>
      <c r="S56" s="9">
        <f>IF(AND(ISNUMBER($B56),ISNUMBER(S$7)),ROUND(ABS($B56-S$7),6),"")</f>
        <v/>
      </c>
    </row>
    <row r="57">
      <c r="A57" s="6" t="n"/>
      <c r="B57" s="6" t="n"/>
      <c r="C57" s="4">
        <f>IF($B57="","",IF(ISNUMBER($B57),IF(COUNT($H57:$S57)=0,"No sizes",INDEX($H$7:$S$7,MATCH(MIN($H57:$S57),$H57:$S57,0))),"Check length"))</f>
        <v/>
      </c>
      <c r="D57" s="4">
        <f>IF(ISNUMBER(C57),MIN($H57:$S57),"")</f>
        <v/>
      </c>
      <c r="E57" s="4">
        <f>IF(ISNUMBER(C57),IF(COUNTIF($H$7:$S$7,"&gt;="&amp;B57)=0,"None",SMALL($H$7:$S$7,COUNTIF($H$7:$S$7,"&lt;"&amp;B57)+1)),"")</f>
        <v/>
      </c>
      <c r="F57" s="4">
        <f>IF(ISNUMBER(C57),IF(COUNTIF($H57:$S57,D57)&gt;1,"Tie, first listed used",""),"")</f>
        <v/>
      </c>
      <c r="H57" s="9">
        <f>IF(AND(ISNUMBER($B57),ISNUMBER(H$7)),ROUND(ABS($B57-H$7),6),"")</f>
        <v/>
      </c>
      <c r="I57" s="9">
        <f>IF(AND(ISNUMBER($B57),ISNUMBER(I$7)),ROUND(ABS($B57-I$7),6),"")</f>
        <v/>
      </c>
      <c r="J57" s="9">
        <f>IF(AND(ISNUMBER($B57),ISNUMBER(J$7)),ROUND(ABS($B57-J$7),6),"")</f>
        <v/>
      </c>
      <c r="K57" s="9">
        <f>IF(AND(ISNUMBER($B57),ISNUMBER(K$7)),ROUND(ABS($B57-K$7),6),"")</f>
        <v/>
      </c>
      <c r="L57" s="9">
        <f>IF(AND(ISNUMBER($B57),ISNUMBER(L$7)),ROUND(ABS($B57-L$7),6),"")</f>
        <v/>
      </c>
      <c r="M57" s="9">
        <f>IF(AND(ISNUMBER($B57),ISNUMBER(M$7)),ROUND(ABS($B57-M$7),6),"")</f>
        <v/>
      </c>
      <c r="N57" s="9">
        <f>IF(AND(ISNUMBER($B57),ISNUMBER(N$7)),ROUND(ABS($B57-N$7),6),"")</f>
        <v/>
      </c>
      <c r="O57" s="9">
        <f>IF(AND(ISNUMBER($B57),ISNUMBER(O$7)),ROUND(ABS($B57-O$7),6),"")</f>
        <v/>
      </c>
      <c r="P57" s="9">
        <f>IF(AND(ISNUMBER($B57),ISNUMBER(P$7)),ROUND(ABS($B57-P$7),6),"")</f>
        <v/>
      </c>
      <c r="Q57" s="9">
        <f>IF(AND(ISNUMBER($B57),ISNUMBER(Q$7)),ROUND(ABS($B57-Q$7),6),"")</f>
        <v/>
      </c>
      <c r="R57" s="9">
        <f>IF(AND(ISNUMBER($B57),ISNUMBER(R$7)),ROUND(ABS($B57-R$7),6),"")</f>
        <v/>
      </c>
      <c r="S57" s="9">
        <f>IF(AND(ISNUMBER($B57),ISNUMBER(S$7)),ROUND(ABS($B57-S$7),6),"")</f>
        <v/>
      </c>
    </row>
    <row r="58">
      <c r="A58" s="6" t="n"/>
      <c r="B58" s="6" t="n"/>
      <c r="C58" s="4">
        <f>IF($B58="","",IF(ISNUMBER($B58),IF(COUNT($H58:$S58)=0,"No sizes",INDEX($H$7:$S$7,MATCH(MIN($H58:$S58),$H58:$S58,0))),"Check length"))</f>
        <v/>
      </c>
      <c r="D58" s="4">
        <f>IF(ISNUMBER(C58),MIN($H58:$S58),"")</f>
        <v/>
      </c>
      <c r="E58" s="4">
        <f>IF(ISNUMBER(C58),IF(COUNTIF($H$7:$S$7,"&gt;="&amp;B58)=0,"None",SMALL($H$7:$S$7,COUNTIF($H$7:$S$7,"&lt;"&amp;B58)+1)),"")</f>
        <v/>
      </c>
      <c r="F58" s="4">
        <f>IF(ISNUMBER(C58),IF(COUNTIF($H58:$S58,D58)&gt;1,"Tie, first listed used",""),"")</f>
        <v/>
      </c>
      <c r="H58" s="9">
        <f>IF(AND(ISNUMBER($B58),ISNUMBER(H$7)),ROUND(ABS($B58-H$7),6),"")</f>
        <v/>
      </c>
      <c r="I58" s="9">
        <f>IF(AND(ISNUMBER($B58),ISNUMBER(I$7)),ROUND(ABS($B58-I$7),6),"")</f>
        <v/>
      </c>
      <c r="J58" s="9">
        <f>IF(AND(ISNUMBER($B58),ISNUMBER(J$7)),ROUND(ABS($B58-J$7),6),"")</f>
        <v/>
      </c>
      <c r="K58" s="9">
        <f>IF(AND(ISNUMBER($B58),ISNUMBER(K$7)),ROUND(ABS($B58-K$7),6),"")</f>
        <v/>
      </c>
      <c r="L58" s="9">
        <f>IF(AND(ISNUMBER($B58),ISNUMBER(L$7)),ROUND(ABS($B58-L$7),6),"")</f>
        <v/>
      </c>
      <c r="M58" s="9">
        <f>IF(AND(ISNUMBER($B58),ISNUMBER(M$7)),ROUND(ABS($B58-M$7),6),"")</f>
        <v/>
      </c>
      <c r="N58" s="9">
        <f>IF(AND(ISNUMBER($B58),ISNUMBER(N$7)),ROUND(ABS($B58-N$7),6),"")</f>
        <v/>
      </c>
      <c r="O58" s="9">
        <f>IF(AND(ISNUMBER($B58),ISNUMBER(O$7)),ROUND(ABS($B58-O$7),6),"")</f>
        <v/>
      </c>
      <c r="P58" s="9">
        <f>IF(AND(ISNUMBER($B58),ISNUMBER(P$7)),ROUND(ABS($B58-P$7),6),"")</f>
        <v/>
      </c>
      <c r="Q58" s="9">
        <f>IF(AND(ISNUMBER($B58),ISNUMBER(Q$7)),ROUND(ABS($B58-Q$7),6),"")</f>
        <v/>
      </c>
      <c r="R58" s="9">
        <f>IF(AND(ISNUMBER($B58),ISNUMBER(R$7)),ROUND(ABS($B58-R$7),6),"")</f>
        <v/>
      </c>
      <c r="S58" s="9">
        <f>IF(AND(ISNUMBER($B58),ISNUMBER(S$7)),ROUND(ABS($B58-S$7),6),"")</f>
        <v/>
      </c>
    </row>
    <row r="59">
      <c r="A59" s="6" t="n"/>
      <c r="B59" s="6" t="n"/>
      <c r="C59" s="4">
        <f>IF($B59="","",IF(ISNUMBER($B59),IF(COUNT($H59:$S59)=0,"No sizes",INDEX($H$7:$S$7,MATCH(MIN($H59:$S59),$H59:$S59,0))),"Check length"))</f>
        <v/>
      </c>
      <c r="D59" s="4">
        <f>IF(ISNUMBER(C59),MIN($H59:$S59),"")</f>
        <v/>
      </c>
      <c r="E59" s="4">
        <f>IF(ISNUMBER(C59),IF(COUNTIF($H$7:$S$7,"&gt;="&amp;B59)=0,"None",SMALL($H$7:$S$7,COUNTIF($H$7:$S$7,"&lt;"&amp;B59)+1)),"")</f>
        <v/>
      </c>
      <c r="F59" s="4">
        <f>IF(ISNUMBER(C59),IF(COUNTIF($H59:$S59,D59)&gt;1,"Tie, first listed used",""),"")</f>
        <v/>
      </c>
      <c r="H59" s="9">
        <f>IF(AND(ISNUMBER($B59),ISNUMBER(H$7)),ROUND(ABS($B59-H$7),6),"")</f>
        <v/>
      </c>
      <c r="I59" s="9">
        <f>IF(AND(ISNUMBER($B59),ISNUMBER(I$7)),ROUND(ABS($B59-I$7),6),"")</f>
        <v/>
      </c>
      <c r="J59" s="9">
        <f>IF(AND(ISNUMBER($B59),ISNUMBER(J$7)),ROUND(ABS($B59-J$7),6),"")</f>
        <v/>
      </c>
      <c r="K59" s="9">
        <f>IF(AND(ISNUMBER($B59),ISNUMBER(K$7)),ROUND(ABS($B59-K$7),6),"")</f>
        <v/>
      </c>
      <c r="L59" s="9">
        <f>IF(AND(ISNUMBER($B59),ISNUMBER(L$7)),ROUND(ABS($B59-L$7),6),"")</f>
        <v/>
      </c>
      <c r="M59" s="9">
        <f>IF(AND(ISNUMBER($B59),ISNUMBER(M$7)),ROUND(ABS($B59-M$7),6),"")</f>
        <v/>
      </c>
      <c r="N59" s="9">
        <f>IF(AND(ISNUMBER($B59),ISNUMBER(N$7)),ROUND(ABS($B59-N$7),6),"")</f>
        <v/>
      </c>
      <c r="O59" s="9">
        <f>IF(AND(ISNUMBER($B59),ISNUMBER(O$7)),ROUND(ABS($B59-O$7),6),"")</f>
        <v/>
      </c>
      <c r="P59" s="9">
        <f>IF(AND(ISNUMBER($B59),ISNUMBER(P$7)),ROUND(ABS($B59-P$7),6),"")</f>
        <v/>
      </c>
      <c r="Q59" s="9">
        <f>IF(AND(ISNUMBER($B59),ISNUMBER(Q$7)),ROUND(ABS($B59-Q$7),6),"")</f>
        <v/>
      </c>
      <c r="R59" s="9">
        <f>IF(AND(ISNUMBER($B59),ISNUMBER(R$7)),ROUND(ABS($B59-R$7),6),"")</f>
        <v/>
      </c>
      <c r="S59" s="9">
        <f>IF(AND(ISNUMBER($B59),ISNUMBER(S$7)),ROUND(ABS($B59-S$7),6),"")</f>
        <v/>
      </c>
    </row>
    <row r="60">
      <c r="A60" s="6" t="n"/>
      <c r="B60" s="6" t="n"/>
      <c r="C60" s="4">
        <f>IF($B60="","",IF(ISNUMBER($B60),IF(COUNT($H60:$S60)=0,"No sizes",INDEX($H$7:$S$7,MATCH(MIN($H60:$S60),$H60:$S60,0))),"Check length"))</f>
        <v/>
      </c>
      <c r="D60" s="4">
        <f>IF(ISNUMBER(C60),MIN($H60:$S60),"")</f>
        <v/>
      </c>
      <c r="E60" s="4">
        <f>IF(ISNUMBER(C60),IF(COUNTIF($H$7:$S$7,"&gt;="&amp;B60)=0,"None",SMALL($H$7:$S$7,COUNTIF($H$7:$S$7,"&lt;"&amp;B60)+1)),"")</f>
        <v/>
      </c>
      <c r="F60" s="4">
        <f>IF(ISNUMBER(C60),IF(COUNTIF($H60:$S60,D60)&gt;1,"Tie, first listed used",""),"")</f>
        <v/>
      </c>
      <c r="H60" s="9">
        <f>IF(AND(ISNUMBER($B60),ISNUMBER(H$7)),ROUND(ABS($B60-H$7),6),"")</f>
        <v/>
      </c>
      <c r="I60" s="9">
        <f>IF(AND(ISNUMBER($B60),ISNUMBER(I$7)),ROUND(ABS($B60-I$7),6),"")</f>
        <v/>
      </c>
      <c r="J60" s="9">
        <f>IF(AND(ISNUMBER($B60),ISNUMBER(J$7)),ROUND(ABS($B60-J$7),6),"")</f>
        <v/>
      </c>
      <c r="K60" s="9">
        <f>IF(AND(ISNUMBER($B60),ISNUMBER(K$7)),ROUND(ABS($B60-K$7),6),"")</f>
        <v/>
      </c>
      <c r="L60" s="9">
        <f>IF(AND(ISNUMBER($B60),ISNUMBER(L$7)),ROUND(ABS($B60-L$7),6),"")</f>
        <v/>
      </c>
      <c r="M60" s="9">
        <f>IF(AND(ISNUMBER($B60),ISNUMBER(M$7)),ROUND(ABS($B60-M$7),6),"")</f>
        <v/>
      </c>
      <c r="N60" s="9">
        <f>IF(AND(ISNUMBER($B60),ISNUMBER(N$7)),ROUND(ABS($B60-N$7),6),"")</f>
        <v/>
      </c>
      <c r="O60" s="9">
        <f>IF(AND(ISNUMBER($B60),ISNUMBER(O$7)),ROUND(ABS($B60-O$7),6),"")</f>
        <v/>
      </c>
      <c r="P60" s="9">
        <f>IF(AND(ISNUMBER($B60),ISNUMBER(P$7)),ROUND(ABS($B60-P$7),6),"")</f>
        <v/>
      </c>
      <c r="Q60" s="9">
        <f>IF(AND(ISNUMBER($B60),ISNUMBER(Q$7)),ROUND(ABS($B60-Q$7),6),"")</f>
        <v/>
      </c>
      <c r="R60" s="9">
        <f>IF(AND(ISNUMBER($B60),ISNUMBER(R$7)),ROUND(ABS($B60-R$7),6),"")</f>
        <v/>
      </c>
      <c r="S60" s="9">
        <f>IF(AND(ISNUMBER($B60),ISNUMBER(S$7)),ROUND(ABS($B60-S$7),6),"")</f>
        <v/>
      </c>
    </row>
    <row r="61">
      <c r="A61" s="6" t="n"/>
      <c r="B61" s="6" t="n"/>
      <c r="C61" s="4">
        <f>IF($B61="","",IF(ISNUMBER($B61),IF(COUNT($H61:$S61)=0,"No sizes",INDEX($H$7:$S$7,MATCH(MIN($H61:$S61),$H61:$S61,0))),"Check length"))</f>
        <v/>
      </c>
      <c r="D61" s="4">
        <f>IF(ISNUMBER(C61),MIN($H61:$S61),"")</f>
        <v/>
      </c>
      <c r="E61" s="4">
        <f>IF(ISNUMBER(C61),IF(COUNTIF($H$7:$S$7,"&gt;="&amp;B61)=0,"None",SMALL($H$7:$S$7,COUNTIF($H$7:$S$7,"&lt;"&amp;B61)+1)),"")</f>
        <v/>
      </c>
      <c r="F61" s="4">
        <f>IF(ISNUMBER(C61),IF(COUNTIF($H61:$S61,D61)&gt;1,"Tie, first listed used",""),"")</f>
        <v/>
      </c>
      <c r="H61" s="9">
        <f>IF(AND(ISNUMBER($B61),ISNUMBER(H$7)),ROUND(ABS($B61-H$7),6),"")</f>
        <v/>
      </c>
      <c r="I61" s="9">
        <f>IF(AND(ISNUMBER($B61),ISNUMBER(I$7)),ROUND(ABS($B61-I$7),6),"")</f>
        <v/>
      </c>
      <c r="J61" s="9">
        <f>IF(AND(ISNUMBER($B61),ISNUMBER(J$7)),ROUND(ABS($B61-J$7),6),"")</f>
        <v/>
      </c>
      <c r="K61" s="9">
        <f>IF(AND(ISNUMBER($B61),ISNUMBER(K$7)),ROUND(ABS($B61-K$7),6),"")</f>
        <v/>
      </c>
      <c r="L61" s="9">
        <f>IF(AND(ISNUMBER($B61),ISNUMBER(L$7)),ROUND(ABS($B61-L$7),6),"")</f>
        <v/>
      </c>
      <c r="M61" s="9">
        <f>IF(AND(ISNUMBER($B61),ISNUMBER(M$7)),ROUND(ABS($B61-M$7),6),"")</f>
        <v/>
      </c>
      <c r="N61" s="9">
        <f>IF(AND(ISNUMBER($B61),ISNUMBER(N$7)),ROUND(ABS($B61-N$7),6),"")</f>
        <v/>
      </c>
      <c r="O61" s="9">
        <f>IF(AND(ISNUMBER($B61),ISNUMBER(O$7)),ROUND(ABS($B61-O$7),6),"")</f>
        <v/>
      </c>
      <c r="P61" s="9">
        <f>IF(AND(ISNUMBER($B61),ISNUMBER(P$7)),ROUND(ABS($B61-P$7),6),"")</f>
        <v/>
      </c>
      <c r="Q61" s="9">
        <f>IF(AND(ISNUMBER($B61),ISNUMBER(Q$7)),ROUND(ABS($B61-Q$7),6),"")</f>
        <v/>
      </c>
      <c r="R61" s="9">
        <f>IF(AND(ISNUMBER($B61),ISNUMBER(R$7)),ROUND(ABS($B61-R$7),6),"")</f>
        <v/>
      </c>
      <c r="S61" s="9">
        <f>IF(AND(ISNUMBER($B61),ISNUMBER(S$7)),ROUND(ABS($B61-S$7),6),"")</f>
        <v/>
      </c>
    </row>
    <row r="62">
      <c r="A62" s="6" t="n"/>
      <c r="B62" s="6" t="n"/>
      <c r="C62" s="4">
        <f>IF($B62="","",IF(ISNUMBER($B62),IF(COUNT($H62:$S62)=0,"No sizes",INDEX($H$7:$S$7,MATCH(MIN($H62:$S62),$H62:$S62,0))),"Check length"))</f>
        <v/>
      </c>
      <c r="D62" s="4">
        <f>IF(ISNUMBER(C62),MIN($H62:$S62),"")</f>
        <v/>
      </c>
      <c r="E62" s="4">
        <f>IF(ISNUMBER(C62),IF(COUNTIF($H$7:$S$7,"&gt;="&amp;B62)=0,"None",SMALL($H$7:$S$7,COUNTIF($H$7:$S$7,"&lt;"&amp;B62)+1)),"")</f>
        <v/>
      </c>
      <c r="F62" s="4">
        <f>IF(ISNUMBER(C62),IF(COUNTIF($H62:$S62,D62)&gt;1,"Tie, first listed used",""),"")</f>
        <v/>
      </c>
      <c r="H62" s="9">
        <f>IF(AND(ISNUMBER($B62),ISNUMBER(H$7)),ROUND(ABS($B62-H$7),6),"")</f>
        <v/>
      </c>
      <c r="I62" s="9">
        <f>IF(AND(ISNUMBER($B62),ISNUMBER(I$7)),ROUND(ABS($B62-I$7),6),"")</f>
        <v/>
      </c>
      <c r="J62" s="9">
        <f>IF(AND(ISNUMBER($B62),ISNUMBER(J$7)),ROUND(ABS($B62-J$7),6),"")</f>
        <v/>
      </c>
      <c r="K62" s="9">
        <f>IF(AND(ISNUMBER($B62),ISNUMBER(K$7)),ROUND(ABS($B62-K$7),6),"")</f>
        <v/>
      </c>
      <c r="L62" s="9">
        <f>IF(AND(ISNUMBER($B62),ISNUMBER(L$7)),ROUND(ABS($B62-L$7),6),"")</f>
        <v/>
      </c>
      <c r="M62" s="9">
        <f>IF(AND(ISNUMBER($B62),ISNUMBER(M$7)),ROUND(ABS($B62-M$7),6),"")</f>
        <v/>
      </c>
      <c r="N62" s="9">
        <f>IF(AND(ISNUMBER($B62),ISNUMBER(N$7)),ROUND(ABS($B62-N$7),6),"")</f>
        <v/>
      </c>
      <c r="O62" s="9">
        <f>IF(AND(ISNUMBER($B62),ISNUMBER(O$7)),ROUND(ABS($B62-O$7),6),"")</f>
        <v/>
      </c>
      <c r="P62" s="9">
        <f>IF(AND(ISNUMBER($B62),ISNUMBER(P$7)),ROUND(ABS($B62-P$7),6),"")</f>
        <v/>
      </c>
      <c r="Q62" s="9">
        <f>IF(AND(ISNUMBER($B62),ISNUMBER(Q$7)),ROUND(ABS($B62-Q$7),6),"")</f>
        <v/>
      </c>
      <c r="R62" s="9">
        <f>IF(AND(ISNUMBER($B62),ISNUMBER(R$7)),ROUND(ABS($B62-R$7),6),"")</f>
        <v/>
      </c>
      <c r="S62" s="9">
        <f>IF(AND(ISNUMBER($B62),ISNUMBER(S$7)),ROUND(ABS($B62-S$7),6),"")</f>
        <v/>
      </c>
    </row>
    <row r="63">
      <c r="A63" s="6" t="n"/>
      <c r="B63" s="6" t="n"/>
      <c r="C63" s="4">
        <f>IF($B63="","",IF(ISNUMBER($B63),IF(COUNT($H63:$S63)=0,"No sizes",INDEX($H$7:$S$7,MATCH(MIN($H63:$S63),$H63:$S63,0))),"Check length"))</f>
        <v/>
      </c>
      <c r="D63" s="4">
        <f>IF(ISNUMBER(C63),MIN($H63:$S63),"")</f>
        <v/>
      </c>
      <c r="E63" s="4">
        <f>IF(ISNUMBER(C63),IF(COUNTIF($H$7:$S$7,"&gt;="&amp;B63)=0,"None",SMALL($H$7:$S$7,COUNTIF($H$7:$S$7,"&lt;"&amp;B63)+1)),"")</f>
        <v/>
      </c>
      <c r="F63" s="4">
        <f>IF(ISNUMBER(C63),IF(COUNTIF($H63:$S63,D63)&gt;1,"Tie, first listed used",""),"")</f>
        <v/>
      </c>
      <c r="H63" s="9">
        <f>IF(AND(ISNUMBER($B63),ISNUMBER(H$7)),ROUND(ABS($B63-H$7),6),"")</f>
        <v/>
      </c>
      <c r="I63" s="9">
        <f>IF(AND(ISNUMBER($B63),ISNUMBER(I$7)),ROUND(ABS($B63-I$7),6),"")</f>
        <v/>
      </c>
      <c r="J63" s="9">
        <f>IF(AND(ISNUMBER($B63),ISNUMBER(J$7)),ROUND(ABS($B63-J$7),6),"")</f>
        <v/>
      </c>
      <c r="K63" s="9">
        <f>IF(AND(ISNUMBER($B63),ISNUMBER(K$7)),ROUND(ABS($B63-K$7),6),"")</f>
        <v/>
      </c>
      <c r="L63" s="9">
        <f>IF(AND(ISNUMBER($B63),ISNUMBER(L$7)),ROUND(ABS($B63-L$7),6),"")</f>
        <v/>
      </c>
      <c r="M63" s="9">
        <f>IF(AND(ISNUMBER($B63),ISNUMBER(M$7)),ROUND(ABS($B63-M$7),6),"")</f>
        <v/>
      </c>
      <c r="N63" s="9">
        <f>IF(AND(ISNUMBER($B63),ISNUMBER(N$7)),ROUND(ABS($B63-N$7),6),"")</f>
        <v/>
      </c>
      <c r="O63" s="9">
        <f>IF(AND(ISNUMBER($B63),ISNUMBER(O$7)),ROUND(ABS($B63-O$7),6),"")</f>
        <v/>
      </c>
      <c r="P63" s="9">
        <f>IF(AND(ISNUMBER($B63),ISNUMBER(P$7)),ROUND(ABS($B63-P$7),6),"")</f>
        <v/>
      </c>
      <c r="Q63" s="9">
        <f>IF(AND(ISNUMBER($B63),ISNUMBER(Q$7)),ROUND(ABS($B63-Q$7),6),"")</f>
        <v/>
      </c>
      <c r="R63" s="9">
        <f>IF(AND(ISNUMBER($B63),ISNUMBER(R$7)),ROUND(ABS($B63-R$7),6),"")</f>
        <v/>
      </c>
      <c r="S63" s="9">
        <f>IF(AND(ISNUMBER($B63),ISNUMBER(S$7)),ROUND(ABS($B63-S$7),6),"")</f>
        <v/>
      </c>
    </row>
    <row r="64">
      <c r="A64" s="6" t="n"/>
      <c r="B64" s="6" t="n"/>
      <c r="C64" s="4">
        <f>IF($B64="","",IF(ISNUMBER($B64),IF(COUNT($H64:$S64)=0,"No sizes",INDEX($H$7:$S$7,MATCH(MIN($H64:$S64),$H64:$S64,0))),"Check length"))</f>
        <v/>
      </c>
      <c r="D64" s="4">
        <f>IF(ISNUMBER(C64),MIN($H64:$S64),"")</f>
        <v/>
      </c>
      <c r="E64" s="4">
        <f>IF(ISNUMBER(C64),IF(COUNTIF($H$7:$S$7,"&gt;="&amp;B64)=0,"None",SMALL($H$7:$S$7,COUNTIF($H$7:$S$7,"&lt;"&amp;B64)+1)),"")</f>
        <v/>
      </c>
      <c r="F64" s="4">
        <f>IF(ISNUMBER(C64),IF(COUNTIF($H64:$S64,D64)&gt;1,"Tie, first listed used",""),"")</f>
        <v/>
      </c>
      <c r="H64" s="9">
        <f>IF(AND(ISNUMBER($B64),ISNUMBER(H$7)),ROUND(ABS($B64-H$7),6),"")</f>
        <v/>
      </c>
      <c r="I64" s="9">
        <f>IF(AND(ISNUMBER($B64),ISNUMBER(I$7)),ROUND(ABS($B64-I$7),6),"")</f>
        <v/>
      </c>
      <c r="J64" s="9">
        <f>IF(AND(ISNUMBER($B64),ISNUMBER(J$7)),ROUND(ABS($B64-J$7),6),"")</f>
        <v/>
      </c>
      <c r="K64" s="9">
        <f>IF(AND(ISNUMBER($B64),ISNUMBER(K$7)),ROUND(ABS($B64-K$7),6),"")</f>
        <v/>
      </c>
      <c r="L64" s="9">
        <f>IF(AND(ISNUMBER($B64),ISNUMBER(L$7)),ROUND(ABS($B64-L$7),6),"")</f>
        <v/>
      </c>
      <c r="M64" s="9">
        <f>IF(AND(ISNUMBER($B64),ISNUMBER(M$7)),ROUND(ABS($B64-M$7),6),"")</f>
        <v/>
      </c>
      <c r="N64" s="9">
        <f>IF(AND(ISNUMBER($B64),ISNUMBER(N$7)),ROUND(ABS($B64-N$7),6),"")</f>
        <v/>
      </c>
      <c r="O64" s="9">
        <f>IF(AND(ISNUMBER($B64),ISNUMBER(O$7)),ROUND(ABS($B64-O$7),6),"")</f>
        <v/>
      </c>
      <c r="P64" s="9">
        <f>IF(AND(ISNUMBER($B64),ISNUMBER(P$7)),ROUND(ABS($B64-P$7),6),"")</f>
        <v/>
      </c>
      <c r="Q64" s="9">
        <f>IF(AND(ISNUMBER($B64),ISNUMBER(Q$7)),ROUND(ABS($B64-Q$7),6),"")</f>
        <v/>
      </c>
      <c r="R64" s="9">
        <f>IF(AND(ISNUMBER($B64),ISNUMBER(R$7)),ROUND(ABS($B64-R$7),6),"")</f>
        <v/>
      </c>
      <c r="S64" s="9">
        <f>IF(AND(ISNUMBER($B64),ISNUMBER(S$7)),ROUND(ABS($B64-S$7),6),"")</f>
        <v/>
      </c>
    </row>
    <row r="65">
      <c r="A65" s="6" t="n"/>
      <c r="B65" s="6" t="n"/>
      <c r="C65" s="4">
        <f>IF($B65="","",IF(ISNUMBER($B65),IF(COUNT($H65:$S65)=0,"No sizes",INDEX($H$7:$S$7,MATCH(MIN($H65:$S65),$H65:$S65,0))),"Check length"))</f>
        <v/>
      </c>
      <c r="D65" s="4">
        <f>IF(ISNUMBER(C65),MIN($H65:$S65),"")</f>
        <v/>
      </c>
      <c r="E65" s="4">
        <f>IF(ISNUMBER(C65),IF(COUNTIF($H$7:$S$7,"&gt;="&amp;B65)=0,"None",SMALL($H$7:$S$7,COUNTIF($H$7:$S$7,"&lt;"&amp;B65)+1)),"")</f>
        <v/>
      </c>
      <c r="F65" s="4">
        <f>IF(ISNUMBER(C65),IF(COUNTIF($H65:$S65,D65)&gt;1,"Tie, first listed used",""),"")</f>
        <v/>
      </c>
      <c r="H65" s="9">
        <f>IF(AND(ISNUMBER($B65),ISNUMBER(H$7)),ROUND(ABS($B65-H$7),6),"")</f>
        <v/>
      </c>
      <c r="I65" s="9">
        <f>IF(AND(ISNUMBER($B65),ISNUMBER(I$7)),ROUND(ABS($B65-I$7),6),"")</f>
        <v/>
      </c>
      <c r="J65" s="9">
        <f>IF(AND(ISNUMBER($B65),ISNUMBER(J$7)),ROUND(ABS($B65-J$7),6),"")</f>
        <v/>
      </c>
      <c r="K65" s="9">
        <f>IF(AND(ISNUMBER($B65),ISNUMBER(K$7)),ROUND(ABS($B65-K$7),6),"")</f>
        <v/>
      </c>
      <c r="L65" s="9">
        <f>IF(AND(ISNUMBER($B65),ISNUMBER(L$7)),ROUND(ABS($B65-L$7),6),"")</f>
        <v/>
      </c>
      <c r="M65" s="9">
        <f>IF(AND(ISNUMBER($B65),ISNUMBER(M$7)),ROUND(ABS($B65-M$7),6),"")</f>
        <v/>
      </c>
      <c r="N65" s="9">
        <f>IF(AND(ISNUMBER($B65),ISNUMBER(N$7)),ROUND(ABS($B65-N$7),6),"")</f>
        <v/>
      </c>
      <c r="O65" s="9">
        <f>IF(AND(ISNUMBER($B65),ISNUMBER(O$7)),ROUND(ABS($B65-O$7),6),"")</f>
        <v/>
      </c>
      <c r="P65" s="9">
        <f>IF(AND(ISNUMBER($B65),ISNUMBER(P$7)),ROUND(ABS($B65-P$7),6),"")</f>
        <v/>
      </c>
      <c r="Q65" s="9">
        <f>IF(AND(ISNUMBER($B65),ISNUMBER(Q$7)),ROUND(ABS($B65-Q$7),6),"")</f>
        <v/>
      </c>
      <c r="R65" s="9">
        <f>IF(AND(ISNUMBER($B65),ISNUMBER(R$7)),ROUND(ABS($B65-R$7),6),"")</f>
        <v/>
      </c>
      <c r="S65" s="9">
        <f>IF(AND(ISNUMBER($B65),ISNUMBER(S$7)),ROUND(ABS($B65-S$7),6),"")</f>
        <v/>
      </c>
    </row>
    <row r="66">
      <c r="A66" s="6" t="n"/>
      <c r="B66" s="6" t="n"/>
      <c r="C66" s="4">
        <f>IF($B66="","",IF(ISNUMBER($B66),IF(COUNT($H66:$S66)=0,"No sizes",INDEX($H$7:$S$7,MATCH(MIN($H66:$S66),$H66:$S66,0))),"Check length"))</f>
        <v/>
      </c>
      <c r="D66" s="4">
        <f>IF(ISNUMBER(C66),MIN($H66:$S66),"")</f>
        <v/>
      </c>
      <c r="E66" s="4">
        <f>IF(ISNUMBER(C66),IF(COUNTIF($H$7:$S$7,"&gt;="&amp;B66)=0,"None",SMALL($H$7:$S$7,COUNTIF($H$7:$S$7,"&lt;"&amp;B66)+1)),"")</f>
        <v/>
      </c>
      <c r="F66" s="4">
        <f>IF(ISNUMBER(C66),IF(COUNTIF($H66:$S66,D66)&gt;1,"Tie, first listed used",""),"")</f>
        <v/>
      </c>
      <c r="H66" s="9">
        <f>IF(AND(ISNUMBER($B66),ISNUMBER(H$7)),ROUND(ABS($B66-H$7),6),"")</f>
        <v/>
      </c>
      <c r="I66" s="9">
        <f>IF(AND(ISNUMBER($B66),ISNUMBER(I$7)),ROUND(ABS($B66-I$7),6),"")</f>
        <v/>
      </c>
      <c r="J66" s="9">
        <f>IF(AND(ISNUMBER($B66),ISNUMBER(J$7)),ROUND(ABS($B66-J$7),6),"")</f>
        <v/>
      </c>
      <c r="K66" s="9">
        <f>IF(AND(ISNUMBER($B66),ISNUMBER(K$7)),ROUND(ABS($B66-K$7),6),"")</f>
        <v/>
      </c>
      <c r="L66" s="9">
        <f>IF(AND(ISNUMBER($B66),ISNUMBER(L$7)),ROUND(ABS($B66-L$7),6),"")</f>
        <v/>
      </c>
      <c r="M66" s="9">
        <f>IF(AND(ISNUMBER($B66),ISNUMBER(M$7)),ROUND(ABS($B66-M$7),6),"")</f>
        <v/>
      </c>
      <c r="N66" s="9">
        <f>IF(AND(ISNUMBER($B66),ISNUMBER(N$7)),ROUND(ABS($B66-N$7),6),"")</f>
        <v/>
      </c>
      <c r="O66" s="9">
        <f>IF(AND(ISNUMBER($B66),ISNUMBER(O$7)),ROUND(ABS($B66-O$7),6),"")</f>
        <v/>
      </c>
      <c r="P66" s="9">
        <f>IF(AND(ISNUMBER($B66),ISNUMBER(P$7)),ROUND(ABS($B66-P$7),6),"")</f>
        <v/>
      </c>
      <c r="Q66" s="9">
        <f>IF(AND(ISNUMBER($B66),ISNUMBER(Q$7)),ROUND(ABS($B66-Q$7),6),"")</f>
        <v/>
      </c>
      <c r="R66" s="9">
        <f>IF(AND(ISNUMBER($B66),ISNUMBER(R$7)),ROUND(ABS($B66-R$7),6),"")</f>
        <v/>
      </c>
      <c r="S66" s="9">
        <f>IF(AND(ISNUMBER($B66),ISNUMBER(S$7)),ROUND(ABS($B66-S$7),6),"")</f>
        <v/>
      </c>
    </row>
    <row r="67">
      <c r="A67" s="6" t="n"/>
      <c r="B67" s="6" t="n"/>
      <c r="C67" s="4">
        <f>IF($B67="","",IF(ISNUMBER($B67),IF(COUNT($H67:$S67)=0,"No sizes",INDEX($H$7:$S$7,MATCH(MIN($H67:$S67),$H67:$S67,0))),"Check length"))</f>
        <v/>
      </c>
      <c r="D67" s="4">
        <f>IF(ISNUMBER(C67),MIN($H67:$S67),"")</f>
        <v/>
      </c>
      <c r="E67" s="4">
        <f>IF(ISNUMBER(C67),IF(COUNTIF($H$7:$S$7,"&gt;="&amp;B67)=0,"None",SMALL($H$7:$S$7,COUNTIF($H$7:$S$7,"&lt;"&amp;B67)+1)),"")</f>
        <v/>
      </c>
      <c r="F67" s="4">
        <f>IF(ISNUMBER(C67),IF(COUNTIF($H67:$S67,D67)&gt;1,"Tie, first listed used",""),"")</f>
        <v/>
      </c>
      <c r="H67" s="9">
        <f>IF(AND(ISNUMBER($B67),ISNUMBER(H$7)),ROUND(ABS($B67-H$7),6),"")</f>
        <v/>
      </c>
      <c r="I67" s="9">
        <f>IF(AND(ISNUMBER($B67),ISNUMBER(I$7)),ROUND(ABS($B67-I$7),6),"")</f>
        <v/>
      </c>
      <c r="J67" s="9">
        <f>IF(AND(ISNUMBER($B67),ISNUMBER(J$7)),ROUND(ABS($B67-J$7),6),"")</f>
        <v/>
      </c>
      <c r="K67" s="9">
        <f>IF(AND(ISNUMBER($B67),ISNUMBER(K$7)),ROUND(ABS($B67-K$7),6),"")</f>
        <v/>
      </c>
      <c r="L67" s="9">
        <f>IF(AND(ISNUMBER($B67),ISNUMBER(L$7)),ROUND(ABS($B67-L$7),6),"")</f>
        <v/>
      </c>
      <c r="M67" s="9">
        <f>IF(AND(ISNUMBER($B67),ISNUMBER(M$7)),ROUND(ABS($B67-M$7),6),"")</f>
        <v/>
      </c>
      <c r="N67" s="9">
        <f>IF(AND(ISNUMBER($B67),ISNUMBER(N$7)),ROUND(ABS($B67-N$7),6),"")</f>
        <v/>
      </c>
      <c r="O67" s="9">
        <f>IF(AND(ISNUMBER($B67),ISNUMBER(O$7)),ROUND(ABS($B67-O$7),6),"")</f>
        <v/>
      </c>
      <c r="P67" s="9">
        <f>IF(AND(ISNUMBER($B67),ISNUMBER(P$7)),ROUND(ABS($B67-P$7),6),"")</f>
        <v/>
      </c>
      <c r="Q67" s="9">
        <f>IF(AND(ISNUMBER($B67),ISNUMBER(Q$7)),ROUND(ABS($B67-Q$7),6),"")</f>
        <v/>
      </c>
      <c r="R67" s="9">
        <f>IF(AND(ISNUMBER($B67),ISNUMBER(R$7)),ROUND(ABS($B67-R$7),6),"")</f>
        <v/>
      </c>
      <c r="S67" s="9">
        <f>IF(AND(ISNUMBER($B67),ISNUMBER(S$7)),ROUND(ABS($B67-S$7),6),"")</f>
        <v/>
      </c>
    </row>
    <row r="68">
      <c r="A68" s="6" t="n"/>
      <c r="B68" s="6" t="n"/>
      <c r="C68" s="4">
        <f>IF($B68="","",IF(ISNUMBER($B68),IF(COUNT($H68:$S68)=0,"No sizes",INDEX($H$7:$S$7,MATCH(MIN($H68:$S68),$H68:$S68,0))),"Check length"))</f>
        <v/>
      </c>
      <c r="D68" s="4">
        <f>IF(ISNUMBER(C68),MIN($H68:$S68),"")</f>
        <v/>
      </c>
      <c r="E68" s="4">
        <f>IF(ISNUMBER(C68),IF(COUNTIF($H$7:$S$7,"&gt;="&amp;B68)=0,"None",SMALL($H$7:$S$7,COUNTIF($H$7:$S$7,"&lt;"&amp;B68)+1)),"")</f>
        <v/>
      </c>
      <c r="F68" s="4">
        <f>IF(ISNUMBER(C68),IF(COUNTIF($H68:$S68,D68)&gt;1,"Tie, first listed used",""),"")</f>
        <v/>
      </c>
      <c r="H68" s="9">
        <f>IF(AND(ISNUMBER($B68),ISNUMBER(H$7)),ROUND(ABS($B68-H$7),6),"")</f>
        <v/>
      </c>
      <c r="I68" s="9">
        <f>IF(AND(ISNUMBER($B68),ISNUMBER(I$7)),ROUND(ABS($B68-I$7),6),"")</f>
        <v/>
      </c>
      <c r="J68" s="9">
        <f>IF(AND(ISNUMBER($B68),ISNUMBER(J$7)),ROUND(ABS($B68-J$7),6),"")</f>
        <v/>
      </c>
      <c r="K68" s="9">
        <f>IF(AND(ISNUMBER($B68),ISNUMBER(K$7)),ROUND(ABS($B68-K$7),6),"")</f>
        <v/>
      </c>
      <c r="L68" s="9">
        <f>IF(AND(ISNUMBER($B68),ISNUMBER(L$7)),ROUND(ABS($B68-L$7),6),"")</f>
        <v/>
      </c>
      <c r="M68" s="9">
        <f>IF(AND(ISNUMBER($B68),ISNUMBER(M$7)),ROUND(ABS($B68-M$7),6),"")</f>
        <v/>
      </c>
      <c r="N68" s="9">
        <f>IF(AND(ISNUMBER($B68),ISNUMBER(N$7)),ROUND(ABS($B68-N$7),6),"")</f>
        <v/>
      </c>
      <c r="O68" s="9">
        <f>IF(AND(ISNUMBER($B68),ISNUMBER(O$7)),ROUND(ABS($B68-O$7),6),"")</f>
        <v/>
      </c>
      <c r="P68" s="9">
        <f>IF(AND(ISNUMBER($B68),ISNUMBER(P$7)),ROUND(ABS($B68-P$7),6),"")</f>
        <v/>
      </c>
      <c r="Q68" s="9">
        <f>IF(AND(ISNUMBER($B68),ISNUMBER(Q$7)),ROUND(ABS($B68-Q$7),6),"")</f>
        <v/>
      </c>
      <c r="R68" s="9">
        <f>IF(AND(ISNUMBER($B68),ISNUMBER(R$7)),ROUND(ABS($B68-R$7),6),"")</f>
        <v/>
      </c>
      <c r="S68" s="9">
        <f>IF(AND(ISNUMBER($B68),ISNUMBER(S$7)),ROUND(ABS($B68-S$7),6),"")</f>
        <v/>
      </c>
    </row>
    <row r="69">
      <c r="A69" s="6" t="n"/>
      <c r="B69" s="6" t="n"/>
      <c r="C69" s="4">
        <f>IF($B69="","",IF(ISNUMBER($B69),IF(COUNT($H69:$S69)=0,"No sizes",INDEX($H$7:$S$7,MATCH(MIN($H69:$S69),$H69:$S69,0))),"Check length"))</f>
        <v/>
      </c>
      <c r="D69" s="4">
        <f>IF(ISNUMBER(C69),MIN($H69:$S69),"")</f>
        <v/>
      </c>
      <c r="E69" s="4">
        <f>IF(ISNUMBER(C69),IF(COUNTIF($H$7:$S$7,"&gt;="&amp;B69)=0,"None",SMALL($H$7:$S$7,COUNTIF($H$7:$S$7,"&lt;"&amp;B69)+1)),"")</f>
        <v/>
      </c>
      <c r="F69" s="4">
        <f>IF(ISNUMBER(C69),IF(COUNTIF($H69:$S69,D69)&gt;1,"Tie, first listed used",""),"")</f>
        <v/>
      </c>
      <c r="H69" s="9">
        <f>IF(AND(ISNUMBER($B69),ISNUMBER(H$7)),ROUND(ABS($B69-H$7),6),"")</f>
        <v/>
      </c>
      <c r="I69" s="9">
        <f>IF(AND(ISNUMBER($B69),ISNUMBER(I$7)),ROUND(ABS($B69-I$7),6),"")</f>
        <v/>
      </c>
      <c r="J69" s="9">
        <f>IF(AND(ISNUMBER($B69),ISNUMBER(J$7)),ROUND(ABS($B69-J$7),6),"")</f>
        <v/>
      </c>
      <c r="K69" s="9">
        <f>IF(AND(ISNUMBER($B69),ISNUMBER(K$7)),ROUND(ABS($B69-K$7),6),"")</f>
        <v/>
      </c>
      <c r="L69" s="9">
        <f>IF(AND(ISNUMBER($B69),ISNUMBER(L$7)),ROUND(ABS($B69-L$7),6),"")</f>
        <v/>
      </c>
      <c r="M69" s="9">
        <f>IF(AND(ISNUMBER($B69),ISNUMBER(M$7)),ROUND(ABS($B69-M$7),6),"")</f>
        <v/>
      </c>
      <c r="N69" s="9">
        <f>IF(AND(ISNUMBER($B69),ISNUMBER(N$7)),ROUND(ABS($B69-N$7),6),"")</f>
        <v/>
      </c>
      <c r="O69" s="9">
        <f>IF(AND(ISNUMBER($B69),ISNUMBER(O$7)),ROUND(ABS($B69-O$7),6),"")</f>
        <v/>
      </c>
      <c r="P69" s="9">
        <f>IF(AND(ISNUMBER($B69),ISNUMBER(P$7)),ROUND(ABS($B69-P$7),6),"")</f>
        <v/>
      </c>
      <c r="Q69" s="9">
        <f>IF(AND(ISNUMBER($B69),ISNUMBER(Q$7)),ROUND(ABS($B69-Q$7),6),"")</f>
        <v/>
      </c>
      <c r="R69" s="9">
        <f>IF(AND(ISNUMBER($B69),ISNUMBER(R$7)),ROUND(ABS($B69-R$7),6),"")</f>
        <v/>
      </c>
      <c r="S69" s="9">
        <f>IF(AND(ISNUMBER($B69),ISNUMBER(S$7)),ROUND(ABS($B69-S$7),6),"")</f>
        <v/>
      </c>
    </row>
    <row r="70">
      <c r="A70" s="6" t="n"/>
      <c r="B70" s="6" t="n"/>
      <c r="C70" s="4">
        <f>IF($B70="","",IF(ISNUMBER($B70),IF(COUNT($H70:$S70)=0,"No sizes",INDEX($H$7:$S$7,MATCH(MIN($H70:$S70),$H70:$S70,0))),"Check length"))</f>
        <v/>
      </c>
      <c r="D70" s="4">
        <f>IF(ISNUMBER(C70),MIN($H70:$S70),"")</f>
        <v/>
      </c>
      <c r="E70" s="4">
        <f>IF(ISNUMBER(C70),IF(COUNTIF($H$7:$S$7,"&gt;="&amp;B70)=0,"None",SMALL($H$7:$S$7,COUNTIF($H$7:$S$7,"&lt;"&amp;B70)+1)),"")</f>
        <v/>
      </c>
      <c r="F70" s="4">
        <f>IF(ISNUMBER(C70),IF(COUNTIF($H70:$S70,D70)&gt;1,"Tie, first listed used",""),"")</f>
        <v/>
      </c>
      <c r="H70" s="9">
        <f>IF(AND(ISNUMBER($B70),ISNUMBER(H$7)),ROUND(ABS($B70-H$7),6),"")</f>
        <v/>
      </c>
      <c r="I70" s="9">
        <f>IF(AND(ISNUMBER($B70),ISNUMBER(I$7)),ROUND(ABS($B70-I$7),6),"")</f>
        <v/>
      </c>
      <c r="J70" s="9">
        <f>IF(AND(ISNUMBER($B70),ISNUMBER(J$7)),ROUND(ABS($B70-J$7),6),"")</f>
        <v/>
      </c>
      <c r="K70" s="9">
        <f>IF(AND(ISNUMBER($B70),ISNUMBER(K$7)),ROUND(ABS($B70-K$7),6),"")</f>
        <v/>
      </c>
      <c r="L70" s="9">
        <f>IF(AND(ISNUMBER($B70),ISNUMBER(L$7)),ROUND(ABS($B70-L$7),6),"")</f>
        <v/>
      </c>
      <c r="M70" s="9">
        <f>IF(AND(ISNUMBER($B70),ISNUMBER(M$7)),ROUND(ABS($B70-M$7),6),"")</f>
        <v/>
      </c>
      <c r="N70" s="9">
        <f>IF(AND(ISNUMBER($B70),ISNUMBER(N$7)),ROUND(ABS($B70-N$7),6),"")</f>
        <v/>
      </c>
      <c r="O70" s="9">
        <f>IF(AND(ISNUMBER($B70),ISNUMBER(O$7)),ROUND(ABS($B70-O$7),6),"")</f>
        <v/>
      </c>
      <c r="P70" s="9">
        <f>IF(AND(ISNUMBER($B70),ISNUMBER(P$7)),ROUND(ABS($B70-P$7),6),"")</f>
        <v/>
      </c>
      <c r="Q70" s="9">
        <f>IF(AND(ISNUMBER($B70),ISNUMBER(Q$7)),ROUND(ABS($B70-Q$7),6),"")</f>
        <v/>
      </c>
      <c r="R70" s="9">
        <f>IF(AND(ISNUMBER($B70),ISNUMBER(R$7)),ROUND(ABS($B70-R$7),6),"")</f>
        <v/>
      </c>
      <c r="S70" s="9">
        <f>IF(AND(ISNUMBER($B70),ISNUMBER(S$7)),ROUND(ABS($B70-S$7),6),"")</f>
        <v/>
      </c>
    </row>
    <row r="71">
      <c r="A71" s="6" t="n"/>
      <c r="B71" s="6" t="n"/>
      <c r="C71" s="4">
        <f>IF($B71="","",IF(ISNUMBER($B71),IF(COUNT($H71:$S71)=0,"No sizes",INDEX($H$7:$S$7,MATCH(MIN($H71:$S71),$H71:$S71,0))),"Check length"))</f>
        <v/>
      </c>
      <c r="D71" s="4">
        <f>IF(ISNUMBER(C71),MIN($H71:$S71),"")</f>
        <v/>
      </c>
      <c r="E71" s="4">
        <f>IF(ISNUMBER(C71),IF(COUNTIF($H$7:$S$7,"&gt;="&amp;B71)=0,"None",SMALL($H$7:$S$7,COUNTIF($H$7:$S$7,"&lt;"&amp;B71)+1)),"")</f>
        <v/>
      </c>
      <c r="F71" s="4">
        <f>IF(ISNUMBER(C71),IF(COUNTIF($H71:$S71,D71)&gt;1,"Tie, first listed used",""),"")</f>
        <v/>
      </c>
      <c r="H71" s="9">
        <f>IF(AND(ISNUMBER($B71),ISNUMBER(H$7)),ROUND(ABS($B71-H$7),6),"")</f>
        <v/>
      </c>
      <c r="I71" s="9">
        <f>IF(AND(ISNUMBER($B71),ISNUMBER(I$7)),ROUND(ABS($B71-I$7),6),"")</f>
        <v/>
      </c>
      <c r="J71" s="9">
        <f>IF(AND(ISNUMBER($B71),ISNUMBER(J$7)),ROUND(ABS($B71-J$7),6),"")</f>
        <v/>
      </c>
      <c r="K71" s="9">
        <f>IF(AND(ISNUMBER($B71),ISNUMBER(K$7)),ROUND(ABS($B71-K$7),6),"")</f>
        <v/>
      </c>
      <c r="L71" s="9">
        <f>IF(AND(ISNUMBER($B71),ISNUMBER(L$7)),ROUND(ABS($B71-L$7),6),"")</f>
        <v/>
      </c>
      <c r="M71" s="9">
        <f>IF(AND(ISNUMBER($B71),ISNUMBER(M$7)),ROUND(ABS($B71-M$7),6),"")</f>
        <v/>
      </c>
      <c r="N71" s="9">
        <f>IF(AND(ISNUMBER($B71),ISNUMBER(N$7)),ROUND(ABS($B71-N$7),6),"")</f>
        <v/>
      </c>
      <c r="O71" s="9">
        <f>IF(AND(ISNUMBER($B71),ISNUMBER(O$7)),ROUND(ABS($B71-O$7),6),"")</f>
        <v/>
      </c>
      <c r="P71" s="9">
        <f>IF(AND(ISNUMBER($B71),ISNUMBER(P$7)),ROUND(ABS($B71-P$7),6),"")</f>
        <v/>
      </c>
      <c r="Q71" s="9">
        <f>IF(AND(ISNUMBER($B71),ISNUMBER(Q$7)),ROUND(ABS($B71-Q$7),6),"")</f>
        <v/>
      </c>
      <c r="R71" s="9">
        <f>IF(AND(ISNUMBER($B71),ISNUMBER(R$7)),ROUND(ABS($B71-R$7),6),"")</f>
        <v/>
      </c>
      <c r="S71" s="9">
        <f>IF(AND(ISNUMBER($B71),ISNUMBER(S$7)),ROUND(ABS($B71-S$7),6),"")</f>
        <v/>
      </c>
    </row>
    <row r="72">
      <c r="A72" s="6" t="n"/>
      <c r="B72" s="6" t="n"/>
      <c r="C72" s="4">
        <f>IF($B72="","",IF(ISNUMBER($B72),IF(COUNT($H72:$S72)=0,"No sizes",INDEX($H$7:$S$7,MATCH(MIN($H72:$S72),$H72:$S72,0))),"Check length"))</f>
        <v/>
      </c>
      <c r="D72" s="4">
        <f>IF(ISNUMBER(C72),MIN($H72:$S72),"")</f>
        <v/>
      </c>
      <c r="E72" s="4">
        <f>IF(ISNUMBER(C72),IF(COUNTIF($H$7:$S$7,"&gt;="&amp;B72)=0,"None",SMALL($H$7:$S$7,COUNTIF($H$7:$S$7,"&lt;"&amp;B72)+1)),"")</f>
        <v/>
      </c>
      <c r="F72" s="4">
        <f>IF(ISNUMBER(C72),IF(COUNTIF($H72:$S72,D72)&gt;1,"Tie, first listed used",""),"")</f>
        <v/>
      </c>
      <c r="H72" s="9">
        <f>IF(AND(ISNUMBER($B72),ISNUMBER(H$7)),ROUND(ABS($B72-H$7),6),"")</f>
        <v/>
      </c>
      <c r="I72" s="9">
        <f>IF(AND(ISNUMBER($B72),ISNUMBER(I$7)),ROUND(ABS($B72-I$7),6),"")</f>
        <v/>
      </c>
      <c r="J72" s="9">
        <f>IF(AND(ISNUMBER($B72),ISNUMBER(J$7)),ROUND(ABS($B72-J$7),6),"")</f>
        <v/>
      </c>
      <c r="K72" s="9">
        <f>IF(AND(ISNUMBER($B72),ISNUMBER(K$7)),ROUND(ABS($B72-K$7),6),"")</f>
        <v/>
      </c>
      <c r="L72" s="9">
        <f>IF(AND(ISNUMBER($B72),ISNUMBER(L$7)),ROUND(ABS($B72-L$7),6),"")</f>
        <v/>
      </c>
      <c r="M72" s="9">
        <f>IF(AND(ISNUMBER($B72),ISNUMBER(M$7)),ROUND(ABS($B72-M$7),6),"")</f>
        <v/>
      </c>
      <c r="N72" s="9">
        <f>IF(AND(ISNUMBER($B72),ISNUMBER(N$7)),ROUND(ABS($B72-N$7),6),"")</f>
        <v/>
      </c>
      <c r="O72" s="9">
        <f>IF(AND(ISNUMBER($B72),ISNUMBER(O$7)),ROUND(ABS($B72-O$7),6),"")</f>
        <v/>
      </c>
      <c r="P72" s="9">
        <f>IF(AND(ISNUMBER($B72),ISNUMBER(P$7)),ROUND(ABS($B72-P$7),6),"")</f>
        <v/>
      </c>
      <c r="Q72" s="9">
        <f>IF(AND(ISNUMBER($B72),ISNUMBER(Q$7)),ROUND(ABS($B72-Q$7),6),"")</f>
        <v/>
      </c>
      <c r="R72" s="9">
        <f>IF(AND(ISNUMBER($B72),ISNUMBER(R$7)),ROUND(ABS($B72-R$7),6),"")</f>
        <v/>
      </c>
      <c r="S72" s="9">
        <f>IF(AND(ISNUMBER($B72),ISNUMBER(S$7)),ROUND(ABS($B72-S$7),6),"")</f>
        <v/>
      </c>
    </row>
    <row r="73">
      <c r="A73" s="6" t="n"/>
      <c r="B73" s="6" t="n"/>
      <c r="C73" s="4">
        <f>IF($B73="","",IF(ISNUMBER($B73),IF(COUNT($H73:$S73)=0,"No sizes",INDEX($H$7:$S$7,MATCH(MIN($H73:$S73),$H73:$S73,0))),"Check length"))</f>
        <v/>
      </c>
      <c r="D73" s="4">
        <f>IF(ISNUMBER(C73),MIN($H73:$S73),"")</f>
        <v/>
      </c>
      <c r="E73" s="4">
        <f>IF(ISNUMBER(C73),IF(COUNTIF($H$7:$S$7,"&gt;="&amp;B73)=0,"None",SMALL($H$7:$S$7,COUNTIF($H$7:$S$7,"&lt;"&amp;B73)+1)),"")</f>
        <v/>
      </c>
      <c r="F73" s="4">
        <f>IF(ISNUMBER(C73),IF(COUNTIF($H73:$S73,D73)&gt;1,"Tie, first listed used",""),"")</f>
        <v/>
      </c>
      <c r="H73" s="9">
        <f>IF(AND(ISNUMBER($B73),ISNUMBER(H$7)),ROUND(ABS($B73-H$7),6),"")</f>
        <v/>
      </c>
      <c r="I73" s="9">
        <f>IF(AND(ISNUMBER($B73),ISNUMBER(I$7)),ROUND(ABS($B73-I$7),6),"")</f>
        <v/>
      </c>
      <c r="J73" s="9">
        <f>IF(AND(ISNUMBER($B73),ISNUMBER(J$7)),ROUND(ABS($B73-J$7),6),"")</f>
        <v/>
      </c>
      <c r="K73" s="9">
        <f>IF(AND(ISNUMBER($B73),ISNUMBER(K$7)),ROUND(ABS($B73-K$7),6),"")</f>
        <v/>
      </c>
      <c r="L73" s="9">
        <f>IF(AND(ISNUMBER($B73),ISNUMBER(L$7)),ROUND(ABS($B73-L$7),6),"")</f>
        <v/>
      </c>
      <c r="M73" s="9">
        <f>IF(AND(ISNUMBER($B73),ISNUMBER(M$7)),ROUND(ABS($B73-M$7),6),"")</f>
        <v/>
      </c>
      <c r="N73" s="9">
        <f>IF(AND(ISNUMBER($B73),ISNUMBER(N$7)),ROUND(ABS($B73-N$7),6),"")</f>
        <v/>
      </c>
      <c r="O73" s="9">
        <f>IF(AND(ISNUMBER($B73),ISNUMBER(O$7)),ROUND(ABS($B73-O$7),6),"")</f>
        <v/>
      </c>
      <c r="P73" s="9">
        <f>IF(AND(ISNUMBER($B73),ISNUMBER(P$7)),ROUND(ABS($B73-P$7),6),"")</f>
        <v/>
      </c>
      <c r="Q73" s="9">
        <f>IF(AND(ISNUMBER($B73),ISNUMBER(Q$7)),ROUND(ABS($B73-Q$7),6),"")</f>
        <v/>
      </c>
      <c r="R73" s="9">
        <f>IF(AND(ISNUMBER($B73),ISNUMBER(R$7)),ROUND(ABS($B73-R$7),6),"")</f>
        <v/>
      </c>
      <c r="S73" s="9">
        <f>IF(AND(ISNUMBER($B73),ISNUMBER(S$7)),ROUND(ABS($B73-S$7),6),"")</f>
        <v/>
      </c>
    </row>
    <row r="74">
      <c r="A74" s="6" t="n"/>
      <c r="B74" s="6" t="n"/>
      <c r="C74" s="4">
        <f>IF($B74="","",IF(ISNUMBER($B74),IF(COUNT($H74:$S74)=0,"No sizes",INDEX($H$7:$S$7,MATCH(MIN($H74:$S74),$H74:$S74,0))),"Check length"))</f>
        <v/>
      </c>
      <c r="D74" s="4">
        <f>IF(ISNUMBER(C74),MIN($H74:$S74),"")</f>
        <v/>
      </c>
      <c r="E74" s="4">
        <f>IF(ISNUMBER(C74),IF(COUNTIF($H$7:$S$7,"&gt;="&amp;B74)=0,"None",SMALL($H$7:$S$7,COUNTIF($H$7:$S$7,"&lt;"&amp;B74)+1)),"")</f>
        <v/>
      </c>
      <c r="F74" s="4">
        <f>IF(ISNUMBER(C74),IF(COUNTIF($H74:$S74,D74)&gt;1,"Tie, first listed used",""),"")</f>
        <v/>
      </c>
      <c r="H74" s="9">
        <f>IF(AND(ISNUMBER($B74),ISNUMBER(H$7)),ROUND(ABS($B74-H$7),6),"")</f>
        <v/>
      </c>
      <c r="I74" s="9">
        <f>IF(AND(ISNUMBER($B74),ISNUMBER(I$7)),ROUND(ABS($B74-I$7),6),"")</f>
        <v/>
      </c>
      <c r="J74" s="9">
        <f>IF(AND(ISNUMBER($B74),ISNUMBER(J$7)),ROUND(ABS($B74-J$7),6),"")</f>
        <v/>
      </c>
      <c r="K74" s="9">
        <f>IF(AND(ISNUMBER($B74),ISNUMBER(K$7)),ROUND(ABS($B74-K$7),6),"")</f>
        <v/>
      </c>
      <c r="L74" s="9">
        <f>IF(AND(ISNUMBER($B74),ISNUMBER(L$7)),ROUND(ABS($B74-L$7),6),"")</f>
        <v/>
      </c>
      <c r="M74" s="9">
        <f>IF(AND(ISNUMBER($B74),ISNUMBER(M$7)),ROUND(ABS($B74-M$7),6),"")</f>
        <v/>
      </c>
      <c r="N74" s="9">
        <f>IF(AND(ISNUMBER($B74),ISNUMBER(N$7)),ROUND(ABS($B74-N$7),6),"")</f>
        <v/>
      </c>
      <c r="O74" s="9">
        <f>IF(AND(ISNUMBER($B74),ISNUMBER(O$7)),ROUND(ABS($B74-O$7),6),"")</f>
        <v/>
      </c>
      <c r="P74" s="9">
        <f>IF(AND(ISNUMBER($B74),ISNUMBER(P$7)),ROUND(ABS($B74-P$7),6),"")</f>
        <v/>
      </c>
      <c r="Q74" s="9">
        <f>IF(AND(ISNUMBER($B74),ISNUMBER(Q$7)),ROUND(ABS($B74-Q$7),6),"")</f>
        <v/>
      </c>
      <c r="R74" s="9">
        <f>IF(AND(ISNUMBER($B74),ISNUMBER(R$7)),ROUND(ABS($B74-R$7),6),"")</f>
        <v/>
      </c>
      <c r="S74" s="9">
        <f>IF(AND(ISNUMBER($B74),ISNUMBER(S$7)),ROUND(ABS($B74-S$7),6),"")</f>
        <v/>
      </c>
    </row>
    <row r="75">
      <c r="A75" s="6" t="n"/>
      <c r="B75" s="6" t="n"/>
      <c r="C75" s="4">
        <f>IF($B75="","",IF(ISNUMBER($B75),IF(COUNT($H75:$S75)=0,"No sizes",INDEX($H$7:$S$7,MATCH(MIN($H75:$S75),$H75:$S75,0))),"Check length"))</f>
        <v/>
      </c>
      <c r="D75" s="4">
        <f>IF(ISNUMBER(C75),MIN($H75:$S75),"")</f>
        <v/>
      </c>
      <c r="E75" s="4">
        <f>IF(ISNUMBER(C75),IF(COUNTIF($H$7:$S$7,"&gt;="&amp;B75)=0,"None",SMALL($H$7:$S$7,COUNTIF($H$7:$S$7,"&lt;"&amp;B75)+1)),"")</f>
        <v/>
      </c>
      <c r="F75" s="4">
        <f>IF(ISNUMBER(C75),IF(COUNTIF($H75:$S75,D75)&gt;1,"Tie, first listed used",""),"")</f>
        <v/>
      </c>
      <c r="H75" s="9">
        <f>IF(AND(ISNUMBER($B75),ISNUMBER(H$7)),ROUND(ABS($B75-H$7),6),"")</f>
        <v/>
      </c>
      <c r="I75" s="9">
        <f>IF(AND(ISNUMBER($B75),ISNUMBER(I$7)),ROUND(ABS($B75-I$7),6),"")</f>
        <v/>
      </c>
      <c r="J75" s="9">
        <f>IF(AND(ISNUMBER($B75),ISNUMBER(J$7)),ROUND(ABS($B75-J$7),6),"")</f>
        <v/>
      </c>
      <c r="K75" s="9">
        <f>IF(AND(ISNUMBER($B75),ISNUMBER(K$7)),ROUND(ABS($B75-K$7),6),"")</f>
        <v/>
      </c>
      <c r="L75" s="9">
        <f>IF(AND(ISNUMBER($B75),ISNUMBER(L$7)),ROUND(ABS($B75-L$7),6),"")</f>
        <v/>
      </c>
      <c r="M75" s="9">
        <f>IF(AND(ISNUMBER($B75),ISNUMBER(M$7)),ROUND(ABS($B75-M$7),6),"")</f>
        <v/>
      </c>
      <c r="N75" s="9">
        <f>IF(AND(ISNUMBER($B75),ISNUMBER(N$7)),ROUND(ABS($B75-N$7),6),"")</f>
        <v/>
      </c>
      <c r="O75" s="9">
        <f>IF(AND(ISNUMBER($B75),ISNUMBER(O$7)),ROUND(ABS($B75-O$7),6),"")</f>
        <v/>
      </c>
      <c r="P75" s="9">
        <f>IF(AND(ISNUMBER($B75),ISNUMBER(P$7)),ROUND(ABS($B75-P$7),6),"")</f>
        <v/>
      </c>
      <c r="Q75" s="9">
        <f>IF(AND(ISNUMBER($B75),ISNUMBER(Q$7)),ROUND(ABS($B75-Q$7),6),"")</f>
        <v/>
      </c>
      <c r="R75" s="9">
        <f>IF(AND(ISNUMBER($B75),ISNUMBER(R$7)),ROUND(ABS($B75-R$7),6),"")</f>
        <v/>
      </c>
      <c r="S75" s="9">
        <f>IF(AND(ISNUMBER($B75),ISNUMBER(S$7)),ROUND(ABS($B75-S$7),6),"")</f>
        <v/>
      </c>
    </row>
    <row r="76">
      <c r="A76" s="6" t="n"/>
      <c r="B76" s="6" t="n"/>
      <c r="C76" s="4">
        <f>IF($B76="","",IF(ISNUMBER($B76),IF(COUNT($H76:$S76)=0,"No sizes",INDEX($H$7:$S$7,MATCH(MIN($H76:$S76),$H76:$S76,0))),"Check length"))</f>
        <v/>
      </c>
      <c r="D76" s="4">
        <f>IF(ISNUMBER(C76),MIN($H76:$S76),"")</f>
        <v/>
      </c>
      <c r="E76" s="4">
        <f>IF(ISNUMBER(C76),IF(COUNTIF($H$7:$S$7,"&gt;="&amp;B76)=0,"None",SMALL($H$7:$S$7,COUNTIF($H$7:$S$7,"&lt;"&amp;B76)+1)),"")</f>
        <v/>
      </c>
      <c r="F76" s="4">
        <f>IF(ISNUMBER(C76),IF(COUNTIF($H76:$S76,D76)&gt;1,"Tie, first listed used",""),"")</f>
        <v/>
      </c>
      <c r="H76" s="9">
        <f>IF(AND(ISNUMBER($B76),ISNUMBER(H$7)),ROUND(ABS($B76-H$7),6),"")</f>
        <v/>
      </c>
      <c r="I76" s="9">
        <f>IF(AND(ISNUMBER($B76),ISNUMBER(I$7)),ROUND(ABS($B76-I$7),6),"")</f>
        <v/>
      </c>
      <c r="J76" s="9">
        <f>IF(AND(ISNUMBER($B76),ISNUMBER(J$7)),ROUND(ABS($B76-J$7),6),"")</f>
        <v/>
      </c>
      <c r="K76" s="9">
        <f>IF(AND(ISNUMBER($B76),ISNUMBER(K$7)),ROUND(ABS($B76-K$7),6),"")</f>
        <v/>
      </c>
      <c r="L76" s="9">
        <f>IF(AND(ISNUMBER($B76),ISNUMBER(L$7)),ROUND(ABS($B76-L$7),6),"")</f>
        <v/>
      </c>
      <c r="M76" s="9">
        <f>IF(AND(ISNUMBER($B76),ISNUMBER(M$7)),ROUND(ABS($B76-M$7),6),"")</f>
        <v/>
      </c>
      <c r="N76" s="9">
        <f>IF(AND(ISNUMBER($B76),ISNUMBER(N$7)),ROUND(ABS($B76-N$7),6),"")</f>
        <v/>
      </c>
      <c r="O76" s="9">
        <f>IF(AND(ISNUMBER($B76),ISNUMBER(O$7)),ROUND(ABS($B76-O$7),6),"")</f>
        <v/>
      </c>
      <c r="P76" s="9">
        <f>IF(AND(ISNUMBER($B76),ISNUMBER(P$7)),ROUND(ABS($B76-P$7),6),"")</f>
        <v/>
      </c>
      <c r="Q76" s="9">
        <f>IF(AND(ISNUMBER($B76),ISNUMBER(Q$7)),ROUND(ABS($B76-Q$7),6),"")</f>
        <v/>
      </c>
      <c r="R76" s="9">
        <f>IF(AND(ISNUMBER($B76),ISNUMBER(R$7)),ROUND(ABS($B76-R$7),6),"")</f>
        <v/>
      </c>
      <c r="S76" s="9">
        <f>IF(AND(ISNUMBER($B76),ISNUMBER(S$7)),ROUND(ABS($B76-S$7),6),"")</f>
        <v/>
      </c>
    </row>
    <row r="77">
      <c r="A77" s="6" t="n"/>
      <c r="B77" s="6" t="n"/>
      <c r="C77" s="4">
        <f>IF($B77="","",IF(ISNUMBER($B77),IF(COUNT($H77:$S77)=0,"No sizes",INDEX($H$7:$S$7,MATCH(MIN($H77:$S77),$H77:$S77,0))),"Check length"))</f>
        <v/>
      </c>
      <c r="D77" s="4">
        <f>IF(ISNUMBER(C77),MIN($H77:$S77),"")</f>
        <v/>
      </c>
      <c r="E77" s="4">
        <f>IF(ISNUMBER(C77),IF(COUNTIF($H$7:$S$7,"&gt;="&amp;B77)=0,"None",SMALL($H$7:$S$7,COUNTIF($H$7:$S$7,"&lt;"&amp;B77)+1)),"")</f>
        <v/>
      </c>
      <c r="F77" s="4">
        <f>IF(ISNUMBER(C77),IF(COUNTIF($H77:$S77,D77)&gt;1,"Tie, first listed used",""),"")</f>
        <v/>
      </c>
      <c r="H77" s="9">
        <f>IF(AND(ISNUMBER($B77),ISNUMBER(H$7)),ROUND(ABS($B77-H$7),6),"")</f>
        <v/>
      </c>
      <c r="I77" s="9">
        <f>IF(AND(ISNUMBER($B77),ISNUMBER(I$7)),ROUND(ABS($B77-I$7),6),"")</f>
        <v/>
      </c>
      <c r="J77" s="9">
        <f>IF(AND(ISNUMBER($B77),ISNUMBER(J$7)),ROUND(ABS($B77-J$7),6),"")</f>
        <v/>
      </c>
      <c r="K77" s="9">
        <f>IF(AND(ISNUMBER($B77),ISNUMBER(K$7)),ROUND(ABS($B77-K$7),6),"")</f>
        <v/>
      </c>
      <c r="L77" s="9">
        <f>IF(AND(ISNUMBER($B77),ISNUMBER(L$7)),ROUND(ABS($B77-L$7),6),"")</f>
        <v/>
      </c>
      <c r="M77" s="9">
        <f>IF(AND(ISNUMBER($B77),ISNUMBER(M$7)),ROUND(ABS($B77-M$7),6),"")</f>
        <v/>
      </c>
      <c r="N77" s="9">
        <f>IF(AND(ISNUMBER($B77),ISNUMBER(N$7)),ROUND(ABS($B77-N$7),6),"")</f>
        <v/>
      </c>
      <c r="O77" s="9">
        <f>IF(AND(ISNUMBER($B77),ISNUMBER(O$7)),ROUND(ABS($B77-O$7),6),"")</f>
        <v/>
      </c>
      <c r="P77" s="9">
        <f>IF(AND(ISNUMBER($B77),ISNUMBER(P$7)),ROUND(ABS($B77-P$7),6),"")</f>
        <v/>
      </c>
      <c r="Q77" s="9">
        <f>IF(AND(ISNUMBER($B77),ISNUMBER(Q$7)),ROUND(ABS($B77-Q$7),6),"")</f>
        <v/>
      </c>
      <c r="R77" s="9">
        <f>IF(AND(ISNUMBER($B77),ISNUMBER(R$7)),ROUND(ABS($B77-R$7),6),"")</f>
        <v/>
      </c>
      <c r="S77" s="9">
        <f>IF(AND(ISNUMBER($B77),ISNUMBER(S$7)),ROUND(ABS($B77-S$7),6),"")</f>
        <v/>
      </c>
    </row>
    <row r="78">
      <c r="A78" s="6" t="n"/>
      <c r="B78" s="6" t="n"/>
      <c r="C78" s="4">
        <f>IF($B78="","",IF(ISNUMBER($B78),IF(COUNT($H78:$S78)=0,"No sizes",INDEX($H$7:$S$7,MATCH(MIN($H78:$S78),$H78:$S78,0))),"Check length"))</f>
        <v/>
      </c>
      <c r="D78" s="4">
        <f>IF(ISNUMBER(C78),MIN($H78:$S78),"")</f>
        <v/>
      </c>
      <c r="E78" s="4">
        <f>IF(ISNUMBER(C78),IF(COUNTIF($H$7:$S$7,"&gt;="&amp;B78)=0,"None",SMALL($H$7:$S$7,COUNTIF($H$7:$S$7,"&lt;"&amp;B78)+1)),"")</f>
        <v/>
      </c>
      <c r="F78" s="4">
        <f>IF(ISNUMBER(C78),IF(COUNTIF($H78:$S78,D78)&gt;1,"Tie, first listed used",""),"")</f>
        <v/>
      </c>
      <c r="H78" s="9">
        <f>IF(AND(ISNUMBER($B78),ISNUMBER(H$7)),ROUND(ABS($B78-H$7),6),"")</f>
        <v/>
      </c>
      <c r="I78" s="9">
        <f>IF(AND(ISNUMBER($B78),ISNUMBER(I$7)),ROUND(ABS($B78-I$7),6),"")</f>
        <v/>
      </c>
      <c r="J78" s="9">
        <f>IF(AND(ISNUMBER($B78),ISNUMBER(J$7)),ROUND(ABS($B78-J$7),6),"")</f>
        <v/>
      </c>
      <c r="K78" s="9">
        <f>IF(AND(ISNUMBER($B78),ISNUMBER(K$7)),ROUND(ABS($B78-K$7),6),"")</f>
        <v/>
      </c>
      <c r="L78" s="9">
        <f>IF(AND(ISNUMBER($B78),ISNUMBER(L$7)),ROUND(ABS($B78-L$7),6),"")</f>
        <v/>
      </c>
      <c r="M78" s="9">
        <f>IF(AND(ISNUMBER($B78),ISNUMBER(M$7)),ROUND(ABS($B78-M$7),6),"")</f>
        <v/>
      </c>
      <c r="N78" s="9">
        <f>IF(AND(ISNUMBER($B78),ISNUMBER(N$7)),ROUND(ABS($B78-N$7),6),"")</f>
        <v/>
      </c>
      <c r="O78" s="9">
        <f>IF(AND(ISNUMBER($B78),ISNUMBER(O$7)),ROUND(ABS($B78-O$7),6),"")</f>
        <v/>
      </c>
      <c r="P78" s="9">
        <f>IF(AND(ISNUMBER($B78),ISNUMBER(P$7)),ROUND(ABS($B78-P$7),6),"")</f>
        <v/>
      </c>
      <c r="Q78" s="9">
        <f>IF(AND(ISNUMBER($B78),ISNUMBER(Q$7)),ROUND(ABS($B78-Q$7),6),"")</f>
        <v/>
      </c>
      <c r="R78" s="9">
        <f>IF(AND(ISNUMBER($B78),ISNUMBER(R$7)),ROUND(ABS($B78-R$7),6),"")</f>
        <v/>
      </c>
      <c r="S78" s="9">
        <f>IF(AND(ISNUMBER($B78),ISNUMBER(S$7)),ROUND(ABS($B78-S$7),6),"")</f>
        <v/>
      </c>
    </row>
    <row r="79">
      <c r="A79" s="6" t="n"/>
      <c r="B79" s="6" t="n"/>
      <c r="C79" s="4">
        <f>IF($B79="","",IF(ISNUMBER($B79),IF(COUNT($H79:$S79)=0,"No sizes",INDEX($H$7:$S$7,MATCH(MIN($H79:$S79),$H79:$S79,0))),"Check length"))</f>
        <v/>
      </c>
      <c r="D79" s="4">
        <f>IF(ISNUMBER(C79),MIN($H79:$S79),"")</f>
        <v/>
      </c>
      <c r="E79" s="4">
        <f>IF(ISNUMBER(C79),IF(COUNTIF($H$7:$S$7,"&gt;="&amp;B79)=0,"None",SMALL($H$7:$S$7,COUNTIF($H$7:$S$7,"&lt;"&amp;B79)+1)),"")</f>
        <v/>
      </c>
      <c r="F79" s="4">
        <f>IF(ISNUMBER(C79),IF(COUNTIF($H79:$S79,D79)&gt;1,"Tie, first listed used",""),"")</f>
        <v/>
      </c>
      <c r="H79" s="9">
        <f>IF(AND(ISNUMBER($B79),ISNUMBER(H$7)),ROUND(ABS($B79-H$7),6),"")</f>
        <v/>
      </c>
      <c r="I79" s="9">
        <f>IF(AND(ISNUMBER($B79),ISNUMBER(I$7)),ROUND(ABS($B79-I$7),6),"")</f>
        <v/>
      </c>
      <c r="J79" s="9">
        <f>IF(AND(ISNUMBER($B79),ISNUMBER(J$7)),ROUND(ABS($B79-J$7),6),"")</f>
        <v/>
      </c>
      <c r="K79" s="9">
        <f>IF(AND(ISNUMBER($B79),ISNUMBER(K$7)),ROUND(ABS($B79-K$7),6),"")</f>
        <v/>
      </c>
      <c r="L79" s="9">
        <f>IF(AND(ISNUMBER($B79),ISNUMBER(L$7)),ROUND(ABS($B79-L$7),6),"")</f>
        <v/>
      </c>
      <c r="M79" s="9">
        <f>IF(AND(ISNUMBER($B79),ISNUMBER(M$7)),ROUND(ABS($B79-M$7),6),"")</f>
        <v/>
      </c>
      <c r="N79" s="9">
        <f>IF(AND(ISNUMBER($B79),ISNUMBER(N$7)),ROUND(ABS($B79-N$7),6),"")</f>
        <v/>
      </c>
      <c r="O79" s="9">
        <f>IF(AND(ISNUMBER($B79),ISNUMBER(O$7)),ROUND(ABS($B79-O$7),6),"")</f>
        <v/>
      </c>
      <c r="P79" s="9">
        <f>IF(AND(ISNUMBER($B79),ISNUMBER(P$7)),ROUND(ABS($B79-P$7),6),"")</f>
        <v/>
      </c>
      <c r="Q79" s="9">
        <f>IF(AND(ISNUMBER($B79),ISNUMBER(Q$7)),ROUND(ABS($B79-Q$7),6),"")</f>
        <v/>
      </c>
      <c r="R79" s="9">
        <f>IF(AND(ISNUMBER($B79),ISNUMBER(R$7)),ROUND(ABS($B79-R$7),6),"")</f>
        <v/>
      </c>
      <c r="S79" s="9">
        <f>IF(AND(ISNUMBER($B79),ISNUMBER(S$7)),ROUND(ABS($B79-S$7),6),"")</f>
        <v/>
      </c>
    </row>
    <row r="80">
      <c r="A80" s="6" t="n"/>
      <c r="B80" s="6" t="n"/>
      <c r="C80" s="4">
        <f>IF($B80="","",IF(ISNUMBER($B80),IF(COUNT($H80:$S80)=0,"No sizes",INDEX($H$7:$S$7,MATCH(MIN($H80:$S80),$H80:$S80,0))),"Check length"))</f>
        <v/>
      </c>
      <c r="D80" s="4">
        <f>IF(ISNUMBER(C80),MIN($H80:$S80),"")</f>
        <v/>
      </c>
      <c r="E80" s="4">
        <f>IF(ISNUMBER(C80),IF(COUNTIF($H$7:$S$7,"&gt;="&amp;B80)=0,"None",SMALL($H$7:$S$7,COUNTIF($H$7:$S$7,"&lt;"&amp;B80)+1)),"")</f>
        <v/>
      </c>
      <c r="F80" s="4">
        <f>IF(ISNUMBER(C80),IF(COUNTIF($H80:$S80,D80)&gt;1,"Tie, first listed used",""),"")</f>
        <v/>
      </c>
      <c r="H80" s="9">
        <f>IF(AND(ISNUMBER($B80),ISNUMBER(H$7)),ROUND(ABS($B80-H$7),6),"")</f>
        <v/>
      </c>
      <c r="I80" s="9">
        <f>IF(AND(ISNUMBER($B80),ISNUMBER(I$7)),ROUND(ABS($B80-I$7),6),"")</f>
        <v/>
      </c>
      <c r="J80" s="9">
        <f>IF(AND(ISNUMBER($B80),ISNUMBER(J$7)),ROUND(ABS($B80-J$7),6),"")</f>
        <v/>
      </c>
      <c r="K80" s="9">
        <f>IF(AND(ISNUMBER($B80),ISNUMBER(K$7)),ROUND(ABS($B80-K$7),6),"")</f>
        <v/>
      </c>
      <c r="L80" s="9">
        <f>IF(AND(ISNUMBER($B80),ISNUMBER(L$7)),ROUND(ABS($B80-L$7),6),"")</f>
        <v/>
      </c>
      <c r="M80" s="9">
        <f>IF(AND(ISNUMBER($B80),ISNUMBER(M$7)),ROUND(ABS($B80-M$7),6),"")</f>
        <v/>
      </c>
      <c r="N80" s="9">
        <f>IF(AND(ISNUMBER($B80),ISNUMBER(N$7)),ROUND(ABS($B80-N$7),6),"")</f>
        <v/>
      </c>
      <c r="O80" s="9">
        <f>IF(AND(ISNUMBER($B80),ISNUMBER(O$7)),ROUND(ABS($B80-O$7),6),"")</f>
        <v/>
      </c>
      <c r="P80" s="9">
        <f>IF(AND(ISNUMBER($B80),ISNUMBER(P$7)),ROUND(ABS($B80-P$7),6),"")</f>
        <v/>
      </c>
      <c r="Q80" s="9">
        <f>IF(AND(ISNUMBER($B80),ISNUMBER(Q$7)),ROUND(ABS($B80-Q$7),6),"")</f>
        <v/>
      </c>
      <c r="R80" s="9">
        <f>IF(AND(ISNUMBER($B80),ISNUMBER(R$7)),ROUND(ABS($B80-R$7),6),"")</f>
        <v/>
      </c>
      <c r="S80" s="9">
        <f>IF(AND(ISNUMBER($B80),ISNUMBER(S$7)),ROUND(ABS($B80-S$7),6),"")</f>
        <v/>
      </c>
    </row>
    <row r="81">
      <c r="A81" s="6" t="n"/>
      <c r="B81" s="6" t="n"/>
      <c r="C81" s="4">
        <f>IF($B81="","",IF(ISNUMBER($B81),IF(COUNT($H81:$S81)=0,"No sizes",INDEX($H$7:$S$7,MATCH(MIN($H81:$S81),$H81:$S81,0))),"Check length"))</f>
        <v/>
      </c>
      <c r="D81" s="4">
        <f>IF(ISNUMBER(C81),MIN($H81:$S81),"")</f>
        <v/>
      </c>
      <c r="E81" s="4">
        <f>IF(ISNUMBER(C81),IF(COUNTIF($H$7:$S$7,"&gt;="&amp;B81)=0,"None",SMALL($H$7:$S$7,COUNTIF($H$7:$S$7,"&lt;"&amp;B81)+1)),"")</f>
        <v/>
      </c>
      <c r="F81" s="4">
        <f>IF(ISNUMBER(C81),IF(COUNTIF($H81:$S81,D81)&gt;1,"Tie, first listed used",""),"")</f>
        <v/>
      </c>
      <c r="H81" s="9">
        <f>IF(AND(ISNUMBER($B81),ISNUMBER(H$7)),ROUND(ABS($B81-H$7),6),"")</f>
        <v/>
      </c>
      <c r="I81" s="9">
        <f>IF(AND(ISNUMBER($B81),ISNUMBER(I$7)),ROUND(ABS($B81-I$7),6),"")</f>
        <v/>
      </c>
      <c r="J81" s="9">
        <f>IF(AND(ISNUMBER($B81),ISNUMBER(J$7)),ROUND(ABS($B81-J$7),6),"")</f>
        <v/>
      </c>
      <c r="K81" s="9">
        <f>IF(AND(ISNUMBER($B81),ISNUMBER(K$7)),ROUND(ABS($B81-K$7),6),"")</f>
        <v/>
      </c>
      <c r="L81" s="9">
        <f>IF(AND(ISNUMBER($B81),ISNUMBER(L$7)),ROUND(ABS($B81-L$7),6),"")</f>
        <v/>
      </c>
      <c r="M81" s="9">
        <f>IF(AND(ISNUMBER($B81),ISNUMBER(M$7)),ROUND(ABS($B81-M$7),6),"")</f>
        <v/>
      </c>
      <c r="N81" s="9">
        <f>IF(AND(ISNUMBER($B81),ISNUMBER(N$7)),ROUND(ABS($B81-N$7),6),"")</f>
        <v/>
      </c>
      <c r="O81" s="9">
        <f>IF(AND(ISNUMBER($B81),ISNUMBER(O$7)),ROUND(ABS($B81-O$7),6),"")</f>
        <v/>
      </c>
      <c r="P81" s="9">
        <f>IF(AND(ISNUMBER($B81),ISNUMBER(P$7)),ROUND(ABS($B81-P$7),6),"")</f>
        <v/>
      </c>
      <c r="Q81" s="9">
        <f>IF(AND(ISNUMBER($B81),ISNUMBER(Q$7)),ROUND(ABS($B81-Q$7),6),"")</f>
        <v/>
      </c>
      <c r="R81" s="9">
        <f>IF(AND(ISNUMBER($B81),ISNUMBER(R$7)),ROUND(ABS($B81-R$7),6),"")</f>
        <v/>
      </c>
      <c r="S81" s="9">
        <f>IF(AND(ISNUMBER($B81),ISNUMBER(S$7)),ROUND(ABS($B81-S$7),6),"")</f>
        <v/>
      </c>
    </row>
    <row r="82">
      <c r="A82" s="6" t="n"/>
      <c r="B82" s="6" t="n"/>
      <c r="C82" s="4">
        <f>IF($B82="","",IF(ISNUMBER($B82),IF(COUNT($H82:$S82)=0,"No sizes",INDEX($H$7:$S$7,MATCH(MIN($H82:$S82),$H82:$S82,0))),"Check length"))</f>
        <v/>
      </c>
      <c r="D82" s="4">
        <f>IF(ISNUMBER(C82),MIN($H82:$S82),"")</f>
        <v/>
      </c>
      <c r="E82" s="4">
        <f>IF(ISNUMBER(C82),IF(COUNTIF($H$7:$S$7,"&gt;="&amp;B82)=0,"None",SMALL($H$7:$S$7,COUNTIF($H$7:$S$7,"&lt;"&amp;B82)+1)),"")</f>
        <v/>
      </c>
      <c r="F82" s="4">
        <f>IF(ISNUMBER(C82),IF(COUNTIF($H82:$S82,D82)&gt;1,"Tie, first listed used",""),"")</f>
        <v/>
      </c>
      <c r="H82" s="9">
        <f>IF(AND(ISNUMBER($B82),ISNUMBER(H$7)),ROUND(ABS($B82-H$7),6),"")</f>
        <v/>
      </c>
      <c r="I82" s="9">
        <f>IF(AND(ISNUMBER($B82),ISNUMBER(I$7)),ROUND(ABS($B82-I$7),6),"")</f>
        <v/>
      </c>
      <c r="J82" s="9">
        <f>IF(AND(ISNUMBER($B82),ISNUMBER(J$7)),ROUND(ABS($B82-J$7),6),"")</f>
        <v/>
      </c>
      <c r="K82" s="9">
        <f>IF(AND(ISNUMBER($B82),ISNUMBER(K$7)),ROUND(ABS($B82-K$7),6),"")</f>
        <v/>
      </c>
      <c r="L82" s="9">
        <f>IF(AND(ISNUMBER($B82),ISNUMBER(L$7)),ROUND(ABS($B82-L$7),6),"")</f>
        <v/>
      </c>
      <c r="M82" s="9">
        <f>IF(AND(ISNUMBER($B82),ISNUMBER(M$7)),ROUND(ABS($B82-M$7),6),"")</f>
        <v/>
      </c>
      <c r="N82" s="9">
        <f>IF(AND(ISNUMBER($B82),ISNUMBER(N$7)),ROUND(ABS($B82-N$7),6),"")</f>
        <v/>
      </c>
      <c r="O82" s="9">
        <f>IF(AND(ISNUMBER($B82),ISNUMBER(O$7)),ROUND(ABS($B82-O$7),6),"")</f>
        <v/>
      </c>
      <c r="P82" s="9">
        <f>IF(AND(ISNUMBER($B82),ISNUMBER(P$7)),ROUND(ABS($B82-P$7),6),"")</f>
        <v/>
      </c>
      <c r="Q82" s="9">
        <f>IF(AND(ISNUMBER($B82),ISNUMBER(Q$7)),ROUND(ABS($B82-Q$7),6),"")</f>
        <v/>
      </c>
      <c r="R82" s="9">
        <f>IF(AND(ISNUMBER($B82),ISNUMBER(R$7)),ROUND(ABS($B82-R$7),6),"")</f>
        <v/>
      </c>
      <c r="S82" s="9">
        <f>IF(AND(ISNUMBER($B82),ISNUMBER(S$7)),ROUND(ABS($B82-S$7),6),"")</f>
        <v/>
      </c>
    </row>
    <row r="83">
      <c r="A83" s="6" t="n"/>
      <c r="B83" s="6" t="n"/>
      <c r="C83" s="4">
        <f>IF($B83="","",IF(ISNUMBER($B83),IF(COUNT($H83:$S83)=0,"No sizes",INDEX($H$7:$S$7,MATCH(MIN($H83:$S83),$H83:$S83,0))),"Check length"))</f>
        <v/>
      </c>
      <c r="D83" s="4">
        <f>IF(ISNUMBER(C83),MIN($H83:$S83),"")</f>
        <v/>
      </c>
      <c r="E83" s="4">
        <f>IF(ISNUMBER(C83),IF(COUNTIF($H$7:$S$7,"&gt;="&amp;B83)=0,"None",SMALL($H$7:$S$7,COUNTIF($H$7:$S$7,"&lt;"&amp;B83)+1)),"")</f>
        <v/>
      </c>
      <c r="F83" s="4">
        <f>IF(ISNUMBER(C83),IF(COUNTIF($H83:$S83,D83)&gt;1,"Tie, first listed used",""),"")</f>
        <v/>
      </c>
      <c r="H83" s="9">
        <f>IF(AND(ISNUMBER($B83),ISNUMBER(H$7)),ROUND(ABS($B83-H$7),6),"")</f>
        <v/>
      </c>
      <c r="I83" s="9">
        <f>IF(AND(ISNUMBER($B83),ISNUMBER(I$7)),ROUND(ABS($B83-I$7),6),"")</f>
        <v/>
      </c>
      <c r="J83" s="9">
        <f>IF(AND(ISNUMBER($B83),ISNUMBER(J$7)),ROUND(ABS($B83-J$7),6),"")</f>
        <v/>
      </c>
      <c r="K83" s="9">
        <f>IF(AND(ISNUMBER($B83),ISNUMBER(K$7)),ROUND(ABS($B83-K$7),6),"")</f>
        <v/>
      </c>
      <c r="L83" s="9">
        <f>IF(AND(ISNUMBER($B83),ISNUMBER(L$7)),ROUND(ABS($B83-L$7),6),"")</f>
        <v/>
      </c>
      <c r="M83" s="9">
        <f>IF(AND(ISNUMBER($B83),ISNUMBER(M$7)),ROUND(ABS($B83-M$7),6),"")</f>
        <v/>
      </c>
      <c r="N83" s="9">
        <f>IF(AND(ISNUMBER($B83),ISNUMBER(N$7)),ROUND(ABS($B83-N$7),6),"")</f>
        <v/>
      </c>
      <c r="O83" s="9">
        <f>IF(AND(ISNUMBER($B83),ISNUMBER(O$7)),ROUND(ABS($B83-O$7),6),"")</f>
        <v/>
      </c>
      <c r="P83" s="9">
        <f>IF(AND(ISNUMBER($B83),ISNUMBER(P$7)),ROUND(ABS($B83-P$7),6),"")</f>
        <v/>
      </c>
      <c r="Q83" s="9">
        <f>IF(AND(ISNUMBER($B83),ISNUMBER(Q$7)),ROUND(ABS($B83-Q$7),6),"")</f>
        <v/>
      </c>
      <c r="R83" s="9">
        <f>IF(AND(ISNUMBER($B83),ISNUMBER(R$7)),ROUND(ABS($B83-R$7),6),"")</f>
        <v/>
      </c>
      <c r="S83" s="9">
        <f>IF(AND(ISNUMBER($B83),ISNUMBER(S$7)),ROUND(ABS($B83-S$7),6),"")</f>
        <v/>
      </c>
    </row>
    <row r="84">
      <c r="A84" s="6" t="n"/>
      <c r="B84" s="6" t="n"/>
      <c r="C84" s="4">
        <f>IF($B84="","",IF(ISNUMBER($B84),IF(COUNT($H84:$S84)=0,"No sizes",INDEX($H$7:$S$7,MATCH(MIN($H84:$S84),$H84:$S84,0))),"Check length"))</f>
        <v/>
      </c>
      <c r="D84" s="4">
        <f>IF(ISNUMBER(C84),MIN($H84:$S84),"")</f>
        <v/>
      </c>
      <c r="E84" s="4">
        <f>IF(ISNUMBER(C84),IF(COUNTIF($H$7:$S$7,"&gt;="&amp;B84)=0,"None",SMALL($H$7:$S$7,COUNTIF($H$7:$S$7,"&lt;"&amp;B84)+1)),"")</f>
        <v/>
      </c>
      <c r="F84" s="4">
        <f>IF(ISNUMBER(C84),IF(COUNTIF($H84:$S84,D84)&gt;1,"Tie, first listed used",""),"")</f>
        <v/>
      </c>
      <c r="H84" s="9">
        <f>IF(AND(ISNUMBER($B84),ISNUMBER(H$7)),ROUND(ABS($B84-H$7),6),"")</f>
        <v/>
      </c>
      <c r="I84" s="9">
        <f>IF(AND(ISNUMBER($B84),ISNUMBER(I$7)),ROUND(ABS($B84-I$7),6),"")</f>
        <v/>
      </c>
      <c r="J84" s="9">
        <f>IF(AND(ISNUMBER($B84),ISNUMBER(J$7)),ROUND(ABS($B84-J$7),6),"")</f>
        <v/>
      </c>
      <c r="K84" s="9">
        <f>IF(AND(ISNUMBER($B84),ISNUMBER(K$7)),ROUND(ABS($B84-K$7),6),"")</f>
        <v/>
      </c>
      <c r="L84" s="9">
        <f>IF(AND(ISNUMBER($B84),ISNUMBER(L$7)),ROUND(ABS($B84-L$7),6),"")</f>
        <v/>
      </c>
      <c r="M84" s="9">
        <f>IF(AND(ISNUMBER($B84),ISNUMBER(M$7)),ROUND(ABS($B84-M$7),6),"")</f>
        <v/>
      </c>
      <c r="N84" s="9">
        <f>IF(AND(ISNUMBER($B84),ISNUMBER(N$7)),ROUND(ABS($B84-N$7),6),"")</f>
        <v/>
      </c>
      <c r="O84" s="9">
        <f>IF(AND(ISNUMBER($B84),ISNUMBER(O$7)),ROUND(ABS($B84-O$7),6),"")</f>
        <v/>
      </c>
      <c r="P84" s="9">
        <f>IF(AND(ISNUMBER($B84),ISNUMBER(P$7)),ROUND(ABS($B84-P$7),6),"")</f>
        <v/>
      </c>
      <c r="Q84" s="9">
        <f>IF(AND(ISNUMBER($B84),ISNUMBER(Q$7)),ROUND(ABS($B84-Q$7),6),"")</f>
        <v/>
      </c>
      <c r="R84" s="9">
        <f>IF(AND(ISNUMBER($B84),ISNUMBER(R$7)),ROUND(ABS($B84-R$7),6),"")</f>
        <v/>
      </c>
      <c r="S84" s="9">
        <f>IF(AND(ISNUMBER($B84),ISNUMBER(S$7)),ROUND(ABS($B84-S$7),6),"")</f>
        <v/>
      </c>
    </row>
    <row r="85">
      <c r="A85" s="6" t="n"/>
      <c r="B85" s="6" t="n"/>
      <c r="C85" s="4">
        <f>IF($B85="","",IF(ISNUMBER($B85),IF(COUNT($H85:$S85)=0,"No sizes",INDEX($H$7:$S$7,MATCH(MIN($H85:$S85),$H85:$S85,0))),"Check length"))</f>
        <v/>
      </c>
      <c r="D85" s="4">
        <f>IF(ISNUMBER(C85),MIN($H85:$S85),"")</f>
        <v/>
      </c>
      <c r="E85" s="4">
        <f>IF(ISNUMBER(C85),IF(COUNTIF($H$7:$S$7,"&gt;="&amp;B85)=0,"None",SMALL($H$7:$S$7,COUNTIF($H$7:$S$7,"&lt;"&amp;B85)+1)),"")</f>
        <v/>
      </c>
      <c r="F85" s="4">
        <f>IF(ISNUMBER(C85),IF(COUNTIF($H85:$S85,D85)&gt;1,"Tie, first listed used",""),"")</f>
        <v/>
      </c>
      <c r="H85" s="9">
        <f>IF(AND(ISNUMBER($B85),ISNUMBER(H$7)),ROUND(ABS($B85-H$7),6),"")</f>
        <v/>
      </c>
      <c r="I85" s="9">
        <f>IF(AND(ISNUMBER($B85),ISNUMBER(I$7)),ROUND(ABS($B85-I$7),6),"")</f>
        <v/>
      </c>
      <c r="J85" s="9">
        <f>IF(AND(ISNUMBER($B85),ISNUMBER(J$7)),ROUND(ABS($B85-J$7),6),"")</f>
        <v/>
      </c>
      <c r="K85" s="9">
        <f>IF(AND(ISNUMBER($B85),ISNUMBER(K$7)),ROUND(ABS($B85-K$7),6),"")</f>
        <v/>
      </c>
      <c r="L85" s="9">
        <f>IF(AND(ISNUMBER($B85),ISNUMBER(L$7)),ROUND(ABS($B85-L$7),6),"")</f>
        <v/>
      </c>
      <c r="M85" s="9">
        <f>IF(AND(ISNUMBER($B85),ISNUMBER(M$7)),ROUND(ABS($B85-M$7),6),"")</f>
        <v/>
      </c>
      <c r="N85" s="9">
        <f>IF(AND(ISNUMBER($B85),ISNUMBER(N$7)),ROUND(ABS($B85-N$7),6),"")</f>
        <v/>
      </c>
      <c r="O85" s="9">
        <f>IF(AND(ISNUMBER($B85),ISNUMBER(O$7)),ROUND(ABS($B85-O$7),6),"")</f>
        <v/>
      </c>
      <c r="P85" s="9">
        <f>IF(AND(ISNUMBER($B85),ISNUMBER(P$7)),ROUND(ABS($B85-P$7),6),"")</f>
        <v/>
      </c>
      <c r="Q85" s="9">
        <f>IF(AND(ISNUMBER($B85),ISNUMBER(Q$7)),ROUND(ABS($B85-Q$7),6),"")</f>
        <v/>
      </c>
      <c r="R85" s="9">
        <f>IF(AND(ISNUMBER($B85),ISNUMBER(R$7)),ROUND(ABS($B85-R$7),6),"")</f>
        <v/>
      </c>
      <c r="S85" s="9">
        <f>IF(AND(ISNUMBER($B85),ISNUMBER(S$7)),ROUND(ABS($B85-S$7),6),"")</f>
        <v/>
      </c>
    </row>
    <row r="86">
      <c r="A86" s="6" t="n"/>
      <c r="B86" s="6" t="n"/>
      <c r="C86" s="4">
        <f>IF($B86="","",IF(ISNUMBER($B86),IF(COUNT($H86:$S86)=0,"No sizes",INDEX($H$7:$S$7,MATCH(MIN($H86:$S86),$H86:$S86,0))),"Check length"))</f>
        <v/>
      </c>
      <c r="D86" s="4">
        <f>IF(ISNUMBER(C86),MIN($H86:$S86),"")</f>
        <v/>
      </c>
      <c r="E86" s="4">
        <f>IF(ISNUMBER(C86),IF(COUNTIF($H$7:$S$7,"&gt;="&amp;B86)=0,"None",SMALL($H$7:$S$7,COUNTIF($H$7:$S$7,"&lt;"&amp;B86)+1)),"")</f>
        <v/>
      </c>
      <c r="F86" s="4">
        <f>IF(ISNUMBER(C86),IF(COUNTIF($H86:$S86,D86)&gt;1,"Tie, first listed used",""),"")</f>
        <v/>
      </c>
      <c r="H86" s="9">
        <f>IF(AND(ISNUMBER($B86),ISNUMBER(H$7)),ROUND(ABS($B86-H$7),6),"")</f>
        <v/>
      </c>
      <c r="I86" s="9">
        <f>IF(AND(ISNUMBER($B86),ISNUMBER(I$7)),ROUND(ABS($B86-I$7),6),"")</f>
        <v/>
      </c>
      <c r="J86" s="9">
        <f>IF(AND(ISNUMBER($B86),ISNUMBER(J$7)),ROUND(ABS($B86-J$7),6),"")</f>
        <v/>
      </c>
      <c r="K86" s="9">
        <f>IF(AND(ISNUMBER($B86),ISNUMBER(K$7)),ROUND(ABS($B86-K$7),6),"")</f>
        <v/>
      </c>
      <c r="L86" s="9">
        <f>IF(AND(ISNUMBER($B86),ISNUMBER(L$7)),ROUND(ABS($B86-L$7),6),"")</f>
        <v/>
      </c>
      <c r="M86" s="9">
        <f>IF(AND(ISNUMBER($B86),ISNUMBER(M$7)),ROUND(ABS($B86-M$7),6),"")</f>
        <v/>
      </c>
      <c r="N86" s="9">
        <f>IF(AND(ISNUMBER($B86),ISNUMBER(N$7)),ROUND(ABS($B86-N$7),6),"")</f>
        <v/>
      </c>
      <c r="O86" s="9">
        <f>IF(AND(ISNUMBER($B86),ISNUMBER(O$7)),ROUND(ABS($B86-O$7),6),"")</f>
        <v/>
      </c>
      <c r="P86" s="9">
        <f>IF(AND(ISNUMBER($B86),ISNUMBER(P$7)),ROUND(ABS($B86-P$7),6),"")</f>
        <v/>
      </c>
      <c r="Q86" s="9">
        <f>IF(AND(ISNUMBER($B86),ISNUMBER(Q$7)),ROUND(ABS($B86-Q$7),6),"")</f>
        <v/>
      </c>
      <c r="R86" s="9">
        <f>IF(AND(ISNUMBER($B86),ISNUMBER(R$7)),ROUND(ABS($B86-R$7),6),"")</f>
        <v/>
      </c>
      <c r="S86" s="9">
        <f>IF(AND(ISNUMBER($B86),ISNUMBER(S$7)),ROUND(ABS($B86-S$7),6),"")</f>
        <v/>
      </c>
    </row>
    <row r="87">
      <c r="A87" s="6" t="n"/>
      <c r="B87" s="6" t="n"/>
      <c r="C87" s="4">
        <f>IF($B87="","",IF(ISNUMBER($B87),IF(COUNT($H87:$S87)=0,"No sizes",INDEX($H$7:$S$7,MATCH(MIN($H87:$S87),$H87:$S87,0))),"Check length"))</f>
        <v/>
      </c>
      <c r="D87" s="4">
        <f>IF(ISNUMBER(C87),MIN($H87:$S87),"")</f>
        <v/>
      </c>
      <c r="E87" s="4">
        <f>IF(ISNUMBER(C87),IF(COUNTIF($H$7:$S$7,"&gt;="&amp;B87)=0,"None",SMALL($H$7:$S$7,COUNTIF($H$7:$S$7,"&lt;"&amp;B87)+1)),"")</f>
        <v/>
      </c>
      <c r="F87" s="4">
        <f>IF(ISNUMBER(C87),IF(COUNTIF($H87:$S87,D87)&gt;1,"Tie, first listed used",""),"")</f>
        <v/>
      </c>
      <c r="H87" s="9">
        <f>IF(AND(ISNUMBER($B87),ISNUMBER(H$7)),ROUND(ABS($B87-H$7),6),"")</f>
        <v/>
      </c>
      <c r="I87" s="9">
        <f>IF(AND(ISNUMBER($B87),ISNUMBER(I$7)),ROUND(ABS($B87-I$7),6),"")</f>
        <v/>
      </c>
      <c r="J87" s="9">
        <f>IF(AND(ISNUMBER($B87),ISNUMBER(J$7)),ROUND(ABS($B87-J$7),6),"")</f>
        <v/>
      </c>
      <c r="K87" s="9">
        <f>IF(AND(ISNUMBER($B87),ISNUMBER(K$7)),ROUND(ABS($B87-K$7),6),"")</f>
        <v/>
      </c>
      <c r="L87" s="9">
        <f>IF(AND(ISNUMBER($B87),ISNUMBER(L$7)),ROUND(ABS($B87-L$7),6),"")</f>
        <v/>
      </c>
      <c r="M87" s="9">
        <f>IF(AND(ISNUMBER($B87),ISNUMBER(M$7)),ROUND(ABS($B87-M$7),6),"")</f>
        <v/>
      </c>
      <c r="N87" s="9">
        <f>IF(AND(ISNUMBER($B87),ISNUMBER(N$7)),ROUND(ABS($B87-N$7),6),"")</f>
        <v/>
      </c>
      <c r="O87" s="9">
        <f>IF(AND(ISNUMBER($B87),ISNUMBER(O$7)),ROUND(ABS($B87-O$7),6),"")</f>
        <v/>
      </c>
      <c r="P87" s="9">
        <f>IF(AND(ISNUMBER($B87),ISNUMBER(P$7)),ROUND(ABS($B87-P$7),6),"")</f>
        <v/>
      </c>
      <c r="Q87" s="9">
        <f>IF(AND(ISNUMBER($B87),ISNUMBER(Q$7)),ROUND(ABS($B87-Q$7),6),"")</f>
        <v/>
      </c>
      <c r="R87" s="9">
        <f>IF(AND(ISNUMBER($B87),ISNUMBER(R$7)),ROUND(ABS($B87-R$7),6),"")</f>
        <v/>
      </c>
      <c r="S87" s="9">
        <f>IF(AND(ISNUMBER($B87),ISNUMBER(S$7)),ROUND(ABS($B87-S$7),6),"")</f>
        <v/>
      </c>
    </row>
    <row r="88">
      <c r="A88" s="6" t="n"/>
      <c r="B88" s="6" t="n"/>
      <c r="C88" s="4">
        <f>IF($B88="","",IF(ISNUMBER($B88),IF(COUNT($H88:$S88)=0,"No sizes",INDEX($H$7:$S$7,MATCH(MIN($H88:$S88),$H88:$S88,0))),"Check length"))</f>
        <v/>
      </c>
      <c r="D88" s="4">
        <f>IF(ISNUMBER(C88),MIN($H88:$S88),"")</f>
        <v/>
      </c>
      <c r="E88" s="4">
        <f>IF(ISNUMBER(C88),IF(COUNTIF($H$7:$S$7,"&gt;="&amp;B88)=0,"None",SMALL($H$7:$S$7,COUNTIF($H$7:$S$7,"&lt;"&amp;B88)+1)),"")</f>
        <v/>
      </c>
      <c r="F88" s="4">
        <f>IF(ISNUMBER(C88),IF(COUNTIF($H88:$S88,D88)&gt;1,"Tie, first listed used",""),"")</f>
        <v/>
      </c>
      <c r="H88" s="9">
        <f>IF(AND(ISNUMBER($B88),ISNUMBER(H$7)),ROUND(ABS($B88-H$7),6),"")</f>
        <v/>
      </c>
      <c r="I88" s="9">
        <f>IF(AND(ISNUMBER($B88),ISNUMBER(I$7)),ROUND(ABS($B88-I$7),6),"")</f>
        <v/>
      </c>
      <c r="J88" s="9">
        <f>IF(AND(ISNUMBER($B88),ISNUMBER(J$7)),ROUND(ABS($B88-J$7),6),"")</f>
        <v/>
      </c>
      <c r="K88" s="9">
        <f>IF(AND(ISNUMBER($B88),ISNUMBER(K$7)),ROUND(ABS($B88-K$7),6),"")</f>
        <v/>
      </c>
      <c r="L88" s="9">
        <f>IF(AND(ISNUMBER($B88),ISNUMBER(L$7)),ROUND(ABS($B88-L$7),6),"")</f>
        <v/>
      </c>
      <c r="M88" s="9">
        <f>IF(AND(ISNUMBER($B88),ISNUMBER(M$7)),ROUND(ABS($B88-M$7),6),"")</f>
        <v/>
      </c>
      <c r="N88" s="9">
        <f>IF(AND(ISNUMBER($B88),ISNUMBER(N$7)),ROUND(ABS($B88-N$7),6),"")</f>
        <v/>
      </c>
      <c r="O88" s="9">
        <f>IF(AND(ISNUMBER($B88),ISNUMBER(O$7)),ROUND(ABS($B88-O$7),6),"")</f>
        <v/>
      </c>
      <c r="P88" s="9">
        <f>IF(AND(ISNUMBER($B88),ISNUMBER(P$7)),ROUND(ABS($B88-P$7),6),"")</f>
        <v/>
      </c>
      <c r="Q88" s="9">
        <f>IF(AND(ISNUMBER($B88),ISNUMBER(Q$7)),ROUND(ABS($B88-Q$7),6),"")</f>
        <v/>
      </c>
      <c r="R88" s="9">
        <f>IF(AND(ISNUMBER($B88),ISNUMBER(R$7)),ROUND(ABS($B88-R$7),6),"")</f>
        <v/>
      </c>
      <c r="S88" s="9">
        <f>IF(AND(ISNUMBER($B88),ISNUMBER(S$7)),ROUND(ABS($B88-S$7),6),"")</f>
        <v/>
      </c>
    </row>
    <row r="89">
      <c r="A89" s="6" t="n"/>
      <c r="B89" s="6" t="n"/>
      <c r="C89" s="4">
        <f>IF($B89="","",IF(ISNUMBER($B89),IF(COUNT($H89:$S89)=0,"No sizes",INDEX($H$7:$S$7,MATCH(MIN($H89:$S89),$H89:$S89,0))),"Check length"))</f>
        <v/>
      </c>
      <c r="D89" s="4">
        <f>IF(ISNUMBER(C89),MIN($H89:$S89),"")</f>
        <v/>
      </c>
      <c r="E89" s="4">
        <f>IF(ISNUMBER(C89),IF(COUNTIF($H$7:$S$7,"&gt;="&amp;B89)=0,"None",SMALL($H$7:$S$7,COUNTIF($H$7:$S$7,"&lt;"&amp;B89)+1)),"")</f>
        <v/>
      </c>
      <c r="F89" s="4">
        <f>IF(ISNUMBER(C89),IF(COUNTIF($H89:$S89,D89)&gt;1,"Tie, first listed used",""),"")</f>
        <v/>
      </c>
      <c r="H89" s="9">
        <f>IF(AND(ISNUMBER($B89),ISNUMBER(H$7)),ROUND(ABS($B89-H$7),6),"")</f>
        <v/>
      </c>
      <c r="I89" s="9">
        <f>IF(AND(ISNUMBER($B89),ISNUMBER(I$7)),ROUND(ABS($B89-I$7),6),"")</f>
        <v/>
      </c>
      <c r="J89" s="9">
        <f>IF(AND(ISNUMBER($B89),ISNUMBER(J$7)),ROUND(ABS($B89-J$7),6),"")</f>
        <v/>
      </c>
      <c r="K89" s="9">
        <f>IF(AND(ISNUMBER($B89),ISNUMBER(K$7)),ROUND(ABS($B89-K$7),6),"")</f>
        <v/>
      </c>
      <c r="L89" s="9">
        <f>IF(AND(ISNUMBER($B89),ISNUMBER(L$7)),ROUND(ABS($B89-L$7),6),"")</f>
        <v/>
      </c>
      <c r="M89" s="9">
        <f>IF(AND(ISNUMBER($B89),ISNUMBER(M$7)),ROUND(ABS($B89-M$7),6),"")</f>
        <v/>
      </c>
      <c r="N89" s="9">
        <f>IF(AND(ISNUMBER($B89),ISNUMBER(N$7)),ROUND(ABS($B89-N$7),6),"")</f>
        <v/>
      </c>
      <c r="O89" s="9">
        <f>IF(AND(ISNUMBER($B89),ISNUMBER(O$7)),ROUND(ABS($B89-O$7),6),"")</f>
        <v/>
      </c>
      <c r="P89" s="9">
        <f>IF(AND(ISNUMBER($B89),ISNUMBER(P$7)),ROUND(ABS($B89-P$7),6),"")</f>
        <v/>
      </c>
      <c r="Q89" s="9">
        <f>IF(AND(ISNUMBER($B89),ISNUMBER(Q$7)),ROUND(ABS($B89-Q$7),6),"")</f>
        <v/>
      </c>
      <c r="R89" s="9">
        <f>IF(AND(ISNUMBER($B89),ISNUMBER(R$7)),ROUND(ABS($B89-R$7),6),"")</f>
        <v/>
      </c>
      <c r="S89" s="9">
        <f>IF(AND(ISNUMBER($B89),ISNUMBER(S$7)),ROUND(ABS($B89-S$7),6),"")</f>
        <v/>
      </c>
    </row>
    <row r="90">
      <c r="A90" s="6" t="n"/>
      <c r="B90" s="6" t="n"/>
      <c r="C90" s="4">
        <f>IF($B90="","",IF(ISNUMBER($B90),IF(COUNT($H90:$S90)=0,"No sizes",INDEX($H$7:$S$7,MATCH(MIN($H90:$S90),$H90:$S90,0))),"Check length"))</f>
        <v/>
      </c>
      <c r="D90" s="4">
        <f>IF(ISNUMBER(C90),MIN($H90:$S90),"")</f>
        <v/>
      </c>
      <c r="E90" s="4">
        <f>IF(ISNUMBER(C90),IF(COUNTIF($H$7:$S$7,"&gt;="&amp;B90)=0,"None",SMALL($H$7:$S$7,COUNTIF($H$7:$S$7,"&lt;"&amp;B90)+1)),"")</f>
        <v/>
      </c>
      <c r="F90" s="4">
        <f>IF(ISNUMBER(C90),IF(COUNTIF($H90:$S90,D90)&gt;1,"Tie, first listed used",""),"")</f>
        <v/>
      </c>
      <c r="H90" s="9">
        <f>IF(AND(ISNUMBER($B90),ISNUMBER(H$7)),ROUND(ABS($B90-H$7),6),"")</f>
        <v/>
      </c>
      <c r="I90" s="9">
        <f>IF(AND(ISNUMBER($B90),ISNUMBER(I$7)),ROUND(ABS($B90-I$7),6),"")</f>
        <v/>
      </c>
      <c r="J90" s="9">
        <f>IF(AND(ISNUMBER($B90),ISNUMBER(J$7)),ROUND(ABS($B90-J$7),6),"")</f>
        <v/>
      </c>
      <c r="K90" s="9">
        <f>IF(AND(ISNUMBER($B90),ISNUMBER(K$7)),ROUND(ABS($B90-K$7),6),"")</f>
        <v/>
      </c>
      <c r="L90" s="9">
        <f>IF(AND(ISNUMBER($B90),ISNUMBER(L$7)),ROUND(ABS($B90-L$7),6),"")</f>
        <v/>
      </c>
      <c r="M90" s="9">
        <f>IF(AND(ISNUMBER($B90),ISNUMBER(M$7)),ROUND(ABS($B90-M$7),6),"")</f>
        <v/>
      </c>
      <c r="N90" s="9">
        <f>IF(AND(ISNUMBER($B90),ISNUMBER(N$7)),ROUND(ABS($B90-N$7),6),"")</f>
        <v/>
      </c>
      <c r="O90" s="9">
        <f>IF(AND(ISNUMBER($B90),ISNUMBER(O$7)),ROUND(ABS($B90-O$7),6),"")</f>
        <v/>
      </c>
      <c r="P90" s="9">
        <f>IF(AND(ISNUMBER($B90),ISNUMBER(P$7)),ROUND(ABS($B90-P$7),6),"")</f>
        <v/>
      </c>
      <c r="Q90" s="9">
        <f>IF(AND(ISNUMBER($B90),ISNUMBER(Q$7)),ROUND(ABS($B90-Q$7),6),"")</f>
        <v/>
      </c>
      <c r="R90" s="9">
        <f>IF(AND(ISNUMBER($B90),ISNUMBER(R$7)),ROUND(ABS($B90-R$7),6),"")</f>
        <v/>
      </c>
      <c r="S90" s="9">
        <f>IF(AND(ISNUMBER($B90),ISNUMBER(S$7)),ROUND(ABS($B90-S$7),6),"")</f>
        <v/>
      </c>
    </row>
    <row r="91">
      <c r="A91" s="6" t="n"/>
      <c r="B91" s="6" t="n"/>
      <c r="C91" s="4">
        <f>IF($B91="","",IF(ISNUMBER($B91),IF(COUNT($H91:$S91)=0,"No sizes",INDEX($H$7:$S$7,MATCH(MIN($H91:$S91),$H91:$S91,0))),"Check length"))</f>
        <v/>
      </c>
      <c r="D91" s="4">
        <f>IF(ISNUMBER(C91),MIN($H91:$S91),"")</f>
        <v/>
      </c>
      <c r="E91" s="4">
        <f>IF(ISNUMBER(C91),IF(COUNTIF($H$7:$S$7,"&gt;="&amp;B91)=0,"None",SMALL($H$7:$S$7,COUNTIF($H$7:$S$7,"&lt;"&amp;B91)+1)),"")</f>
        <v/>
      </c>
      <c r="F91" s="4">
        <f>IF(ISNUMBER(C91),IF(COUNTIF($H91:$S91,D91)&gt;1,"Tie, first listed used",""),"")</f>
        <v/>
      </c>
      <c r="H91" s="9">
        <f>IF(AND(ISNUMBER($B91),ISNUMBER(H$7)),ROUND(ABS($B91-H$7),6),"")</f>
        <v/>
      </c>
      <c r="I91" s="9">
        <f>IF(AND(ISNUMBER($B91),ISNUMBER(I$7)),ROUND(ABS($B91-I$7),6),"")</f>
        <v/>
      </c>
      <c r="J91" s="9">
        <f>IF(AND(ISNUMBER($B91),ISNUMBER(J$7)),ROUND(ABS($B91-J$7),6),"")</f>
        <v/>
      </c>
      <c r="K91" s="9">
        <f>IF(AND(ISNUMBER($B91),ISNUMBER(K$7)),ROUND(ABS($B91-K$7),6),"")</f>
        <v/>
      </c>
      <c r="L91" s="9">
        <f>IF(AND(ISNUMBER($B91),ISNUMBER(L$7)),ROUND(ABS($B91-L$7),6),"")</f>
        <v/>
      </c>
      <c r="M91" s="9">
        <f>IF(AND(ISNUMBER($B91),ISNUMBER(M$7)),ROUND(ABS($B91-M$7),6),"")</f>
        <v/>
      </c>
      <c r="N91" s="9">
        <f>IF(AND(ISNUMBER($B91),ISNUMBER(N$7)),ROUND(ABS($B91-N$7),6),"")</f>
        <v/>
      </c>
      <c r="O91" s="9">
        <f>IF(AND(ISNUMBER($B91),ISNUMBER(O$7)),ROUND(ABS($B91-O$7),6),"")</f>
        <v/>
      </c>
      <c r="P91" s="9">
        <f>IF(AND(ISNUMBER($B91),ISNUMBER(P$7)),ROUND(ABS($B91-P$7),6),"")</f>
        <v/>
      </c>
      <c r="Q91" s="9">
        <f>IF(AND(ISNUMBER($B91),ISNUMBER(Q$7)),ROUND(ABS($B91-Q$7),6),"")</f>
        <v/>
      </c>
      <c r="R91" s="9">
        <f>IF(AND(ISNUMBER($B91),ISNUMBER(R$7)),ROUND(ABS($B91-R$7),6),"")</f>
        <v/>
      </c>
      <c r="S91" s="9">
        <f>IF(AND(ISNUMBER($B91),ISNUMBER(S$7)),ROUND(ABS($B91-S$7),6),"")</f>
        <v/>
      </c>
    </row>
    <row r="92">
      <c r="A92" s="6" t="n"/>
      <c r="B92" s="6" t="n"/>
      <c r="C92" s="4">
        <f>IF($B92="","",IF(ISNUMBER($B92),IF(COUNT($H92:$S92)=0,"No sizes",INDEX($H$7:$S$7,MATCH(MIN($H92:$S92),$H92:$S92,0))),"Check length"))</f>
        <v/>
      </c>
      <c r="D92" s="4">
        <f>IF(ISNUMBER(C92),MIN($H92:$S92),"")</f>
        <v/>
      </c>
      <c r="E92" s="4">
        <f>IF(ISNUMBER(C92),IF(COUNTIF($H$7:$S$7,"&gt;="&amp;B92)=0,"None",SMALL($H$7:$S$7,COUNTIF($H$7:$S$7,"&lt;"&amp;B92)+1)),"")</f>
        <v/>
      </c>
      <c r="F92" s="4">
        <f>IF(ISNUMBER(C92),IF(COUNTIF($H92:$S92,D92)&gt;1,"Tie, first listed used",""),"")</f>
        <v/>
      </c>
      <c r="H92" s="9">
        <f>IF(AND(ISNUMBER($B92),ISNUMBER(H$7)),ROUND(ABS($B92-H$7),6),"")</f>
        <v/>
      </c>
      <c r="I92" s="9">
        <f>IF(AND(ISNUMBER($B92),ISNUMBER(I$7)),ROUND(ABS($B92-I$7),6),"")</f>
        <v/>
      </c>
      <c r="J92" s="9">
        <f>IF(AND(ISNUMBER($B92),ISNUMBER(J$7)),ROUND(ABS($B92-J$7),6),"")</f>
        <v/>
      </c>
      <c r="K92" s="9">
        <f>IF(AND(ISNUMBER($B92),ISNUMBER(K$7)),ROUND(ABS($B92-K$7),6),"")</f>
        <v/>
      </c>
      <c r="L92" s="9">
        <f>IF(AND(ISNUMBER($B92),ISNUMBER(L$7)),ROUND(ABS($B92-L$7),6),"")</f>
        <v/>
      </c>
      <c r="M92" s="9">
        <f>IF(AND(ISNUMBER($B92),ISNUMBER(M$7)),ROUND(ABS($B92-M$7),6),"")</f>
        <v/>
      </c>
      <c r="N92" s="9">
        <f>IF(AND(ISNUMBER($B92),ISNUMBER(N$7)),ROUND(ABS($B92-N$7),6),"")</f>
        <v/>
      </c>
      <c r="O92" s="9">
        <f>IF(AND(ISNUMBER($B92),ISNUMBER(O$7)),ROUND(ABS($B92-O$7),6),"")</f>
        <v/>
      </c>
      <c r="P92" s="9">
        <f>IF(AND(ISNUMBER($B92),ISNUMBER(P$7)),ROUND(ABS($B92-P$7),6),"")</f>
        <v/>
      </c>
      <c r="Q92" s="9">
        <f>IF(AND(ISNUMBER($B92),ISNUMBER(Q$7)),ROUND(ABS($B92-Q$7),6),"")</f>
        <v/>
      </c>
      <c r="R92" s="9">
        <f>IF(AND(ISNUMBER($B92),ISNUMBER(R$7)),ROUND(ABS($B92-R$7),6),"")</f>
        <v/>
      </c>
      <c r="S92" s="9">
        <f>IF(AND(ISNUMBER($B92),ISNUMBER(S$7)),ROUND(ABS($B92-S$7),6),"")</f>
        <v/>
      </c>
    </row>
    <row r="93">
      <c r="A93" s="6" t="n"/>
      <c r="B93" s="6" t="n"/>
      <c r="C93" s="4">
        <f>IF($B93="","",IF(ISNUMBER($B93),IF(COUNT($H93:$S93)=0,"No sizes",INDEX($H$7:$S$7,MATCH(MIN($H93:$S93),$H93:$S93,0))),"Check length"))</f>
        <v/>
      </c>
      <c r="D93" s="4">
        <f>IF(ISNUMBER(C93),MIN($H93:$S93),"")</f>
        <v/>
      </c>
      <c r="E93" s="4">
        <f>IF(ISNUMBER(C93),IF(COUNTIF($H$7:$S$7,"&gt;="&amp;B93)=0,"None",SMALL($H$7:$S$7,COUNTIF($H$7:$S$7,"&lt;"&amp;B93)+1)),"")</f>
        <v/>
      </c>
      <c r="F93" s="4">
        <f>IF(ISNUMBER(C93),IF(COUNTIF($H93:$S93,D93)&gt;1,"Tie, first listed used",""),"")</f>
        <v/>
      </c>
      <c r="H93" s="9">
        <f>IF(AND(ISNUMBER($B93),ISNUMBER(H$7)),ROUND(ABS($B93-H$7),6),"")</f>
        <v/>
      </c>
      <c r="I93" s="9">
        <f>IF(AND(ISNUMBER($B93),ISNUMBER(I$7)),ROUND(ABS($B93-I$7),6),"")</f>
        <v/>
      </c>
      <c r="J93" s="9">
        <f>IF(AND(ISNUMBER($B93),ISNUMBER(J$7)),ROUND(ABS($B93-J$7),6),"")</f>
        <v/>
      </c>
      <c r="K93" s="9">
        <f>IF(AND(ISNUMBER($B93),ISNUMBER(K$7)),ROUND(ABS($B93-K$7),6),"")</f>
        <v/>
      </c>
      <c r="L93" s="9">
        <f>IF(AND(ISNUMBER($B93),ISNUMBER(L$7)),ROUND(ABS($B93-L$7),6),"")</f>
        <v/>
      </c>
      <c r="M93" s="9">
        <f>IF(AND(ISNUMBER($B93),ISNUMBER(M$7)),ROUND(ABS($B93-M$7),6),"")</f>
        <v/>
      </c>
      <c r="N93" s="9">
        <f>IF(AND(ISNUMBER($B93),ISNUMBER(N$7)),ROUND(ABS($B93-N$7),6),"")</f>
        <v/>
      </c>
      <c r="O93" s="9">
        <f>IF(AND(ISNUMBER($B93),ISNUMBER(O$7)),ROUND(ABS($B93-O$7),6),"")</f>
        <v/>
      </c>
      <c r="P93" s="9">
        <f>IF(AND(ISNUMBER($B93),ISNUMBER(P$7)),ROUND(ABS($B93-P$7),6),"")</f>
        <v/>
      </c>
      <c r="Q93" s="9">
        <f>IF(AND(ISNUMBER($B93),ISNUMBER(Q$7)),ROUND(ABS($B93-Q$7),6),"")</f>
        <v/>
      </c>
      <c r="R93" s="9">
        <f>IF(AND(ISNUMBER($B93),ISNUMBER(R$7)),ROUND(ABS($B93-R$7),6),"")</f>
        <v/>
      </c>
      <c r="S93" s="9">
        <f>IF(AND(ISNUMBER($B93),ISNUMBER(S$7)),ROUND(ABS($B93-S$7),6),"")</f>
        <v/>
      </c>
    </row>
    <row r="94">
      <c r="A94" s="6" t="n"/>
      <c r="B94" s="6" t="n"/>
      <c r="C94" s="4">
        <f>IF($B94="","",IF(ISNUMBER($B94),IF(COUNT($H94:$S94)=0,"No sizes",INDEX($H$7:$S$7,MATCH(MIN($H94:$S94),$H94:$S94,0))),"Check length"))</f>
        <v/>
      </c>
      <c r="D94" s="4">
        <f>IF(ISNUMBER(C94),MIN($H94:$S94),"")</f>
        <v/>
      </c>
      <c r="E94" s="4">
        <f>IF(ISNUMBER(C94),IF(COUNTIF($H$7:$S$7,"&gt;="&amp;B94)=0,"None",SMALL($H$7:$S$7,COUNTIF($H$7:$S$7,"&lt;"&amp;B94)+1)),"")</f>
        <v/>
      </c>
      <c r="F94" s="4">
        <f>IF(ISNUMBER(C94),IF(COUNTIF($H94:$S94,D94)&gt;1,"Tie, first listed used",""),"")</f>
        <v/>
      </c>
      <c r="H94" s="9">
        <f>IF(AND(ISNUMBER($B94),ISNUMBER(H$7)),ROUND(ABS($B94-H$7),6),"")</f>
        <v/>
      </c>
      <c r="I94" s="9">
        <f>IF(AND(ISNUMBER($B94),ISNUMBER(I$7)),ROUND(ABS($B94-I$7),6),"")</f>
        <v/>
      </c>
      <c r="J94" s="9">
        <f>IF(AND(ISNUMBER($B94),ISNUMBER(J$7)),ROUND(ABS($B94-J$7),6),"")</f>
        <v/>
      </c>
      <c r="K94" s="9">
        <f>IF(AND(ISNUMBER($B94),ISNUMBER(K$7)),ROUND(ABS($B94-K$7),6),"")</f>
        <v/>
      </c>
      <c r="L94" s="9">
        <f>IF(AND(ISNUMBER($B94),ISNUMBER(L$7)),ROUND(ABS($B94-L$7),6),"")</f>
        <v/>
      </c>
      <c r="M94" s="9">
        <f>IF(AND(ISNUMBER($B94),ISNUMBER(M$7)),ROUND(ABS($B94-M$7),6),"")</f>
        <v/>
      </c>
      <c r="N94" s="9">
        <f>IF(AND(ISNUMBER($B94),ISNUMBER(N$7)),ROUND(ABS($B94-N$7),6),"")</f>
        <v/>
      </c>
      <c r="O94" s="9">
        <f>IF(AND(ISNUMBER($B94),ISNUMBER(O$7)),ROUND(ABS($B94-O$7),6),"")</f>
        <v/>
      </c>
      <c r="P94" s="9">
        <f>IF(AND(ISNUMBER($B94),ISNUMBER(P$7)),ROUND(ABS($B94-P$7),6),"")</f>
        <v/>
      </c>
      <c r="Q94" s="9">
        <f>IF(AND(ISNUMBER($B94),ISNUMBER(Q$7)),ROUND(ABS($B94-Q$7),6),"")</f>
        <v/>
      </c>
      <c r="R94" s="9">
        <f>IF(AND(ISNUMBER($B94),ISNUMBER(R$7)),ROUND(ABS($B94-R$7),6),"")</f>
        <v/>
      </c>
      <c r="S94" s="9">
        <f>IF(AND(ISNUMBER($B94),ISNUMBER(S$7)),ROUND(ABS($B94-S$7),6),"")</f>
        <v/>
      </c>
    </row>
    <row r="95">
      <c r="A95" s="6" t="n"/>
      <c r="B95" s="6" t="n"/>
      <c r="C95" s="4">
        <f>IF($B95="","",IF(ISNUMBER($B95),IF(COUNT($H95:$S95)=0,"No sizes",INDEX($H$7:$S$7,MATCH(MIN($H95:$S95),$H95:$S95,0))),"Check length"))</f>
        <v/>
      </c>
      <c r="D95" s="4">
        <f>IF(ISNUMBER(C95),MIN($H95:$S95),"")</f>
        <v/>
      </c>
      <c r="E95" s="4">
        <f>IF(ISNUMBER(C95),IF(COUNTIF($H$7:$S$7,"&gt;="&amp;B95)=0,"None",SMALL($H$7:$S$7,COUNTIF($H$7:$S$7,"&lt;"&amp;B95)+1)),"")</f>
        <v/>
      </c>
      <c r="F95" s="4">
        <f>IF(ISNUMBER(C95),IF(COUNTIF($H95:$S95,D95)&gt;1,"Tie, first listed used",""),"")</f>
        <v/>
      </c>
      <c r="H95" s="9">
        <f>IF(AND(ISNUMBER($B95),ISNUMBER(H$7)),ROUND(ABS($B95-H$7),6),"")</f>
        <v/>
      </c>
      <c r="I95" s="9">
        <f>IF(AND(ISNUMBER($B95),ISNUMBER(I$7)),ROUND(ABS($B95-I$7),6),"")</f>
        <v/>
      </c>
      <c r="J95" s="9">
        <f>IF(AND(ISNUMBER($B95),ISNUMBER(J$7)),ROUND(ABS($B95-J$7),6),"")</f>
        <v/>
      </c>
      <c r="K95" s="9">
        <f>IF(AND(ISNUMBER($B95),ISNUMBER(K$7)),ROUND(ABS($B95-K$7),6),"")</f>
        <v/>
      </c>
      <c r="L95" s="9">
        <f>IF(AND(ISNUMBER($B95),ISNUMBER(L$7)),ROUND(ABS($B95-L$7),6),"")</f>
        <v/>
      </c>
      <c r="M95" s="9">
        <f>IF(AND(ISNUMBER($B95),ISNUMBER(M$7)),ROUND(ABS($B95-M$7),6),"")</f>
        <v/>
      </c>
      <c r="N95" s="9">
        <f>IF(AND(ISNUMBER($B95),ISNUMBER(N$7)),ROUND(ABS($B95-N$7),6),"")</f>
        <v/>
      </c>
      <c r="O95" s="9">
        <f>IF(AND(ISNUMBER($B95),ISNUMBER(O$7)),ROUND(ABS($B95-O$7),6),"")</f>
        <v/>
      </c>
      <c r="P95" s="9">
        <f>IF(AND(ISNUMBER($B95),ISNUMBER(P$7)),ROUND(ABS($B95-P$7),6),"")</f>
        <v/>
      </c>
      <c r="Q95" s="9">
        <f>IF(AND(ISNUMBER($B95),ISNUMBER(Q$7)),ROUND(ABS($B95-Q$7),6),"")</f>
        <v/>
      </c>
      <c r="R95" s="9">
        <f>IF(AND(ISNUMBER($B95),ISNUMBER(R$7)),ROUND(ABS($B95-R$7),6),"")</f>
        <v/>
      </c>
      <c r="S95" s="9">
        <f>IF(AND(ISNUMBER($B95),ISNUMBER(S$7)),ROUND(ABS($B95-S$7),6),"")</f>
        <v/>
      </c>
    </row>
    <row r="96">
      <c r="A96" s="6" t="n"/>
      <c r="B96" s="6" t="n"/>
      <c r="C96" s="4">
        <f>IF($B96="","",IF(ISNUMBER($B96),IF(COUNT($H96:$S96)=0,"No sizes",INDEX($H$7:$S$7,MATCH(MIN($H96:$S96),$H96:$S96,0))),"Check length"))</f>
        <v/>
      </c>
      <c r="D96" s="4">
        <f>IF(ISNUMBER(C96),MIN($H96:$S96),"")</f>
        <v/>
      </c>
      <c r="E96" s="4">
        <f>IF(ISNUMBER(C96),IF(COUNTIF($H$7:$S$7,"&gt;="&amp;B96)=0,"None",SMALL($H$7:$S$7,COUNTIF($H$7:$S$7,"&lt;"&amp;B96)+1)),"")</f>
        <v/>
      </c>
      <c r="F96" s="4">
        <f>IF(ISNUMBER(C96),IF(COUNTIF($H96:$S96,D96)&gt;1,"Tie, first listed used",""),"")</f>
        <v/>
      </c>
      <c r="H96" s="9">
        <f>IF(AND(ISNUMBER($B96),ISNUMBER(H$7)),ROUND(ABS($B96-H$7),6),"")</f>
        <v/>
      </c>
      <c r="I96" s="9">
        <f>IF(AND(ISNUMBER($B96),ISNUMBER(I$7)),ROUND(ABS($B96-I$7),6),"")</f>
        <v/>
      </c>
      <c r="J96" s="9">
        <f>IF(AND(ISNUMBER($B96),ISNUMBER(J$7)),ROUND(ABS($B96-J$7),6),"")</f>
        <v/>
      </c>
      <c r="K96" s="9">
        <f>IF(AND(ISNUMBER($B96),ISNUMBER(K$7)),ROUND(ABS($B96-K$7),6),"")</f>
        <v/>
      </c>
      <c r="L96" s="9">
        <f>IF(AND(ISNUMBER($B96),ISNUMBER(L$7)),ROUND(ABS($B96-L$7),6),"")</f>
        <v/>
      </c>
      <c r="M96" s="9">
        <f>IF(AND(ISNUMBER($B96),ISNUMBER(M$7)),ROUND(ABS($B96-M$7),6),"")</f>
        <v/>
      </c>
      <c r="N96" s="9">
        <f>IF(AND(ISNUMBER($B96),ISNUMBER(N$7)),ROUND(ABS($B96-N$7),6),"")</f>
        <v/>
      </c>
      <c r="O96" s="9">
        <f>IF(AND(ISNUMBER($B96),ISNUMBER(O$7)),ROUND(ABS($B96-O$7),6),"")</f>
        <v/>
      </c>
      <c r="P96" s="9">
        <f>IF(AND(ISNUMBER($B96),ISNUMBER(P$7)),ROUND(ABS($B96-P$7),6),"")</f>
        <v/>
      </c>
      <c r="Q96" s="9">
        <f>IF(AND(ISNUMBER($B96),ISNUMBER(Q$7)),ROUND(ABS($B96-Q$7),6),"")</f>
        <v/>
      </c>
      <c r="R96" s="9">
        <f>IF(AND(ISNUMBER($B96),ISNUMBER(R$7)),ROUND(ABS($B96-R$7),6),"")</f>
        <v/>
      </c>
      <c r="S96" s="9">
        <f>IF(AND(ISNUMBER($B96),ISNUMBER(S$7)),ROUND(ABS($B96-S$7),6),"")</f>
        <v/>
      </c>
    </row>
    <row r="97">
      <c r="A97" s="6" t="n"/>
      <c r="B97" s="6" t="n"/>
      <c r="C97" s="4">
        <f>IF($B97="","",IF(ISNUMBER($B97),IF(COUNT($H97:$S97)=0,"No sizes",INDEX($H$7:$S$7,MATCH(MIN($H97:$S97),$H97:$S97,0))),"Check length"))</f>
        <v/>
      </c>
      <c r="D97" s="4">
        <f>IF(ISNUMBER(C97),MIN($H97:$S97),"")</f>
        <v/>
      </c>
      <c r="E97" s="4">
        <f>IF(ISNUMBER(C97),IF(COUNTIF($H$7:$S$7,"&gt;="&amp;B97)=0,"None",SMALL($H$7:$S$7,COUNTIF($H$7:$S$7,"&lt;"&amp;B97)+1)),"")</f>
        <v/>
      </c>
      <c r="F97" s="4">
        <f>IF(ISNUMBER(C97),IF(COUNTIF($H97:$S97,D97)&gt;1,"Tie, first listed used",""),"")</f>
        <v/>
      </c>
      <c r="H97" s="9">
        <f>IF(AND(ISNUMBER($B97),ISNUMBER(H$7)),ROUND(ABS($B97-H$7),6),"")</f>
        <v/>
      </c>
      <c r="I97" s="9">
        <f>IF(AND(ISNUMBER($B97),ISNUMBER(I$7)),ROUND(ABS($B97-I$7),6),"")</f>
        <v/>
      </c>
      <c r="J97" s="9">
        <f>IF(AND(ISNUMBER($B97),ISNUMBER(J$7)),ROUND(ABS($B97-J$7),6),"")</f>
        <v/>
      </c>
      <c r="K97" s="9">
        <f>IF(AND(ISNUMBER($B97),ISNUMBER(K$7)),ROUND(ABS($B97-K$7),6),"")</f>
        <v/>
      </c>
      <c r="L97" s="9">
        <f>IF(AND(ISNUMBER($B97),ISNUMBER(L$7)),ROUND(ABS($B97-L$7),6),"")</f>
        <v/>
      </c>
      <c r="M97" s="9">
        <f>IF(AND(ISNUMBER($B97),ISNUMBER(M$7)),ROUND(ABS($B97-M$7),6),"")</f>
        <v/>
      </c>
      <c r="N97" s="9">
        <f>IF(AND(ISNUMBER($B97),ISNUMBER(N$7)),ROUND(ABS($B97-N$7),6),"")</f>
        <v/>
      </c>
      <c r="O97" s="9">
        <f>IF(AND(ISNUMBER($B97),ISNUMBER(O$7)),ROUND(ABS($B97-O$7),6),"")</f>
        <v/>
      </c>
      <c r="P97" s="9">
        <f>IF(AND(ISNUMBER($B97),ISNUMBER(P$7)),ROUND(ABS($B97-P$7),6),"")</f>
        <v/>
      </c>
      <c r="Q97" s="9">
        <f>IF(AND(ISNUMBER($B97),ISNUMBER(Q$7)),ROUND(ABS($B97-Q$7),6),"")</f>
        <v/>
      </c>
      <c r="R97" s="9">
        <f>IF(AND(ISNUMBER($B97),ISNUMBER(R$7)),ROUND(ABS($B97-R$7),6),"")</f>
        <v/>
      </c>
      <c r="S97" s="9">
        <f>IF(AND(ISNUMBER($B97),ISNUMBER(S$7)),ROUND(ABS($B97-S$7),6),"")</f>
        <v/>
      </c>
    </row>
    <row r="98">
      <c r="A98" s="6" t="n"/>
      <c r="B98" s="6" t="n"/>
      <c r="C98" s="4">
        <f>IF($B98="","",IF(ISNUMBER($B98),IF(COUNT($H98:$S98)=0,"No sizes",INDEX($H$7:$S$7,MATCH(MIN($H98:$S98),$H98:$S98,0))),"Check length"))</f>
        <v/>
      </c>
      <c r="D98" s="4">
        <f>IF(ISNUMBER(C98),MIN($H98:$S98),"")</f>
        <v/>
      </c>
      <c r="E98" s="4">
        <f>IF(ISNUMBER(C98),IF(COUNTIF($H$7:$S$7,"&gt;="&amp;B98)=0,"None",SMALL($H$7:$S$7,COUNTIF($H$7:$S$7,"&lt;"&amp;B98)+1)),"")</f>
        <v/>
      </c>
      <c r="F98" s="4">
        <f>IF(ISNUMBER(C98),IF(COUNTIF($H98:$S98,D98)&gt;1,"Tie, first listed used",""),"")</f>
        <v/>
      </c>
      <c r="H98" s="9">
        <f>IF(AND(ISNUMBER($B98),ISNUMBER(H$7)),ROUND(ABS($B98-H$7),6),"")</f>
        <v/>
      </c>
      <c r="I98" s="9">
        <f>IF(AND(ISNUMBER($B98),ISNUMBER(I$7)),ROUND(ABS($B98-I$7),6),"")</f>
        <v/>
      </c>
      <c r="J98" s="9">
        <f>IF(AND(ISNUMBER($B98),ISNUMBER(J$7)),ROUND(ABS($B98-J$7),6),"")</f>
        <v/>
      </c>
      <c r="K98" s="9">
        <f>IF(AND(ISNUMBER($B98),ISNUMBER(K$7)),ROUND(ABS($B98-K$7),6),"")</f>
        <v/>
      </c>
      <c r="L98" s="9">
        <f>IF(AND(ISNUMBER($B98),ISNUMBER(L$7)),ROUND(ABS($B98-L$7),6),"")</f>
        <v/>
      </c>
      <c r="M98" s="9">
        <f>IF(AND(ISNUMBER($B98),ISNUMBER(M$7)),ROUND(ABS($B98-M$7),6),"")</f>
        <v/>
      </c>
      <c r="N98" s="9">
        <f>IF(AND(ISNUMBER($B98),ISNUMBER(N$7)),ROUND(ABS($B98-N$7),6),"")</f>
        <v/>
      </c>
      <c r="O98" s="9">
        <f>IF(AND(ISNUMBER($B98),ISNUMBER(O$7)),ROUND(ABS($B98-O$7),6),"")</f>
        <v/>
      </c>
      <c r="P98" s="9">
        <f>IF(AND(ISNUMBER($B98),ISNUMBER(P$7)),ROUND(ABS($B98-P$7),6),"")</f>
        <v/>
      </c>
      <c r="Q98" s="9">
        <f>IF(AND(ISNUMBER($B98),ISNUMBER(Q$7)),ROUND(ABS($B98-Q$7),6),"")</f>
        <v/>
      </c>
      <c r="R98" s="9">
        <f>IF(AND(ISNUMBER($B98),ISNUMBER(R$7)),ROUND(ABS($B98-R$7),6),"")</f>
        <v/>
      </c>
      <c r="S98" s="9">
        <f>IF(AND(ISNUMBER($B98),ISNUMBER(S$7)),ROUND(ABS($B98-S$7),6),"")</f>
        <v/>
      </c>
    </row>
    <row r="99">
      <c r="A99" s="6" t="n"/>
      <c r="B99" s="6" t="n"/>
      <c r="C99" s="4">
        <f>IF($B99="","",IF(ISNUMBER($B99),IF(COUNT($H99:$S99)=0,"No sizes",INDEX($H$7:$S$7,MATCH(MIN($H99:$S99),$H99:$S99,0))),"Check length"))</f>
        <v/>
      </c>
      <c r="D99" s="4">
        <f>IF(ISNUMBER(C99),MIN($H99:$S99),"")</f>
        <v/>
      </c>
      <c r="E99" s="4">
        <f>IF(ISNUMBER(C99),IF(COUNTIF($H$7:$S$7,"&gt;="&amp;B99)=0,"None",SMALL($H$7:$S$7,COUNTIF($H$7:$S$7,"&lt;"&amp;B99)+1)),"")</f>
        <v/>
      </c>
      <c r="F99" s="4">
        <f>IF(ISNUMBER(C99),IF(COUNTIF($H99:$S99,D99)&gt;1,"Tie, first listed used",""),"")</f>
        <v/>
      </c>
      <c r="H99" s="9">
        <f>IF(AND(ISNUMBER($B99),ISNUMBER(H$7)),ROUND(ABS($B99-H$7),6),"")</f>
        <v/>
      </c>
      <c r="I99" s="9">
        <f>IF(AND(ISNUMBER($B99),ISNUMBER(I$7)),ROUND(ABS($B99-I$7),6),"")</f>
        <v/>
      </c>
      <c r="J99" s="9">
        <f>IF(AND(ISNUMBER($B99),ISNUMBER(J$7)),ROUND(ABS($B99-J$7),6),"")</f>
        <v/>
      </c>
      <c r="K99" s="9">
        <f>IF(AND(ISNUMBER($B99),ISNUMBER(K$7)),ROUND(ABS($B99-K$7),6),"")</f>
        <v/>
      </c>
      <c r="L99" s="9">
        <f>IF(AND(ISNUMBER($B99),ISNUMBER(L$7)),ROUND(ABS($B99-L$7),6),"")</f>
        <v/>
      </c>
      <c r="M99" s="9">
        <f>IF(AND(ISNUMBER($B99),ISNUMBER(M$7)),ROUND(ABS($B99-M$7),6),"")</f>
        <v/>
      </c>
      <c r="N99" s="9">
        <f>IF(AND(ISNUMBER($B99),ISNUMBER(N$7)),ROUND(ABS($B99-N$7),6),"")</f>
        <v/>
      </c>
      <c r="O99" s="9">
        <f>IF(AND(ISNUMBER($B99),ISNUMBER(O$7)),ROUND(ABS($B99-O$7),6),"")</f>
        <v/>
      </c>
      <c r="P99" s="9">
        <f>IF(AND(ISNUMBER($B99),ISNUMBER(P$7)),ROUND(ABS($B99-P$7),6),"")</f>
        <v/>
      </c>
      <c r="Q99" s="9">
        <f>IF(AND(ISNUMBER($B99),ISNUMBER(Q$7)),ROUND(ABS($B99-Q$7),6),"")</f>
        <v/>
      </c>
      <c r="R99" s="9">
        <f>IF(AND(ISNUMBER($B99),ISNUMBER(R$7)),ROUND(ABS($B99-R$7),6),"")</f>
        <v/>
      </c>
      <c r="S99" s="9">
        <f>IF(AND(ISNUMBER($B99),ISNUMBER(S$7)),ROUND(ABS($B99-S$7),6),"")</f>
        <v/>
      </c>
    </row>
    <row r="100">
      <c r="A100" s="6" t="n"/>
      <c r="B100" s="6" t="n"/>
      <c r="C100" s="4">
        <f>IF($B100="","",IF(ISNUMBER($B100),IF(COUNT($H100:$S100)=0,"No sizes",INDEX($H$7:$S$7,MATCH(MIN($H100:$S100),$H100:$S100,0))),"Check length"))</f>
        <v/>
      </c>
      <c r="D100" s="4">
        <f>IF(ISNUMBER(C100),MIN($H100:$S100),"")</f>
        <v/>
      </c>
      <c r="E100" s="4">
        <f>IF(ISNUMBER(C100),IF(COUNTIF($H$7:$S$7,"&gt;="&amp;B100)=0,"None",SMALL($H$7:$S$7,COUNTIF($H$7:$S$7,"&lt;"&amp;B100)+1)),"")</f>
        <v/>
      </c>
      <c r="F100" s="4">
        <f>IF(ISNUMBER(C100),IF(COUNTIF($H100:$S100,D100)&gt;1,"Tie, first listed used",""),"")</f>
        <v/>
      </c>
      <c r="H100" s="9">
        <f>IF(AND(ISNUMBER($B100),ISNUMBER(H$7)),ROUND(ABS($B100-H$7),6),"")</f>
        <v/>
      </c>
      <c r="I100" s="9">
        <f>IF(AND(ISNUMBER($B100),ISNUMBER(I$7)),ROUND(ABS($B100-I$7),6),"")</f>
        <v/>
      </c>
      <c r="J100" s="9">
        <f>IF(AND(ISNUMBER($B100),ISNUMBER(J$7)),ROUND(ABS($B100-J$7),6),"")</f>
        <v/>
      </c>
      <c r="K100" s="9">
        <f>IF(AND(ISNUMBER($B100),ISNUMBER(K$7)),ROUND(ABS($B100-K$7),6),"")</f>
        <v/>
      </c>
      <c r="L100" s="9">
        <f>IF(AND(ISNUMBER($B100),ISNUMBER(L$7)),ROUND(ABS($B100-L$7),6),"")</f>
        <v/>
      </c>
      <c r="M100" s="9">
        <f>IF(AND(ISNUMBER($B100),ISNUMBER(M$7)),ROUND(ABS($B100-M$7),6),"")</f>
        <v/>
      </c>
      <c r="N100" s="9">
        <f>IF(AND(ISNUMBER($B100),ISNUMBER(N$7)),ROUND(ABS($B100-N$7),6),"")</f>
        <v/>
      </c>
      <c r="O100" s="9">
        <f>IF(AND(ISNUMBER($B100),ISNUMBER(O$7)),ROUND(ABS($B100-O$7),6),"")</f>
        <v/>
      </c>
      <c r="P100" s="9">
        <f>IF(AND(ISNUMBER($B100),ISNUMBER(P$7)),ROUND(ABS($B100-P$7),6),"")</f>
        <v/>
      </c>
      <c r="Q100" s="9">
        <f>IF(AND(ISNUMBER($B100),ISNUMBER(Q$7)),ROUND(ABS($B100-Q$7),6),"")</f>
        <v/>
      </c>
      <c r="R100" s="9">
        <f>IF(AND(ISNUMBER($B100),ISNUMBER(R$7)),ROUND(ABS($B100-R$7),6),"")</f>
        <v/>
      </c>
      <c r="S100" s="9">
        <f>IF(AND(ISNUMBER($B100),ISNUMBER(S$7)),ROUND(ABS($B100-S$7),6),"")</f>
        <v/>
      </c>
    </row>
    <row r="101">
      <c r="A101" s="6" t="n"/>
      <c r="B101" s="6" t="n"/>
      <c r="C101" s="4">
        <f>IF($B101="","",IF(ISNUMBER($B101),IF(COUNT($H101:$S101)=0,"No sizes",INDEX($H$7:$S$7,MATCH(MIN($H101:$S101),$H101:$S101,0))),"Check length"))</f>
        <v/>
      </c>
      <c r="D101" s="4">
        <f>IF(ISNUMBER(C101),MIN($H101:$S101),"")</f>
        <v/>
      </c>
      <c r="E101" s="4">
        <f>IF(ISNUMBER(C101),IF(COUNTIF($H$7:$S$7,"&gt;="&amp;B101)=0,"None",SMALL($H$7:$S$7,COUNTIF($H$7:$S$7,"&lt;"&amp;B101)+1)),"")</f>
        <v/>
      </c>
      <c r="F101" s="4">
        <f>IF(ISNUMBER(C101),IF(COUNTIF($H101:$S101,D101)&gt;1,"Tie, first listed used",""),"")</f>
        <v/>
      </c>
      <c r="H101" s="9">
        <f>IF(AND(ISNUMBER($B101),ISNUMBER(H$7)),ROUND(ABS($B101-H$7),6),"")</f>
        <v/>
      </c>
      <c r="I101" s="9">
        <f>IF(AND(ISNUMBER($B101),ISNUMBER(I$7)),ROUND(ABS($B101-I$7),6),"")</f>
        <v/>
      </c>
      <c r="J101" s="9">
        <f>IF(AND(ISNUMBER($B101),ISNUMBER(J$7)),ROUND(ABS($B101-J$7),6),"")</f>
        <v/>
      </c>
      <c r="K101" s="9">
        <f>IF(AND(ISNUMBER($B101),ISNUMBER(K$7)),ROUND(ABS($B101-K$7),6),"")</f>
        <v/>
      </c>
      <c r="L101" s="9">
        <f>IF(AND(ISNUMBER($B101),ISNUMBER(L$7)),ROUND(ABS($B101-L$7),6),"")</f>
        <v/>
      </c>
      <c r="M101" s="9">
        <f>IF(AND(ISNUMBER($B101),ISNUMBER(M$7)),ROUND(ABS($B101-M$7),6),"")</f>
        <v/>
      </c>
      <c r="N101" s="9">
        <f>IF(AND(ISNUMBER($B101),ISNUMBER(N$7)),ROUND(ABS($B101-N$7),6),"")</f>
        <v/>
      </c>
      <c r="O101" s="9">
        <f>IF(AND(ISNUMBER($B101),ISNUMBER(O$7)),ROUND(ABS($B101-O$7),6),"")</f>
        <v/>
      </c>
      <c r="P101" s="9">
        <f>IF(AND(ISNUMBER($B101),ISNUMBER(P$7)),ROUND(ABS($B101-P$7),6),"")</f>
        <v/>
      </c>
      <c r="Q101" s="9">
        <f>IF(AND(ISNUMBER($B101),ISNUMBER(Q$7)),ROUND(ABS($B101-Q$7),6),"")</f>
        <v/>
      </c>
      <c r="R101" s="9">
        <f>IF(AND(ISNUMBER($B101),ISNUMBER(R$7)),ROUND(ABS($B101-R$7),6),"")</f>
        <v/>
      </c>
      <c r="S101" s="9">
        <f>IF(AND(ISNUMBER($B101),ISNUMBER(S$7)),ROUND(ABS($B101-S$7),6),"")</f>
        <v/>
      </c>
    </row>
    <row r="102">
      <c r="A102" s="6" t="n"/>
      <c r="B102" s="6" t="n"/>
      <c r="C102" s="4">
        <f>IF($B102="","",IF(ISNUMBER($B102),IF(COUNT($H102:$S102)=0,"No sizes",INDEX($H$7:$S$7,MATCH(MIN($H102:$S102),$H102:$S102,0))),"Check length"))</f>
        <v/>
      </c>
      <c r="D102" s="4">
        <f>IF(ISNUMBER(C102),MIN($H102:$S102),"")</f>
        <v/>
      </c>
      <c r="E102" s="4">
        <f>IF(ISNUMBER(C102),IF(COUNTIF($H$7:$S$7,"&gt;="&amp;B102)=0,"None",SMALL($H$7:$S$7,COUNTIF($H$7:$S$7,"&lt;"&amp;B102)+1)),"")</f>
        <v/>
      </c>
      <c r="F102" s="4">
        <f>IF(ISNUMBER(C102),IF(COUNTIF($H102:$S102,D102)&gt;1,"Tie, first listed used",""),"")</f>
        <v/>
      </c>
      <c r="H102" s="9">
        <f>IF(AND(ISNUMBER($B102),ISNUMBER(H$7)),ROUND(ABS($B102-H$7),6),"")</f>
        <v/>
      </c>
      <c r="I102" s="9">
        <f>IF(AND(ISNUMBER($B102),ISNUMBER(I$7)),ROUND(ABS($B102-I$7),6),"")</f>
        <v/>
      </c>
      <c r="J102" s="9">
        <f>IF(AND(ISNUMBER($B102),ISNUMBER(J$7)),ROUND(ABS($B102-J$7),6),"")</f>
        <v/>
      </c>
      <c r="K102" s="9">
        <f>IF(AND(ISNUMBER($B102),ISNUMBER(K$7)),ROUND(ABS($B102-K$7),6),"")</f>
        <v/>
      </c>
      <c r="L102" s="9">
        <f>IF(AND(ISNUMBER($B102),ISNUMBER(L$7)),ROUND(ABS($B102-L$7),6),"")</f>
        <v/>
      </c>
      <c r="M102" s="9">
        <f>IF(AND(ISNUMBER($B102),ISNUMBER(M$7)),ROUND(ABS($B102-M$7),6),"")</f>
        <v/>
      </c>
      <c r="N102" s="9">
        <f>IF(AND(ISNUMBER($B102),ISNUMBER(N$7)),ROUND(ABS($B102-N$7),6),"")</f>
        <v/>
      </c>
      <c r="O102" s="9">
        <f>IF(AND(ISNUMBER($B102),ISNUMBER(O$7)),ROUND(ABS($B102-O$7),6),"")</f>
        <v/>
      </c>
      <c r="P102" s="9">
        <f>IF(AND(ISNUMBER($B102),ISNUMBER(P$7)),ROUND(ABS($B102-P$7),6),"")</f>
        <v/>
      </c>
      <c r="Q102" s="9">
        <f>IF(AND(ISNUMBER($B102),ISNUMBER(Q$7)),ROUND(ABS($B102-Q$7),6),"")</f>
        <v/>
      </c>
      <c r="R102" s="9">
        <f>IF(AND(ISNUMBER($B102),ISNUMBER(R$7)),ROUND(ABS($B102-R$7),6),"")</f>
        <v/>
      </c>
      <c r="S102" s="9">
        <f>IF(AND(ISNUMBER($B102),ISNUMBER(S$7)),ROUND(ABS($B102-S$7),6),"")</f>
        <v/>
      </c>
    </row>
    <row r="103">
      <c r="A103" s="6" t="n"/>
      <c r="B103" s="6" t="n"/>
      <c r="C103" s="4">
        <f>IF($B103="","",IF(ISNUMBER($B103),IF(COUNT($H103:$S103)=0,"No sizes",INDEX($H$7:$S$7,MATCH(MIN($H103:$S103),$H103:$S103,0))),"Check length"))</f>
        <v/>
      </c>
      <c r="D103" s="4">
        <f>IF(ISNUMBER(C103),MIN($H103:$S103),"")</f>
        <v/>
      </c>
      <c r="E103" s="4">
        <f>IF(ISNUMBER(C103),IF(COUNTIF($H$7:$S$7,"&gt;="&amp;B103)=0,"None",SMALL($H$7:$S$7,COUNTIF($H$7:$S$7,"&lt;"&amp;B103)+1)),"")</f>
        <v/>
      </c>
      <c r="F103" s="4">
        <f>IF(ISNUMBER(C103),IF(COUNTIF($H103:$S103,D103)&gt;1,"Tie, first listed used",""),"")</f>
        <v/>
      </c>
      <c r="H103" s="9">
        <f>IF(AND(ISNUMBER($B103),ISNUMBER(H$7)),ROUND(ABS($B103-H$7),6),"")</f>
        <v/>
      </c>
      <c r="I103" s="9">
        <f>IF(AND(ISNUMBER($B103),ISNUMBER(I$7)),ROUND(ABS($B103-I$7),6),"")</f>
        <v/>
      </c>
      <c r="J103" s="9">
        <f>IF(AND(ISNUMBER($B103),ISNUMBER(J$7)),ROUND(ABS($B103-J$7),6),"")</f>
        <v/>
      </c>
      <c r="K103" s="9">
        <f>IF(AND(ISNUMBER($B103),ISNUMBER(K$7)),ROUND(ABS($B103-K$7),6),"")</f>
        <v/>
      </c>
      <c r="L103" s="9">
        <f>IF(AND(ISNUMBER($B103),ISNUMBER(L$7)),ROUND(ABS($B103-L$7),6),"")</f>
        <v/>
      </c>
      <c r="M103" s="9">
        <f>IF(AND(ISNUMBER($B103),ISNUMBER(M$7)),ROUND(ABS($B103-M$7),6),"")</f>
        <v/>
      </c>
      <c r="N103" s="9">
        <f>IF(AND(ISNUMBER($B103),ISNUMBER(N$7)),ROUND(ABS($B103-N$7),6),"")</f>
        <v/>
      </c>
      <c r="O103" s="9">
        <f>IF(AND(ISNUMBER($B103),ISNUMBER(O$7)),ROUND(ABS($B103-O$7),6),"")</f>
        <v/>
      </c>
      <c r="P103" s="9">
        <f>IF(AND(ISNUMBER($B103),ISNUMBER(P$7)),ROUND(ABS($B103-P$7),6),"")</f>
        <v/>
      </c>
      <c r="Q103" s="9">
        <f>IF(AND(ISNUMBER($B103),ISNUMBER(Q$7)),ROUND(ABS($B103-Q$7),6),"")</f>
        <v/>
      </c>
      <c r="R103" s="9">
        <f>IF(AND(ISNUMBER($B103),ISNUMBER(R$7)),ROUND(ABS($B103-R$7),6),"")</f>
        <v/>
      </c>
      <c r="S103" s="9">
        <f>IF(AND(ISNUMBER($B103),ISNUMBER(S$7)),ROUND(ABS($B103-S$7),6),"")</f>
        <v/>
      </c>
    </row>
    <row r="104">
      <c r="A104" s="6" t="n"/>
      <c r="B104" s="6" t="n"/>
      <c r="C104" s="4">
        <f>IF($B104="","",IF(ISNUMBER($B104),IF(COUNT($H104:$S104)=0,"No sizes",INDEX($H$7:$S$7,MATCH(MIN($H104:$S104),$H104:$S104,0))),"Check length"))</f>
        <v/>
      </c>
      <c r="D104" s="4">
        <f>IF(ISNUMBER(C104),MIN($H104:$S104),"")</f>
        <v/>
      </c>
      <c r="E104" s="4">
        <f>IF(ISNUMBER(C104),IF(COUNTIF($H$7:$S$7,"&gt;="&amp;B104)=0,"None",SMALL($H$7:$S$7,COUNTIF($H$7:$S$7,"&lt;"&amp;B104)+1)),"")</f>
        <v/>
      </c>
      <c r="F104" s="4">
        <f>IF(ISNUMBER(C104),IF(COUNTIF($H104:$S104,D104)&gt;1,"Tie, first listed used",""),"")</f>
        <v/>
      </c>
      <c r="H104" s="9">
        <f>IF(AND(ISNUMBER($B104),ISNUMBER(H$7)),ROUND(ABS($B104-H$7),6),"")</f>
        <v/>
      </c>
      <c r="I104" s="9">
        <f>IF(AND(ISNUMBER($B104),ISNUMBER(I$7)),ROUND(ABS($B104-I$7),6),"")</f>
        <v/>
      </c>
      <c r="J104" s="9">
        <f>IF(AND(ISNUMBER($B104),ISNUMBER(J$7)),ROUND(ABS($B104-J$7),6),"")</f>
        <v/>
      </c>
      <c r="K104" s="9">
        <f>IF(AND(ISNUMBER($B104),ISNUMBER(K$7)),ROUND(ABS($B104-K$7),6),"")</f>
        <v/>
      </c>
      <c r="L104" s="9">
        <f>IF(AND(ISNUMBER($B104),ISNUMBER(L$7)),ROUND(ABS($B104-L$7),6),"")</f>
        <v/>
      </c>
      <c r="M104" s="9">
        <f>IF(AND(ISNUMBER($B104),ISNUMBER(M$7)),ROUND(ABS($B104-M$7),6),"")</f>
        <v/>
      </c>
      <c r="N104" s="9">
        <f>IF(AND(ISNUMBER($B104),ISNUMBER(N$7)),ROUND(ABS($B104-N$7),6),"")</f>
        <v/>
      </c>
      <c r="O104" s="9">
        <f>IF(AND(ISNUMBER($B104),ISNUMBER(O$7)),ROUND(ABS($B104-O$7),6),"")</f>
        <v/>
      </c>
      <c r="P104" s="9">
        <f>IF(AND(ISNUMBER($B104),ISNUMBER(P$7)),ROUND(ABS($B104-P$7),6),"")</f>
        <v/>
      </c>
      <c r="Q104" s="9">
        <f>IF(AND(ISNUMBER($B104),ISNUMBER(Q$7)),ROUND(ABS($B104-Q$7),6),"")</f>
        <v/>
      </c>
      <c r="R104" s="9">
        <f>IF(AND(ISNUMBER($B104),ISNUMBER(R$7)),ROUND(ABS($B104-R$7),6),"")</f>
        <v/>
      </c>
      <c r="S104" s="9">
        <f>IF(AND(ISNUMBER($B104),ISNUMBER(S$7)),ROUND(ABS($B104-S$7),6),"")</f>
        <v/>
      </c>
    </row>
    <row r="105">
      <c r="A105" s="6" t="n"/>
      <c r="B105" s="6" t="n"/>
      <c r="C105" s="4">
        <f>IF($B105="","",IF(ISNUMBER($B105),IF(COUNT($H105:$S105)=0,"No sizes",INDEX($H$7:$S$7,MATCH(MIN($H105:$S105),$H105:$S105,0))),"Check length"))</f>
        <v/>
      </c>
      <c r="D105" s="4">
        <f>IF(ISNUMBER(C105),MIN($H105:$S105),"")</f>
        <v/>
      </c>
      <c r="E105" s="4">
        <f>IF(ISNUMBER(C105),IF(COUNTIF($H$7:$S$7,"&gt;="&amp;B105)=0,"None",SMALL($H$7:$S$7,COUNTIF($H$7:$S$7,"&lt;"&amp;B105)+1)),"")</f>
        <v/>
      </c>
      <c r="F105" s="4">
        <f>IF(ISNUMBER(C105),IF(COUNTIF($H105:$S105,D105)&gt;1,"Tie, first listed used",""),"")</f>
        <v/>
      </c>
      <c r="H105" s="9">
        <f>IF(AND(ISNUMBER($B105),ISNUMBER(H$7)),ROUND(ABS($B105-H$7),6),"")</f>
        <v/>
      </c>
      <c r="I105" s="9">
        <f>IF(AND(ISNUMBER($B105),ISNUMBER(I$7)),ROUND(ABS($B105-I$7),6),"")</f>
        <v/>
      </c>
      <c r="J105" s="9">
        <f>IF(AND(ISNUMBER($B105),ISNUMBER(J$7)),ROUND(ABS($B105-J$7),6),"")</f>
        <v/>
      </c>
      <c r="K105" s="9">
        <f>IF(AND(ISNUMBER($B105),ISNUMBER(K$7)),ROUND(ABS($B105-K$7),6),"")</f>
        <v/>
      </c>
      <c r="L105" s="9">
        <f>IF(AND(ISNUMBER($B105),ISNUMBER(L$7)),ROUND(ABS($B105-L$7),6),"")</f>
        <v/>
      </c>
      <c r="M105" s="9">
        <f>IF(AND(ISNUMBER($B105),ISNUMBER(M$7)),ROUND(ABS($B105-M$7),6),"")</f>
        <v/>
      </c>
      <c r="N105" s="9">
        <f>IF(AND(ISNUMBER($B105),ISNUMBER(N$7)),ROUND(ABS($B105-N$7),6),"")</f>
        <v/>
      </c>
      <c r="O105" s="9">
        <f>IF(AND(ISNUMBER($B105),ISNUMBER(O$7)),ROUND(ABS($B105-O$7),6),"")</f>
        <v/>
      </c>
      <c r="P105" s="9">
        <f>IF(AND(ISNUMBER($B105),ISNUMBER(P$7)),ROUND(ABS($B105-P$7),6),"")</f>
        <v/>
      </c>
      <c r="Q105" s="9">
        <f>IF(AND(ISNUMBER($B105),ISNUMBER(Q$7)),ROUND(ABS($B105-Q$7),6),"")</f>
        <v/>
      </c>
      <c r="R105" s="9">
        <f>IF(AND(ISNUMBER($B105),ISNUMBER(R$7)),ROUND(ABS($B105-R$7),6),"")</f>
        <v/>
      </c>
      <c r="S105" s="9">
        <f>IF(AND(ISNUMBER($B105),ISNUMBER(S$7)),ROUND(ABS($B105-S$7),6),"")</f>
        <v/>
      </c>
    </row>
    <row r="106">
      <c r="A106" s="6" t="n"/>
      <c r="B106" s="6" t="n"/>
      <c r="C106" s="4">
        <f>IF($B106="","",IF(ISNUMBER($B106),IF(COUNT($H106:$S106)=0,"No sizes",INDEX($H$7:$S$7,MATCH(MIN($H106:$S106),$H106:$S106,0))),"Check length"))</f>
        <v/>
      </c>
      <c r="D106" s="4">
        <f>IF(ISNUMBER(C106),MIN($H106:$S106),"")</f>
        <v/>
      </c>
      <c r="E106" s="4">
        <f>IF(ISNUMBER(C106),IF(COUNTIF($H$7:$S$7,"&gt;="&amp;B106)=0,"None",SMALL($H$7:$S$7,COUNTIF($H$7:$S$7,"&lt;"&amp;B106)+1)),"")</f>
        <v/>
      </c>
      <c r="F106" s="4">
        <f>IF(ISNUMBER(C106),IF(COUNTIF($H106:$S106,D106)&gt;1,"Tie, first listed used",""),"")</f>
        <v/>
      </c>
      <c r="H106" s="9">
        <f>IF(AND(ISNUMBER($B106),ISNUMBER(H$7)),ROUND(ABS($B106-H$7),6),"")</f>
        <v/>
      </c>
      <c r="I106" s="9">
        <f>IF(AND(ISNUMBER($B106),ISNUMBER(I$7)),ROUND(ABS($B106-I$7),6),"")</f>
        <v/>
      </c>
      <c r="J106" s="9">
        <f>IF(AND(ISNUMBER($B106),ISNUMBER(J$7)),ROUND(ABS($B106-J$7),6),"")</f>
        <v/>
      </c>
      <c r="K106" s="9">
        <f>IF(AND(ISNUMBER($B106),ISNUMBER(K$7)),ROUND(ABS($B106-K$7),6),"")</f>
        <v/>
      </c>
      <c r="L106" s="9">
        <f>IF(AND(ISNUMBER($B106),ISNUMBER(L$7)),ROUND(ABS($B106-L$7),6),"")</f>
        <v/>
      </c>
      <c r="M106" s="9">
        <f>IF(AND(ISNUMBER($B106),ISNUMBER(M$7)),ROUND(ABS($B106-M$7),6),"")</f>
        <v/>
      </c>
      <c r="N106" s="9">
        <f>IF(AND(ISNUMBER($B106),ISNUMBER(N$7)),ROUND(ABS($B106-N$7),6),"")</f>
        <v/>
      </c>
      <c r="O106" s="9">
        <f>IF(AND(ISNUMBER($B106),ISNUMBER(O$7)),ROUND(ABS($B106-O$7),6),"")</f>
        <v/>
      </c>
      <c r="P106" s="9">
        <f>IF(AND(ISNUMBER($B106),ISNUMBER(P$7)),ROUND(ABS($B106-P$7),6),"")</f>
        <v/>
      </c>
      <c r="Q106" s="9">
        <f>IF(AND(ISNUMBER($B106),ISNUMBER(Q$7)),ROUND(ABS($B106-Q$7),6),"")</f>
        <v/>
      </c>
      <c r="R106" s="9">
        <f>IF(AND(ISNUMBER($B106),ISNUMBER(R$7)),ROUND(ABS($B106-R$7),6),"")</f>
        <v/>
      </c>
      <c r="S106" s="9">
        <f>IF(AND(ISNUMBER($B106),ISNUMBER(S$7)),ROUND(ABS($B106-S$7),6),"")</f>
        <v/>
      </c>
    </row>
    <row r="107">
      <c r="A107" s="6" t="n"/>
      <c r="B107" s="6" t="n"/>
      <c r="C107" s="4">
        <f>IF($B107="","",IF(ISNUMBER($B107),IF(COUNT($H107:$S107)=0,"No sizes",INDEX($H$7:$S$7,MATCH(MIN($H107:$S107),$H107:$S107,0))),"Check length"))</f>
        <v/>
      </c>
      <c r="D107" s="4">
        <f>IF(ISNUMBER(C107),MIN($H107:$S107),"")</f>
        <v/>
      </c>
      <c r="E107" s="4">
        <f>IF(ISNUMBER(C107),IF(COUNTIF($H$7:$S$7,"&gt;="&amp;B107)=0,"None",SMALL($H$7:$S$7,COUNTIF($H$7:$S$7,"&lt;"&amp;B107)+1)),"")</f>
        <v/>
      </c>
      <c r="F107" s="4">
        <f>IF(ISNUMBER(C107),IF(COUNTIF($H107:$S107,D107)&gt;1,"Tie, first listed used",""),"")</f>
        <v/>
      </c>
      <c r="H107" s="9">
        <f>IF(AND(ISNUMBER($B107),ISNUMBER(H$7)),ROUND(ABS($B107-H$7),6),"")</f>
        <v/>
      </c>
      <c r="I107" s="9">
        <f>IF(AND(ISNUMBER($B107),ISNUMBER(I$7)),ROUND(ABS($B107-I$7),6),"")</f>
        <v/>
      </c>
      <c r="J107" s="9">
        <f>IF(AND(ISNUMBER($B107),ISNUMBER(J$7)),ROUND(ABS($B107-J$7),6),"")</f>
        <v/>
      </c>
      <c r="K107" s="9">
        <f>IF(AND(ISNUMBER($B107),ISNUMBER(K$7)),ROUND(ABS($B107-K$7),6),"")</f>
        <v/>
      </c>
      <c r="L107" s="9">
        <f>IF(AND(ISNUMBER($B107),ISNUMBER(L$7)),ROUND(ABS($B107-L$7),6),"")</f>
        <v/>
      </c>
      <c r="M107" s="9">
        <f>IF(AND(ISNUMBER($B107),ISNUMBER(M$7)),ROUND(ABS($B107-M$7),6),"")</f>
        <v/>
      </c>
      <c r="N107" s="9">
        <f>IF(AND(ISNUMBER($B107),ISNUMBER(N$7)),ROUND(ABS($B107-N$7),6),"")</f>
        <v/>
      </c>
      <c r="O107" s="9">
        <f>IF(AND(ISNUMBER($B107),ISNUMBER(O$7)),ROUND(ABS($B107-O$7),6),"")</f>
        <v/>
      </c>
      <c r="P107" s="9">
        <f>IF(AND(ISNUMBER($B107),ISNUMBER(P$7)),ROUND(ABS($B107-P$7),6),"")</f>
        <v/>
      </c>
      <c r="Q107" s="9">
        <f>IF(AND(ISNUMBER($B107),ISNUMBER(Q$7)),ROUND(ABS($B107-Q$7),6),"")</f>
        <v/>
      </c>
      <c r="R107" s="9">
        <f>IF(AND(ISNUMBER($B107),ISNUMBER(R$7)),ROUND(ABS($B107-R$7),6),"")</f>
        <v/>
      </c>
      <c r="S107" s="9">
        <f>IF(AND(ISNUMBER($B107),ISNUMBER(S$7)),ROUND(ABS($B107-S$7),6),"")</f>
        <v/>
      </c>
    </row>
    <row r="108">
      <c r="A108" s="6" t="n"/>
      <c r="B108" s="6" t="n"/>
      <c r="C108" s="4">
        <f>IF($B108="","",IF(ISNUMBER($B108),IF(COUNT($H108:$S108)=0,"No sizes",INDEX($H$7:$S$7,MATCH(MIN($H108:$S108),$H108:$S108,0))),"Check length"))</f>
        <v/>
      </c>
      <c r="D108" s="4">
        <f>IF(ISNUMBER(C108),MIN($H108:$S108),"")</f>
        <v/>
      </c>
      <c r="E108" s="4">
        <f>IF(ISNUMBER(C108),IF(COUNTIF($H$7:$S$7,"&gt;="&amp;B108)=0,"None",SMALL($H$7:$S$7,COUNTIF($H$7:$S$7,"&lt;"&amp;B108)+1)),"")</f>
        <v/>
      </c>
      <c r="F108" s="4">
        <f>IF(ISNUMBER(C108),IF(COUNTIF($H108:$S108,D108)&gt;1,"Tie, first listed used",""),"")</f>
        <v/>
      </c>
      <c r="H108" s="9">
        <f>IF(AND(ISNUMBER($B108),ISNUMBER(H$7)),ROUND(ABS($B108-H$7),6),"")</f>
        <v/>
      </c>
      <c r="I108" s="9">
        <f>IF(AND(ISNUMBER($B108),ISNUMBER(I$7)),ROUND(ABS($B108-I$7),6),"")</f>
        <v/>
      </c>
      <c r="J108" s="9">
        <f>IF(AND(ISNUMBER($B108),ISNUMBER(J$7)),ROUND(ABS($B108-J$7),6),"")</f>
        <v/>
      </c>
      <c r="K108" s="9">
        <f>IF(AND(ISNUMBER($B108),ISNUMBER(K$7)),ROUND(ABS($B108-K$7),6),"")</f>
        <v/>
      </c>
      <c r="L108" s="9">
        <f>IF(AND(ISNUMBER($B108),ISNUMBER(L$7)),ROUND(ABS($B108-L$7),6),"")</f>
        <v/>
      </c>
      <c r="M108" s="9">
        <f>IF(AND(ISNUMBER($B108),ISNUMBER(M$7)),ROUND(ABS($B108-M$7),6),"")</f>
        <v/>
      </c>
      <c r="N108" s="9">
        <f>IF(AND(ISNUMBER($B108),ISNUMBER(N$7)),ROUND(ABS($B108-N$7),6),"")</f>
        <v/>
      </c>
      <c r="O108" s="9">
        <f>IF(AND(ISNUMBER($B108),ISNUMBER(O$7)),ROUND(ABS($B108-O$7),6),"")</f>
        <v/>
      </c>
      <c r="P108" s="9">
        <f>IF(AND(ISNUMBER($B108),ISNUMBER(P$7)),ROUND(ABS($B108-P$7),6),"")</f>
        <v/>
      </c>
      <c r="Q108" s="9">
        <f>IF(AND(ISNUMBER($B108),ISNUMBER(Q$7)),ROUND(ABS($B108-Q$7),6),"")</f>
        <v/>
      </c>
      <c r="R108" s="9">
        <f>IF(AND(ISNUMBER($B108),ISNUMBER(R$7)),ROUND(ABS($B108-R$7),6),"")</f>
        <v/>
      </c>
      <c r="S108" s="9">
        <f>IF(AND(ISNUMBER($B108),ISNUMBER(S$7)),ROUND(ABS($B108-S$7),6),"")</f>
        <v/>
      </c>
    </row>
  </sheetData>
  <conditionalFormatting sqref="A9:F108">
    <cfRule type="expression" priority="1" dxfId="0">
      <formula>$F9&lt;&gt;""</formula>
    </cfRule>
  </conditionalFormatting>
  <conditionalFormatting sqref="C9:C108">
    <cfRule type="expression" priority="2" dxfId="1">
      <formula>$C9="Check length"</formula>
    </cfRule>
  </conditionalFormatting>
  <conditionalFormatting sqref="D5">
    <cfRule type="expression" priority="3" dxfId="1">
      <formula>AND(D5&lt;&gt;"OK",D5&lt;&gt;"")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Find the Closest Size in a List</t>
        </is>
      </c>
    </row>
    <row r="2">
      <c r="A2" s="11" t="inlineStr"/>
    </row>
    <row r="3">
      <c r="A3" s="11" t="inlineStr">
        <is>
          <t>1. Sizes tab: type the standard sizes in inches across H7:S7 (up to 12, yellow; 9 are filled), then each order name (A) and item length in inches (B), rows 9 to 108. Yellow. The sample is 15 fictional print orders.</t>
        </is>
      </c>
    </row>
    <row r="4">
      <c r="A4" s="11" t="inlineStr">
        <is>
          <t>2. Helper columns H:S show how far each size is from the item: =IF(AND(ISNUMBER($B9),ISNUMBER(H$7)),ROUND(ABS($B9-H$7),6),""). They are visible on purpose, so you can see why a size was picked. No array formula and no Ctrl+Shift+Enter. The ROUND to 6 places keeps a gap like 0.1 from looking different from another 0.1 because of binary rounding.</t>
        </is>
      </c>
    </row>
    <row r="5">
      <c r="A5" s="11" t="inlineStr">
        <is>
          <t>3. Closest size, C9: =INDEX($H$7:$S$7,MATCH(MIN($H9:$S9),$H9:$S9,0)). Off by, D9: =MIN($H9:$S9).</t>
        </is>
      </c>
    </row>
    <row r="6">
      <c r="A6" s="11" t="inlineStr">
        <is>
          <t>4. Tie: when two sizes are equally close, MATCH returns the one that comes first in the list across H7:S7 (left to right, not the smaller one), and F9 says "Tie, first listed used". With sizes typed in rising order that is the smaller size. F9: =IF(COUNTIF($H9:$S9,D9)&gt;1,"Tie, first listed used","").</t>
        </is>
      </c>
    </row>
    <row r="7">
      <c r="A7" s="11" t="inlineStr">
        <is>
          <t>5. Next size that fits, E9: the smallest listed size that is the item length or more, =SMALL($H$7:$S$7,COUNTIF($H$7:$S$7,"&lt;"&amp;B9)+1), or None when the item is longer than every size. It works with sizes in any order and does not need a sorted list. An exact match gives that size.</t>
        </is>
      </c>
    </row>
    <row r="8">
      <c r="A8" s="11" t="inlineStr">
        <is>
          <t>6. A blank cell in the size list is skipped. A size or length typed as text is not a number: the length row shows Check length and D5 shows CHECK.</t>
        </is>
      </c>
    </row>
    <row r="9">
      <c r="A9" s="11" t="inlineStr">
        <is>
          <t>7. Summary, D1:D5: orders with a length, orders where the closest size is smaller than the item (it does not fit and E shows the next one up), orders longer than every size, the largest gap, and the check. D5 shows OK when every size and length is a number, there is at least one size, no size is listed twice, and every length found a closest size.</t>
        </is>
      </c>
    </row>
    <row r="10">
      <c r="A10" s="11" t="inlineStr">
        <is>
          <t>8. Counting and measuring only. The sheet does not say what to quote or sell.</t>
        </is>
      </c>
    </row>
    <row r="11">
      <c r="A11" s="11" t="inlineStr"/>
    </row>
    <row r="12">
      <c r="A12" s="11" t="inlineStr">
        <is>
          <t>Orders and sizes are fictional. Checked in LibreOffice Calc only; not opened in Excel or Google Sheets.</t>
        </is>
      </c>
    </row>
    <row r="13">
      <c r="A13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2026-10-27T07:37:10Z</dcterms:created>
  <dcterms:modified xmlns:dcterms="http://purl.org/dc/terms/" xmlns:xsi="http://www.w3.org/2001/XMLSchema-instance" xsi:type="dcterms:W3CDTF">2026-10-27T07:37:10Z</dcterms:modified>
</cp:coreProperties>
</file>