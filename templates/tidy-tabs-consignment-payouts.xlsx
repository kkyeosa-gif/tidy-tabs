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'Shops'!$4:$4</definedName>
    <definedName name="_xlnm.Print_Area" localSheetId="0">'Shops'!$A$1:$L$15</definedName>
    <definedName name="_xlnm.Print_Titles" localSheetId="1">'Sales'!$4:$4</definedName>
    <definedName name="_xlnm.Print_Area" localSheetId="1">'Sales'!$A$1:$H$34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9" fontId="0" fillId="3" borderId="0" pivotButton="0" quotePrefix="0" xfId="0"/>
    <xf numFmtId="165" fontId="0" fillId="3" borderId="0" pivotButton="0" quotePrefix="0" xfId="0"/>
    <xf numFmtId="165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165" fontId="3" fillId="4" borderId="0" applyAlignment="1" pivotButton="0" quotePrefix="0" xfId="0">
      <alignment horizontal="right"/>
    </xf>
    <xf numFmtId="1" fontId="3" fillId="4" borderId="0" applyAlignment="1" pivotButton="0" quotePrefix="0" xfId="0">
      <alignment horizontal="right"/>
    </xf>
    <xf numFmtId="164" fontId="0" fillId="3" borderId="0" pivotButton="0" quotePrefix="0" xfId="0"/>
    <xf numFmtId="1" fontId="0" fillId="3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26" customWidth="1" min="9" max="9"/>
    <col width="3" customWidth="1" min="10" max="10"/>
    <col width="44" customWidth="1" min="11" max="11"/>
    <col width="16" customWidth="1" min="12" max="12"/>
  </cols>
  <sheetData>
    <row r="1">
      <c r="A1" s="1" t="inlineStr">
        <is>
          <t>Fictional shops and rates. Commission rate = the share of each sale the shop keeps. Paid so far = what the shop has already sent you.</t>
        </is>
      </c>
    </row>
    <row r="4" ht="46" customHeight="1">
      <c r="A4" s="2" t="inlineStr">
        <is>
          <t>Shop name</t>
        </is>
      </c>
      <c r="B4" s="2" t="inlineStr">
        <is>
          <t>Commission rate (shop keeps)</t>
        </is>
      </c>
      <c r="C4" s="2" t="inlineStr">
        <is>
          <t>Paid to you so far</t>
        </is>
      </c>
      <c r="D4" s="2" t="inlineStr">
        <is>
          <t>Gross sales</t>
        </is>
      </c>
      <c r="E4" s="2" t="inlineStr">
        <is>
          <t>Shop's cut</t>
        </is>
      </c>
      <c r="F4" s="2" t="inlineStr">
        <is>
          <t>Your share</t>
        </is>
      </c>
      <c r="G4" s="2" t="inlineStr">
        <is>
          <t>Still owed to you</t>
        </is>
      </c>
      <c r="H4" s="2" t="inlineStr">
        <is>
          <t>Items sold</t>
        </is>
      </c>
      <c r="I4" s="2" t="inlineStr">
        <is>
          <t>Flag</t>
        </is>
      </c>
    </row>
    <row r="5">
      <c r="A5" s="3" t="inlineStr">
        <is>
          <t>Maple Street Gifts</t>
        </is>
      </c>
      <c r="B5" s="4" t="n">
        <v>0.3</v>
      </c>
      <c r="C5" s="5" t="n">
        <v>150</v>
      </c>
      <c r="D5" s="6">
        <f>IF(A5="","",SUMIFS(Sales!$F$5:$F$204,Sales!$B$5:$B$204,A5))</f>
        <v/>
      </c>
      <c r="E5" s="6">
        <f>IF(A5="","",SUMIFS(Sales!$G$5:$G$204,Sales!$B$5:$B$204,A5))</f>
        <v/>
      </c>
      <c r="F5" s="6">
        <f>IF(A5="","",SUMIFS(Sales!$H$5:$H$204,Sales!$B$5:$B$204,A5))</f>
        <v/>
      </c>
      <c r="G5" s="6">
        <f>IF(A5="","",IF(AND(C5&lt;&gt;"",NOT(ISNUMBER(C5))),"Check paid",ROUND(F5-N(C5),2)))</f>
        <v/>
      </c>
      <c r="H5" s="7">
        <f>IF(A5="","",SUMIFS(Sales!$E$5:$E$204,Sales!$B$5:$B$204,A5))</f>
        <v/>
      </c>
      <c r="I5" s="8">
        <f>IF(A5="","",IF(NOT(AND(ISNUMBER(B5),B5&gt;=0,B5&lt;=1)),"Check rate",IF(NOT(ISNUMBER(G5)),"Check paid",IF(G5&lt;0,"Check: paid more than owed",""))))</f>
        <v/>
      </c>
      <c r="K5" s="9" t="inlineStr">
        <is>
          <t>Shops listed</t>
        </is>
      </c>
      <c r="L5" s="7">
        <f>COUNTA($A$5:$A$14)</f>
        <v/>
      </c>
    </row>
    <row r="6">
      <c r="A6" s="3" t="inlineStr">
        <is>
          <t>Harbor Art Co-op</t>
        </is>
      </c>
      <c r="B6" s="4" t="n">
        <v>0.4</v>
      </c>
      <c r="C6" s="5" t="n">
        <v>0</v>
      </c>
      <c r="D6" s="6">
        <f>IF(A6="","",SUMIFS(Sales!$F$5:$F$204,Sales!$B$5:$B$204,A6))</f>
        <v/>
      </c>
      <c r="E6" s="6">
        <f>IF(A6="","",SUMIFS(Sales!$G$5:$G$204,Sales!$B$5:$B$204,A6))</f>
        <v/>
      </c>
      <c r="F6" s="6">
        <f>IF(A6="","",SUMIFS(Sales!$H$5:$H$204,Sales!$B$5:$B$204,A6))</f>
        <v/>
      </c>
      <c r="G6" s="6">
        <f>IF(A6="","",IF(AND(C6&lt;&gt;"",NOT(ISNUMBER(C6))),"Check paid",ROUND(F6-N(C6),2)))</f>
        <v/>
      </c>
      <c r="H6" s="7">
        <f>IF(A6="","",SUMIFS(Sales!$E$5:$E$204,Sales!$B$5:$B$204,A6))</f>
        <v/>
      </c>
      <c r="I6" s="8">
        <f>IF(A6="","",IF(NOT(AND(ISNUMBER(B6),B6&gt;=0,B6&lt;=1)),"Check rate",IF(NOT(ISNUMBER(G6)),"Check paid",IF(G6&lt;0,"Check: paid more than owed",""))))</f>
        <v/>
      </c>
      <c r="K6" s="9" t="inlineStr">
        <is>
          <t>Sale rows</t>
        </is>
      </c>
      <c r="L6" s="7">
        <f>COUNTIF(Sales!$F$5:$F$204,"&gt;0")+COUNTIF(Sales!$F$5:$F$204,"&lt;=0")</f>
        <v/>
      </c>
    </row>
    <row r="7">
      <c r="A7" s="3" t="inlineStr">
        <is>
          <t>Cedar &amp; Stone Boutique</t>
        </is>
      </c>
      <c r="B7" s="4" t="n">
        <v>0.35</v>
      </c>
      <c r="C7" s="5" t="n">
        <v>85</v>
      </c>
      <c r="D7" s="6">
        <f>IF(A7="","",SUMIFS(Sales!$F$5:$F$204,Sales!$B$5:$B$204,A7))</f>
        <v/>
      </c>
      <c r="E7" s="6">
        <f>IF(A7="","",SUMIFS(Sales!$G$5:$G$204,Sales!$B$5:$B$204,A7))</f>
        <v/>
      </c>
      <c r="F7" s="6">
        <f>IF(A7="","",SUMIFS(Sales!$H$5:$H$204,Sales!$B$5:$B$204,A7))</f>
        <v/>
      </c>
      <c r="G7" s="6">
        <f>IF(A7="","",IF(AND(C7&lt;&gt;"",NOT(ISNUMBER(C7))),"Check paid",ROUND(F7-N(C7),2)))</f>
        <v/>
      </c>
      <c r="H7" s="7">
        <f>IF(A7="","",SUMIFS(Sales!$E$5:$E$204,Sales!$B$5:$B$204,A7))</f>
        <v/>
      </c>
      <c r="I7" s="8">
        <f>IF(A7="","",IF(NOT(AND(ISNUMBER(B7),B7&gt;=0,B7&lt;=1)),"Check rate",IF(NOT(ISNUMBER(G7)),"Check paid",IF(G7&lt;0,"Check: paid more than owed",""))))</f>
        <v/>
      </c>
      <c r="K7" s="9" t="inlineStr">
        <is>
          <t>Sales rows with an unlisted shop or bad rate</t>
        </is>
      </c>
      <c r="L7" s="7">
        <f>COUNTIF(Sales!$G$5:$G$204,"Check shop")</f>
        <v/>
      </c>
    </row>
    <row r="8">
      <c r="A8" s="3" t="n"/>
      <c r="B8" s="4" t="n"/>
      <c r="C8" s="5" t="n"/>
      <c r="D8" s="6">
        <f>IF(A8="","",SUMIFS(Sales!$F$5:$F$204,Sales!$B$5:$B$204,A8))</f>
        <v/>
      </c>
      <c r="E8" s="6">
        <f>IF(A8="","",SUMIFS(Sales!$G$5:$G$204,Sales!$B$5:$B$204,A8))</f>
        <v/>
      </c>
      <c r="F8" s="6">
        <f>IF(A8="","",SUMIFS(Sales!$H$5:$H$204,Sales!$B$5:$B$204,A8))</f>
        <v/>
      </c>
      <c r="G8" s="6">
        <f>IF(A8="","",IF(AND(C8&lt;&gt;"",NOT(ISNUMBER(C8))),"Check paid",ROUND(F8-N(C8),2)))</f>
        <v/>
      </c>
      <c r="H8" s="7">
        <f>IF(A8="","",SUMIFS(Sales!$E$5:$E$204,Sales!$B$5:$B$204,A8))</f>
        <v/>
      </c>
      <c r="I8" s="8">
        <f>IF(A8="","",IF(NOT(AND(ISNUMBER(B8),B8&gt;=0,B8&lt;=1)),"Check rate",IF(NOT(ISNUMBER(G8)),"Check paid",IF(G8&lt;0,"Check: paid more than owed",""))))</f>
        <v/>
      </c>
      <c r="K8" s="9" t="inlineStr">
        <is>
          <t>Sales rows with a missing price or quantity</t>
        </is>
      </c>
      <c r="L8" s="7">
        <f>COUNTIF(Sales!$F$5:$F$204,"Check amounts")</f>
        <v/>
      </c>
    </row>
    <row r="9">
      <c r="A9" s="3" t="n"/>
      <c r="B9" s="4" t="n"/>
      <c r="C9" s="5" t="n"/>
      <c r="D9" s="6">
        <f>IF(A9="","",SUMIFS(Sales!$F$5:$F$204,Sales!$B$5:$B$204,A9))</f>
        <v/>
      </c>
      <c r="E9" s="6">
        <f>IF(A9="","",SUMIFS(Sales!$G$5:$G$204,Sales!$B$5:$B$204,A9))</f>
        <v/>
      </c>
      <c r="F9" s="6">
        <f>IF(A9="","",SUMIFS(Sales!$H$5:$H$204,Sales!$B$5:$B$204,A9))</f>
        <v/>
      </c>
      <c r="G9" s="6">
        <f>IF(A9="","",IF(AND(C9&lt;&gt;"",NOT(ISNUMBER(C9))),"Check paid",ROUND(F9-N(C9),2)))</f>
        <v/>
      </c>
      <c r="H9" s="7">
        <f>IF(A9="","",SUMIFS(Sales!$E$5:$E$204,Sales!$B$5:$B$204,A9))</f>
        <v/>
      </c>
      <c r="I9" s="8">
        <f>IF(A9="","",IF(NOT(AND(ISNUMBER(B9),B9&gt;=0,B9&lt;=1)),"Check rate",IF(NOT(ISNUMBER(G9)),"Check paid",IF(G9&lt;0,"Check: paid more than owed",""))))</f>
        <v/>
      </c>
      <c r="K9" s="9" t="inlineStr">
        <is>
          <t>Shops paid more than they owe</t>
        </is>
      </c>
      <c r="L9" s="7">
        <f>COUNTIF($I$5:$I$14,"Check: paid*")</f>
        <v/>
      </c>
    </row>
    <row r="10">
      <c r="A10" s="3" t="n"/>
      <c r="B10" s="4" t="n"/>
      <c r="C10" s="5" t="n"/>
      <c r="D10" s="6">
        <f>IF(A10="","",SUMIFS(Sales!$F$5:$F$204,Sales!$B$5:$B$204,A10))</f>
        <v/>
      </c>
      <c r="E10" s="6">
        <f>IF(A10="","",SUMIFS(Sales!$G$5:$G$204,Sales!$B$5:$B$204,A10))</f>
        <v/>
      </c>
      <c r="F10" s="6">
        <f>IF(A10="","",SUMIFS(Sales!$H$5:$H$204,Sales!$B$5:$B$204,A10))</f>
        <v/>
      </c>
      <c r="G10" s="6">
        <f>IF(A10="","",IF(AND(C10&lt;&gt;"",NOT(ISNUMBER(C10))),"Check paid",ROUND(F10-N(C10),2)))</f>
        <v/>
      </c>
      <c r="H10" s="7">
        <f>IF(A10="","",SUMIFS(Sales!$E$5:$E$204,Sales!$B$5:$B$204,A10))</f>
        <v/>
      </c>
      <c r="I10" s="8">
        <f>IF(A10="","",IF(NOT(AND(ISNUMBER(B10),B10&gt;=0,B10&lt;=1)),"Check rate",IF(NOT(ISNUMBER(G10)),"Check paid",IF(G10&lt;0,"Check: paid more than owed",""))))</f>
        <v/>
      </c>
      <c r="K10" s="9" t="inlineStr">
        <is>
          <t>Gross sales on the Sales tab</t>
        </is>
      </c>
      <c r="L10" s="6">
        <f>SUM(Sales!$F$5:$F$204)</f>
        <v/>
      </c>
    </row>
    <row r="11">
      <c r="A11" s="3" t="n"/>
      <c r="B11" s="4" t="n"/>
      <c r="C11" s="5" t="n"/>
      <c r="D11" s="6">
        <f>IF(A11="","",SUMIFS(Sales!$F$5:$F$204,Sales!$B$5:$B$204,A11))</f>
        <v/>
      </c>
      <c r="E11" s="6">
        <f>IF(A11="","",SUMIFS(Sales!$G$5:$G$204,Sales!$B$5:$B$204,A11))</f>
        <v/>
      </c>
      <c r="F11" s="6">
        <f>IF(A11="","",SUMIFS(Sales!$H$5:$H$204,Sales!$B$5:$B$204,A11))</f>
        <v/>
      </c>
      <c r="G11" s="6">
        <f>IF(A11="","",IF(AND(C11&lt;&gt;"",NOT(ISNUMBER(C11))),"Check paid",ROUND(F11-N(C11),2)))</f>
        <v/>
      </c>
      <c r="H11" s="7">
        <f>IF(A11="","",SUMIFS(Sales!$E$5:$E$204,Sales!$B$5:$B$204,A11))</f>
        <v/>
      </c>
      <c r="I11" s="8">
        <f>IF(A11="","",IF(NOT(AND(ISNUMBER(B11),B11&gt;=0,B11&lt;=1)),"Check rate",IF(NOT(ISNUMBER(G11)),"Check paid",IF(G11&lt;0,"Check: paid more than owed",""))))</f>
        <v/>
      </c>
      <c r="K11" s="9" t="inlineStr">
        <is>
          <t>Shop's cut on the Sales tab</t>
        </is>
      </c>
      <c r="L11" s="6">
        <f>SUM(Sales!$G$5:$G$204)</f>
        <v/>
      </c>
    </row>
    <row r="12">
      <c r="A12" s="3" t="n"/>
      <c r="B12" s="4" t="n"/>
      <c r="C12" s="5" t="n"/>
      <c r="D12" s="6">
        <f>IF(A12="","",SUMIFS(Sales!$F$5:$F$204,Sales!$B$5:$B$204,A12))</f>
        <v/>
      </c>
      <c r="E12" s="6">
        <f>IF(A12="","",SUMIFS(Sales!$G$5:$G$204,Sales!$B$5:$B$204,A12))</f>
        <v/>
      </c>
      <c r="F12" s="6">
        <f>IF(A12="","",SUMIFS(Sales!$H$5:$H$204,Sales!$B$5:$B$204,A12))</f>
        <v/>
      </c>
      <c r="G12" s="6">
        <f>IF(A12="","",IF(AND(C12&lt;&gt;"",NOT(ISNUMBER(C12))),"Check paid",ROUND(F12-N(C12),2)))</f>
        <v/>
      </c>
      <c r="H12" s="7">
        <f>IF(A12="","",SUMIFS(Sales!$E$5:$E$204,Sales!$B$5:$B$204,A12))</f>
        <v/>
      </c>
      <c r="I12" s="8">
        <f>IF(A12="","",IF(NOT(AND(ISNUMBER(B12),B12&gt;=0,B12&lt;=1)),"Check rate",IF(NOT(ISNUMBER(G12)),"Check paid",IF(G12&lt;0,"Check: paid more than owed",""))))</f>
        <v/>
      </c>
      <c r="K12" s="9" t="inlineStr">
        <is>
          <t>Your share on the Sales tab</t>
        </is>
      </c>
      <c r="L12" s="6">
        <f>SUM(Sales!$H$5:$H$204)</f>
        <v/>
      </c>
    </row>
    <row r="13" ht="46" customHeight="1">
      <c r="A13" s="3" t="n"/>
      <c r="B13" s="4" t="n"/>
      <c r="C13" s="5" t="n"/>
      <c r="D13" s="6">
        <f>IF(A13="","",SUMIFS(Sales!$F$5:$F$204,Sales!$B$5:$B$204,A13))</f>
        <v/>
      </c>
      <c r="E13" s="6">
        <f>IF(A13="","",SUMIFS(Sales!$G$5:$G$204,Sales!$B$5:$B$204,A13))</f>
        <v/>
      </c>
      <c r="F13" s="6">
        <f>IF(A13="","",SUMIFS(Sales!$H$5:$H$204,Sales!$B$5:$B$204,A13))</f>
        <v/>
      </c>
      <c r="G13" s="6">
        <f>IF(A13="","",IF(AND(C13&lt;&gt;"",NOT(ISNUMBER(C13))),"Check paid",ROUND(F13-N(C13),2)))</f>
        <v/>
      </c>
      <c r="H13" s="7">
        <f>IF(A13="","",SUMIFS(Sales!$E$5:$E$204,Sales!$B$5:$B$204,A13))</f>
        <v/>
      </c>
      <c r="I13" s="8">
        <f>IF(A13="","",IF(NOT(AND(ISNUMBER(B13),B13&gt;=0,B13&lt;=1)),"Check rate",IF(NOT(ISNUMBER(G13)),"Check paid",IF(G13&lt;0,"Check: paid more than owed",""))))</f>
        <v/>
      </c>
      <c r="K13" s="10" t="inlineStr">
        <is>
          <t>Check: gross = cut + your share, every sale has a listed shop and amounts, no shop is listed twice</t>
        </is>
      </c>
      <c r="L13" s="8">
        <f>IF(AND(ROUND(SUM(Sales!$F$5:$F$204)-SUM(Sales!$G$5:$G$204)-SUM(Sales!$H$5:$H$204),2)=0,COUNTIF(Sales!$G$5:$G$204,"Check shop")=0,COUNTIF(Sales!$F$5:$F$204,"Check amounts")=0,SUMPRODUCT(($A$5:$A$14&lt;&gt;"")*(COUNTIF($A$5:$A$14,$A$5:$A$14)&gt;1))=0,COUNTIF($I$5:$I$14,"Check rate")+COUNTIF($I$5:$I$14,"Check paid")=0,ROUND(SUM($F$5:$F$14)-SUM(Sales!$H$5:$H$204),2)=0,COUNTA(Sales!A205:E500)=0),"OK","Check")</f>
        <v/>
      </c>
    </row>
    <row r="14">
      <c r="A14" s="3" t="n"/>
      <c r="B14" s="4" t="n"/>
      <c r="C14" s="5" t="n"/>
      <c r="D14" s="6">
        <f>IF(A14="","",SUMIFS(Sales!$F$5:$F$204,Sales!$B$5:$B$204,A14))</f>
        <v/>
      </c>
      <c r="E14" s="6">
        <f>IF(A14="","",SUMIFS(Sales!$G$5:$G$204,Sales!$B$5:$B$204,A14))</f>
        <v/>
      </c>
      <c r="F14" s="6">
        <f>IF(A14="","",SUMIFS(Sales!$H$5:$H$204,Sales!$B$5:$B$204,A14))</f>
        <v/>
      </c>
      <c r="G14" s="6">
        <f>IF(A14="","",IF(AND(C14&lt;&gt;"",NOT(ISNUMBER(C14))),"Check paid",ROUND(F14-N(C14),2)))</f>
        <v/>
      </c>
      <c r="H14" s="7">
        <f>IF(A14="","",SUMIFS(Sales!$E$5:$E$204,Sales!$B$5:$B$204,A14))</f>
        <v/>
      </c>
      <c r="I14" s="8">
        <f>IF(A14="","",IF(NOT(AND(ISNUMBER(B14),B14&gt;=0,B14&lt;=1)),"Check rate",IF(NOT(ISNUMBER(G14)),"Check paid",IF(G14&lt;0,"Check: paid more than owed",""))))</f>
        <v/>
      </c>
    </row>
    <row r="15">
      <c r="A15" s="9" t="inlineStr">
        <is>
          <t>Total</t>
        </is>
      </c>
      <c r="C15" s="11">
        <f>SUM(C5:C14)</f>
        <v/>
      </c>
      <c r="D15" s="11">
        <f>SUM(D5:D14)</f>
        <v/>
      </c>
      <c r="E15" s="11">
        <f>SUM(E5:E14)</f>
        <v/>
      </c>
      <c r="F15" s="11">
        <f>SUM(F5:F14)</f>
        <v/>
      </c>
      <c r="G15" s="11">
        <f>SUM(G5:G14)</f>
        <v/>
      </c>
      <c r="H15" s="12">
        <f>SUM(H5:H14)</f>
        <v/>
      </c>
    </row>
  </sheetData>
  <conditionalFormatting sqref="A5:I14">
    <cfRule type="expression" priority="1" dxfId="0">
      <formula>LEFT($I5,5)="Check"</formula>
    </cfRule>
  </conditionalFormatting>
  <conditionalFormatting sqref="L13">
    <cfRule type="expression" priority="2" dxfId="0">
      <formula>AND(L13&lt;&gt;"OK",L13&lt;&gt;"")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2" customWidth="1" min="4" max="4"/>
    <col width="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Fictional sample sales. One row per sale: yellow cells are yours to type. Gray cells are formulas.</t>
        </is>
      </c>
    </row>
    <row r="4" ht="24" customHeight="1">
      <c r="A4" s="2" t="inlineStr">
        <is>
          <t>Sale date</t>
        </is>
      </c>
      <c r="B4" s="2" t="inlineStr">
        <is>
          <t>Shop</t>
        </is>
      </c>
      <c r="C4" s="2" t="inlineStr">
        <is>
          <t>Item</t>
        </is>
      </c>
      <c r="D4" s="2" t="inlineStr">
        <is>
          <t>Price each</t>
        </is>
      </c>
      <c r="E4" s="2" t="inlineStr">
        <is>
          <t>Qty</t>
        </is>
      </c>
      <c r="F4" s="2" t="inlineStr">
        <is>
          <t>Gross</t>
        </is>
      </c>
      <c r="G4" s="2" t="inlineStr">
        <is>
          <t>Shop's cut</t>
        </is>
      </c>
      <c r="H4" s="2" t="inlineStr">
        <is>
          <t>Your share</t>
        </is>
      </c>
    </row>
    <row r="5">
      <c r="A5" s="13" t="n">
        <v>46266</v>
      </c>
      <c r="B5" s="3" t="inlineStr">
        <is>
          <t>Maple Street Gifts</t>
        </is>
      </c>
      <c r="C5" s="3" t="inlineStr">
        <is>
          <t>Soy candle, large</t>
        </is>
      </c>
      <c r="D5" s="5" t="n">
        <v>18</v>
      </c>
      <c r="E5" s="14" t="n">
        <v>2</v>
      </c>
      <c r="F5" s="6">
        <f>IF(COUNTA(A5:E5)=0,"",IF(AND(ISNUMBER(D5),ISNUMBER(E5)),ROUND(D5*E5,2),"Check amounts"))</f>
        <v/>
      </c>
      <c r="G5" s="6">
        <f>IF(NOT(ISNUMBER(F5)),"",IF(COUNTIFS(Shops!$A$5:$A$14,B5,Shops!$B$5:$B$14,"&gt;=0",Shops!$B$5:$B$14,"&lt;=1")=0,"Check shop",ROUND(F5*INDEX(Shops!$B$5:$B$14,MATCH(B5,Shops!$A$5:$A$14,0)),2)))</f>
        <v/>
      </c>
      <c r="H5" s="6">
        <f>IF(ISNUMBER(G5),ROUND(F5-G5,2),"")</f>
        <v/>
      </c>
    </row>
    <row r="6">
      <c r="A6" s="13" t="n">
        <v>46267</v>
      </c>
      <c r="B6" s="3" t="inlineStr">
        <is>
          <t>Harbor Art Co-op</t>
        </is>
      </c>
      <c r="C6" s="3" t="inlineStr">
        <is>
          <t>Ceramic mug</t>
        </is>
      </c>
      <c r="D6" s="5" t="n">
        <v>24</v>
      </c>
      <c r="E6" s="14" t="n">
        <v>1</v>
      </c>
      <c r="F6" s="6">
        <f>IF(COUNTA(A6:E6)=0,"",IF(AND(ISNUMBER(D6),ISNUMBER(E6)),ROUND(D6*E6,2),"Check amounts"))</f>
        <v/>
      </c>
      <c r="G6" s="6">
        <f>IF(NOT(ISNUMBER(F6)),"",IF(COUNTIFS(Shops!$A$5:$A$14,B6,Shops!$B$5:$B$14,"&gt;=0",Shops!$B$5:$B$14,"&lt;=1")=0,"Check shop",ROUND(F6*INDEX(Shops!$B$5:$B$14,MATCH(B6,Shops!$A$5:$A$14,0)),2)))</f>
        <v/>
      </c>
      <c r="H6" s="6">
        <f>IF(ISNUMBER(G6),ROUND(F6-G6,2),"")</f>
        <v/>
      </c>
    </row>
    <row r="7">
      <c r="A7" s="13" t="n">
        <v>46269</v>
      </c>
      <c r="B7" s="3" t="inlineStr">
        <is>
          <t>Cedar &amp; Stone Boutique</t>
        </is>
      </c>
      <c r="C7" s="3" t="inlineStr">
        <is>
          <t>Greeting card 6-pack</t>
        </is>
      </c>
      <c r="D7" s="5" t="n">
        <v>12.5</v>
      </c>
      <c r="E7" s="14" t="n">
        <v>3</v>
      </c>
      <c r="F7" s="6">
        <f>IF(COUNTA(A7:E7)=0,"",IF(AND(ISNUMBER(D7),ISNUMBER(E7)),ROUND(D7*E7,2),"Check amounts"))</f>
        <v/>
      </c>
      <c r="G7" s="6">
        <f>IF(NOT(ISNUMBER(F7)),"",IF(COUNTIFS(Shops!$A$5:$A$14,B7,Shops!$B$5:$B$14,"&gt;=0",Shops!$B$5:$B$14,"&lt;=1")=0,"Check shop",ROUND(F7*INDEX(Shops!$B$5:$B$14,MATCH(B7,Shops!$A$5:$A$14,0)),2)))</f>
        <v/>
      </c>
      <c r="H7" s="6">
        <f>IF(ISNUMBER(G7),ROUND(F7-G7,2),"")</f>
        <v/>
      </c>
    </row>
    <row r="8">
      <c r="A8" s="13" t="n">
        <v>46271</v>
      </c>
      <c r="B8" s="3" t="inlineStr">
        <is>
          <t>Maple Street Gifts</t>
        </is>
      </c>
      <c r="C8" s="3" t="inlineStr">
        <is>
          <t>Greeting card 6-pack</t>
        </is>
      </c>
      <c r="D8" s="5" t="n">
        <v>12</v>
      </c>
      <c r="E8" s="14" t="n">
        <v>1</v>
      </c>
      <c r="F8" s="6">
        <f>IF(COUNTA(A8:E8)=0,"",IF(AND(ISNUMBER(D8),ISNUMBER(E8)),ROUND(D8*E8,2),"Check amounts"))</f>
        <v/>
      </c>
      <c r="G8" s="6">
        <f>IF(NOT(ISNUMBER(F8)),"",IF(COUNTIFS(Shops!$A$5:$A$14,B8,Shops!$B$5:$B$14,"&gt;=0",Shops!$B$5:$B$14,"&lt;=1")=0,"Check shop",ROUND(F8*INDEX(Shops!$B$5:$B$14,MATCH(B8,Shops!$A$5:$A$14,0)),2)))</f>
        <v/>
      </c>
      <c r="H8" s="6">
        <f>IF(ISNUMBER(G8),ROUND(F8-G8,2),"")</f>
        <v/>
      </c>
    </row>
    <row r="9">
      <c r="A9" s="13" t="n">
        <v>46273</v>
      </c>
      <c r="B9" s="3" t="inlineStr">
        <is>
          <t>Harbor Art Co-op</t>
        </is>
      </c>
      <c r="C9" s="3" t="inlineStr">
        <is>
          <t>Watercolor print</t>
        </is>
      </c>
      <c r="D9" s="5" t="n">
        <v>35</v>
      </c>
      <c r="E9" s="14" t="n">
        <v>2</v>
      </c>
      <c r="F9" s="6">
        <f>IF(COUNTA(A9:E9)=0,"",IF(AND(ISNUMBER(D9),ISNUMBER(E9)),ROUND(D9*E9,2),"Check amounts"))</f>
        <v/>
      </c>
      <c r="G9" s="6">
        <f>IF(NOT(ISNUMBER(F9)),"",IF(COUNTIFS(Shops!$A$5:$A$14,B9,Shops!$B$5:$B$14,"&gt;=0",Shops!$B$5:$B$14,"&lt;=1")=0,"Check shop",ROUND(F9*INDEX(Shops!$B$5:$B$14,MATCH(B9,Shops!$A$5:$A$14,0)),2)))</f>
        <v/>
      </c>
      <c r="H9" s="6">
        <f>IF(ISNUMBER(G9),ROUND(F9-G9,2),"")</f>
        <v/>
      </c>
    </row>
    <row r="10">
      <c r="A10" s="13" t="n">
        <v>46275</v>
      </c>
      <c r="B10" s="3" t="inlineStr">
        <is>
          <t>Cedar &amp; Stone Boutique</t>
        </is>
      </c>
      <c r="C10" s="3" t="inlineStr">
        <is>
          <t>Greeting card 6-pack</t>
        </is>
      </c>
      <c r="D10" s="5" t="n">
        <v>12.5</v>
      </c>
      <c r="E10" s="14" t="n">
        <v>3</v>
      </c>
      <c r="F10" s="6">
        <f>IF(COUNTA(A10:E10)=0,"",IF(AND(ISNUMBER(D10),ISNUMBER(E10)),ROUND(D10*E10,2),"Check amounts"))</f>
        <v/>
      </c>
      <c r="G10" s="6">
        <f>IF(NOT(ISNUMBER(F10)),"",IF(COUNTIFS(Shops!$A$5:$A$14,B10,Shops!$B$5:$B$14,"&gt;=0",Shops!$B$5:$B$14,"&lt;=1")=0,"Check shop",ROUND(F10*INDEX(Shops!$B$5:$B$14,MATCH(B10,Shops!$A$5:$A$14,0)),2)))</f>
        <v/>
      </c>
      <c r="H10" s="6">
        <f>IF(ISNUMBER(G10),ROUND(F10-G10,2),"")</f>
        <v/>
      </c>
    </row>
    <row r="11">
      <c r="A11" s="13" t="n">
        <v>46277</v>
      </c>
      <c r="B11" s="3" t="inlineStr">
        <is>
          <t>Maple Street Gifts</t>
        </is>
      </c>
      <c r="C11" s="3" t="inlineStr">
        <is>
          <t>Ceramic mug</t>
        </is>
      </c>
      <c r="D11" s="5" t="n">
        <v>22</v>
      </c>
      <c r="E11" s="14" t="n">
        <v>4</v>
      </c>
      <c r="F11" s="6">
        <f>IF(COUNTA(A11:E11)=0,"",IF(AND(ISNUMBER(D11),ISNUMBER(E11)),ROUND(D11*E11,2),"Check amounts"))</f>
        <v/>
      </c>
      <c r="G11" s="6">
        <f>IF(NOT(ISNUMBER(F11)),"",IF(COUNTIFS(Shops!$A$5:$A$14,B11,Shops!$B$5:$B$14,"&gt;=0",Shops!$B$5:$B$14,"&lt;=1")=0,"Check shop",ROUND(F11*INDEX(Shops!$B$5:$B$14,MATCH(B11,Shops!$A$5:$A$14,0)),2)))</f>
        <v/>
      </c>
      <c r="H11" s="6">
        <f>IF(ISNUMBER(G11),ROUND(F11-G11,2),"")</f>
        <v/>
      </c>
    </row>
    <row r="12">
      <c r="A12" s="13" t="n">
        <v>46279</v>
      </c>
      <c r="B12" s="3" t="inlineStr">
        <is>
          <t>Harbor Art Co-op</t>
        </is>
      </c>
      <c r="C12" s="3" t="inlineStr">
        <is>
          <t>Soy candle, large</t>
        </is>
      </c>
      <c r="D12" s="5" t="n">
        <v>20</v>
      </c>
      <c r="E12" s="14" t="n">
        <v>1</v>
      </c>
      <c r="F12" s="6">
        <f>IF(COUNTA(A12:E12)=0,"",IF(AND(ISNUMBER(D12),ISNUMBER(E12)),ROUND(D12*E12,2),"Check amounts"))</f>
        <v/>
      </c>
      <c r="G12" s="6">
        <f>IF(NOT(ISNUMBER(F12)),"",IF(COUNTIFS(Shops!$A$5:$A$14,B12,Shops!$B$5:$B$14,"&gt;=0",Shops!$B$5:$B$14,"&lt;=1")=0,"Check shop",ROUND(F12*INDEX(Shops!$B$5:$B$14,MATCH(B12,Shops!$A$5:$A$14,0)),2)))</f>
        <v/>
      </c>
      <c r="H12" s="6">
        <f>IF(ISNUMBER(G12),ROUND(F12-G12,2),"")</f>
        <v/>
      </c>
    </row>
    <row r="13">
      <c r="A13" s="13" t="n">
        <v>46281</v>
      </c>
      <c r="B13" s="3" t="inlineStr">
        <is>
          <t>Cedar &amp; Stone Boutique</t>
        </is>
      </c>
      <c r="C13" s="3" t="inlineStr">
        <is>
          <t>Ceramic mug</t>
        </is>
      </c>
      <c r="D13" s="5" t="n">
        <v>23</v>
      </c>
      <c r="E13" s="14" t="n">
        <v>1</v>
      </c>
      <c r="F13" s="6">
        <f>IF(COUNTA(A13:E13)=0,"",IF(AND(ISNUMBER(D13),ISNUMBER(E13)),ROUND(D13*E13,2),"Check amounts"))</f>
        <v/>
      </c>
      <c r="G13" s="6">
        <f>IF(NOT(ISNUMBER(F13)),"",IF(COUNTIFS(Shops!$A$5:$A$14,B13,Shops!$B$5:$B$14,"&gt;=0",Shops!$B$5:$B$14,"&lt;=1")=0,"Check shop",ROUND(F13*INDEX(Shops!$B$5:$B$14,MATCH(B13,Shops!$A$5:$A$14,0)),2)))</f>
        <v/>
      </c>
      <c r="H13" s="6">
        <f>IF(ISNUMBER(G13),ROUND(F13-G13,2),"")</f>
        <v/>
      </c>
    </row>
    <row r="14">
      <c r="A14" s="13" t="n">
        <v>46283</v>
      </c>
      <c r="B14" s="3" t="inlineStr">
        <is>
          <t>Maple Street Gifts</t>
        </is>
      </c>
      <c r="C14" s="3" t="inlineStr">
        <is>
          <t>Soy candle, large</t>
        </is>
      </c>
      <c r="D14" s="5" t="n">
        <v>18</v>
      </c>
      <c r="E14" s="14" t="n">
        <v>2</v>
      </c>
      <c r="F14" s="6">
        <f>IF(COUNTA(A14:E14)=0,"",IF(AND(ISNUMBER(D14),ISNUMBER(E14)),ROUND(D14*E14,2),"Check amounts"))</f>
        <v/>
      </c>
      <c r="G14" s="6">
        <f>IF(NOT(ISNUMBER(F14)),"",IF(COUNTIFS(Shops!$A$5:$A$14,B14,Shops!$B$5:$B$14,"&gt;=0",Shops!$B$5:$B$14,"&lt;=1")=0,"Check shop",ROUND(F14*INDEX(Shops!$B$5:$B$14,MATCH(B14,Shops!$A$5:$A$14,0)),2)))</f>
        <v/>
      </c>
      <c r="H14" s="6">
        <f>IF(ISNUMBER(G14),ROUND(F14-G14,2),"")</f>
        <v/>
      </c>
    </row>
    <row r="15">
      <c r="A15" s="13" t="n">
        <v>46285</v>
      </c>
      <c r="B15" s="3" t="inlineStr">
        <is>
          <t>Harbor Art Co-op</t>
        </is>
      </c>
      <c r="C15" s="3" t="inlineStr">
        <is>
          <t>Ceramic mug</t>
        </is>
      </c>
      <c r="D15" s="5" t="n">
        <v>24</v>
      </c>
      <c r="E15" s="14" t="n">
        <v>1</v>
      </c>
      <c r="F15" s="6">
        <f>IF(COUNTA(A15:E15)=0,"",IF(AND(ISNUMBER(D15),ISNUMBER(E15)),ROUND(D15*E15,2),"Check amounts"))</f>
        <v/>
      </c>
      <c r="G15" s="6">
        <f>IF(NOT(ISNUMBER(F15)),"",IF(COUNTIFS(Shops!$A$5:$A$14,B15,Shops!$B$5:$B$14,"&gt;=0",Shops!$B$5:$B$14,"&lt;=1")=0,"Check shop",ROUND(F15*INDEX(Shops!$B$5:$B$14,MATCH(B15,Shops!$A$5:$A$14,0)),2)))</f>
        <v/>
      </c>
      <c r="H15" s="6">
        <f>IF(ISNUMBER(G15),ROUND(F15-G15,2),"")</f>
        <v/>
      </c>
    </row>
    <row r="16">
      <c r="A16" s="13" t="n">
        <v>46287</v>
      </c>
      <c r="B16" s="3" t="inlineStr">
        <is>
          <t>Cedar &amp; Stone Boutique</t>
        </is>
      </c>
      <c r="C16" s="3" t="inlineStr">
        <is>
          <t>Greeting card 6-pack</t>
        </is>
      </c>
      <c r="D16" s="5" t="n">
        <v>12.5</v>
      </c>
      <c r="E16" s="14" t="n">
        <v>2</v>
      </c>
      <c r="F16" s="6">
        <f>IF(COUNTA(A16:E16)=0,"",IF(AND(ISNUMBER(D16),ISNUMBER(E16)),ROUND(D16*E16,2),"Check amounts"))</f>
        <v/>
      </c>
      <c r="G16" s="6">
        <f>IF(NOT(ISNUMBER(F16)),"",IF(COUNTIFS(Shops!$A$5:$A$14,B16,Shops!$B$5:$B$14,"&gt;=0",Shops!$B$5:$B$14,"&lt;=1")=0,"Check shop",ROUND(F16*INDEX(Shops!$B$5:$B$14,MATCH(B16,Shops!$A$5:$A$14,0)),2)))</f>
        <v/>
      </c>
      <c r="H16" s="6">
        <f>IF(ISNUMBER(G16),ROUND(F16-G16,2),"")</f>
        <v/>
      </c>
    </row>
    <row r="17">
      <c r="A17" s="13" t="n">
        <v>46289</v>
      </c>
      <c r="B17" s="3" t="inlineStr">
        <is>
          <t>Maple Street Gifts</t>
        </is>
      </c>
      <c r="C17" s="3" t="inlineStr">
        <is>
          <t>Greeting card 6-pack</t>
        </is>
      </c>
      <c r="D17" s="5" t="n">
        <v>12</v>
      </c>
      <c r="E17" s="14" t="n">
        <v>1</v>
      </c>
      <c r="F17" s="6">
        <f>IF(COUNTA(A17:E17)=0,"",IF(AND(ISNUMBER(D17),ISNUMBER(E17)),ROUND(D17*E17,2),"Check amounts"))</f>
        <v/>
      </c>
      <c r="G17" s="6">
        <f>IF(NOT(ISNUMBER(F17)),"",IF(COUNTIFS(Shops!$A$5:$A$14,B17,Shops!$B$5:$B$14,"&gt;=0",Shops!$B$5:$B$14,"&lt;=1")=0,"Check shop",ROUND(F17*INDEX(Shops!$B$5:$B$14,MATCH(B17,Shops!$A$5:$A$14,0)),2)))</f>
        <v/>
      </c>
      <c r="H17" s="6">
        <f>IF(ISNUMBER(G17),ROUND(F17-G17,2),"")</f>
        <v/>
      </c>
    </row>
    <row r="18">
      <c r="A18" s="13" t="n">
        <v>46291</v>
      </c>
      <c r="B18" s="3" t="inlineStr">
        <is>
          <t>Harbor Art Co-op</t>
        </is>
      </c>
      <c r="C18" s="3" t="inlineStr">
        <is>
          <t>Watercolor print</t>
        </is>
      </c>
      <c r="D18" s="5" t="n">
        <v>35</v>
      </c>
      <c r="E18" s="14" t="n">
        <v>3</v>
      </c>
      <c r="F18" s="6">
        <f>IF(COUNTA(A18:E18)=0,"",IF(AND(ISNUMBER(D18),ISNUMBER(E18)),ROUND(D18*E18,2),"Check amounts"))</f>
        <v/>
      </c>
      <c r="G18" s="6">
        <f>IF(NOT(ISNUMBER(F18)),"",IF(COUNTIFS(Shops!$A$5:$A$14,B18,Shops!$B$5:$B$14,"&gt;=0",Shops!$B$5:$B$14,"&lt;=1")=0,"Check shop",ROUND(F18*INDEX(Shops!$B$5:$B$14,MATCH(B18,Shops!$A$5:$A$14,0)),2)))</f>
        <v/>
      </c>
      <c r="H18" s="6">
        <f>IF(ISNUMBER(G18),ROUND(F18-G18,2),"")</f>
        <v/>
      </c>
    </row>
    <row r="19">
      <c r="A19" s="13" t="n">
        <v>46293</v>
      </c>
      <c r="B19" s="3" t="inlineStr">
        <is>
          <t>Cedar &amp; Stone Boutique</t>
        </is>
      </c>
      <c r="C19" s="3" t="inlineStr">
        <is>
          <t>Soy candle, small</t>
        </is>
      </c>
      <c r="D19" s="5" t="n">
        <v>9.5</v>
      </c>
      <c r="E19" s="14" t="n">
        <v>1</v>
      </c>
      <c r="F19" s="6">
        <f>IF(COUNTA(A19:E19)=0,"",IF(AND(ISNUMBER(D19),ISNUMBER(E19)),ROUND(D19*E19,2),"Check amounts"))</f>
        <v/>
      </c>
      <c r="G19" s="6">
        <f>IF(NOT(ISNUMBER(F19)),"",IF(COUNTIFS(Shops!$A$5:$A$14,B19,Shops!$B$5:$B$14,"&gt;=0",Shops!$B$5:$B$14,"&lt;=1")=0,"Check shop",ROUND(F19*INDEX(Shops!$B$5:$B$14,MATCH(B19,Shops!$A$5:$A$14,0)),2)))</f>
        <v/>
      </c>
      <c r="H19" s="6">
        <f>IF(ISNUMBER(G19),ROUND(F19-G19,2),"")</f>
        <v/>
      </c>
    </row>
    <row r="20">
      <c r="A20" s="13" t="n">
        <v>46295</v>
      </c>
      <c r="B20" s="3" t="inlineStr">
        <is>
          <t>Maple Street Gifts</t>
        </is>
      </c>
      <c r="C20" s="3" t="inlineStr">
        <is>
          <t>Ceramic mug</t>
        </is>
      </c>
      <c r="D20" s="5" t="n">
        <v>22</v>
      </c>
      <c r="E20" s="14" t="n">
        <v>2</v>
      </c>
      <c r="F20" s="6">
        <f>IF(COUNTA(A20:E20)=0,"",IF(AND(ISNUMBER(D20),ISNUMBER(E20)),ROUND(D20*E20,2),"Check amounts"))</f>
        <v/>
      </c>
      <c r="G20" s="6">
        <f>IF(NOT(ISNUMBER(F20)),"",IF(COUNTIFS(Shops!$A$5:$A$14,B20,Shops!$B$5:$B$14,"&gt;=0",Shops!$B$5:$B$14,"&lt;=1")=0,"Check shop",ROUND(F20*INDEX(Shops!$B$5:$B$14,MATCH(B20,Shops!$A$5:$A$14,0)),2)))</f>
        <v/>
      </c>
      <c r="H20" s="6">
        <f>IF(ISNUMBER(G20),ROUND(F20-G20,2),"")</f>
        <v/>
      </c>
    </row>
    <row r="21">
      <c r="A21" s="13" t="n">
        <v>46297</v>
      </c>
      <c r="B21" s="3" t="inlineStr">
        <is>
          <t>Harbor Art Co-op</t>
        </is>
      </c>
      <c r="C21" s="3" t="inlineStr">
        <is>
          <t>Soy candle, large</t>
        </is>
      </c>
      <c r="D21" s="5" t="n">
        <v>20</v>
      </c>
      <c r="E21" s="14" t="n">
        <v>2</v>
      </c>
      <c r="F21" s="6">
        <f>IF(COUNTA(A21:E21)=0,"",IF(AND(ISNUMBER(D21),ISNUMBER(E21)),ROUND(D21*E21,2),"Check amounts"))</f>
        <v/>
      </c>
      <c r="G21" s="6">
        <f>IF(NOT(ISNUMBER(F21)),"",IF(COUNTIFS(Shops!$A$5:$A$14,B21,Shops!$B$5:$B$14,"&gt;=0",Shops!$B$5:$B$14,"&lt;=1")=0,"Check shop",ROUND(F21*INDEX(Shops!$B$5:$B$14,MATCH(B21,Shops!$A$5:$A$14,0)),2)))</f>
        <v/>
      </c>
      <c r="H21" s="6">
        <f>IF(ISNUMBER(G21),ROUND(F21-G21,2),"")</f>
        <v/>
      </c>
    </row>
    <row r="22">
      <c r="A22" s="13" t="n">
        <v>46299</v>
      </c>
      <c r="B22" s="3" t="inlineStr">
        <is>
          <t>Cedar &amp; Stone Boutique</t>
        </is>
      </c>
      <c r="C22" s="3" t="inlineStr">
        <is>
          <t>Ceramic mug</t>
        </is>
      </c>
      <c r="D22" s="5" t="n">
        <v>23</v>
      </c>
      <c r="E22" s="14" t="n">
        <v>3</v>
      </c>
      <c r="F22" s="6">
        <f>IF(COUNTA(A22:E22)=0,"",IF(AND(ISNUMBER(D22),ISNUMBER(E22)),ROUND(D22*E22,2),"Check amounts"))</f>
        <v/>
      </c>
      <c r="G22" s="6">
        <f>IF(NOT(ISNUMBER(F22)),"",IF(COUNTIFS(Shops!$A$5:$A$14,B22,Shops!$B$5:$B$14,"&gt;=0",Shops!$B$5:$B$14,"&lt;=1")=0,"Check shop",ROUND(F22*INDEX(Shops!$B$5:$B$14,MATCH(B22,Shops!$A$5:$A$14,0)),2)))</f>
        <v/>
      </c>
      <c r="H22" s="6">
        <f>IF(ISNUMBER(G22),ROUND(F22-G22,2),"")</f>
        <v/>
      </c>
    </row>
    <row r="23">
      <c r="A23" s="13" t="n">
        <v>46301</v>
      </c>
      <c r="B23" s="3" t="inlineStr">
        <is>
          <t>Maple Street Gifts</t>
        </is>
      </c>
      <c r="C23" s="3" t="inlineStr">
        <is>
          <t>Soy candle, large</t>
        </is>
      </c>
      <c r="D23" s="5" t="n">
        <v>18</v>
      </c>
      <c r="E23" s="14" t="n">
        <v>1</v>
      </c>
      <c r="F23" s="6">
        <f>IF(COUNTA(A23:E23)=0,"",IF(AND(ISNUMBER(D23),ISNUMBER(E23)),ROUND(D23*E23,2),"Check amounts"))</f>
        <v/>
      </c>
      <c r="G23" s="6">
        <f>IF(NOT(ISNUMBER(F23)),"",IF(COUNTIFS(Shops!$A$5:$A$14,B23,Shops!$B$5:$B$14,"&gt;=0",Shops!$B$5:$B$14,"&lt;=1")=0,"Check shop",ROUND(F23*INDEX(Shops!$B$5:$B$14,MATCH(B23,Shops!$A$5:$A$14,0)),2)))</f>
        <v/>
      </c>
      <c r="H23" s="6">
        <f>IF(ISNUMBER(G23),ROUND(F23-G23,2),"")</f>
        <v/>
      </c>
    </row>
    <row r="24">
      <c r="A24" s="13" t="n">
        <v>46303</v>
      </c>
      <c r="B24" s="3" t="inlineStr">
        <is>
          <t>Harbor Art Co-op</t>
        </is>
      </c>
      <c r="C24" s="3" t="inlineStr">
        <is>
          <t>Ceramic mug</t>
        </is>
      </c>
      <c r="D24" s="5" t="n">
        <v>24</v>
      </c>
      <c r="E24" s="14" t="n">
        <v>1</v>
      </c>
      <c r="F24" s="6">
        <f>IF(COUNTA(A24:E24)=0,"",IF(AND(ISNUMBER(D24),ISNUMBER(E24)),ROUND(D24*E24,2),"Check amounts"))</f>
        <v/>
      </c>
      <c r="G24" s="6">
        <f>IF(NOT(ISNUMBER(F24)),"",IF(COUNTIFS(Shops!$A$5:$A$14,B24,Shops!$B$5:$B$14,"&gt;=0",Shops!$B$5:$B$14,"&lt;=1")=0,"Check shop",ROUND(F24*INDEX(Shops!$B$5:$B$14,MATCH(B24,Shops!$A$5:$A$14,0)),2)))</f>
        <v/>
      </c>
      <c r="H24" s="6">
        <f>IF(ISNUMBER(G24),ROUND(F24-G24,2),"")</f>
        <v/>
      </c>
    </row>
    <row r="25">
      <c r="A25" s="13" t="n">
        <v>46305</v>
      </c>
      <c r="B25" s="3" t="inlineStr">
        <is>
          <t>Cedar &amp; Stone Boutique</t>
        </is>
      </c>
      <c r="C25" s="3" t="inlineStr">
        <is>
          <t>Greeting card 6-pack</t>
        </is>
      </c>
      <c r="D25" s="5" t="n">
        <v>12.5</v>
      </c>
      <c r="E25" s="14" t="n">
        <v>2</v>
      </c>
      <c r="F25" s="6">
        <f>IF(COUNTA(A25:E25)=0,"",IF(AND(ISNUMBER(D25),ISNUMBER(E25)),ROUND(D25*E25,2),"Check amounts"))</f>
        <v/>
      </c>
      <c r="G25" s="6">
        <f>IF(NOT(ISNUMBER(F25)),"",IF(COUNTIFS(Shops!$A$5:$A$14,B25,Shops!$B$5:$B$14,"&gt;=0",Shops!$B$5:$B$14,"&lt;=1")=0,"Check shop",ROUND(F25*INDEX(Shops!$B$5:$B$14,MATCH(B25,Shops!$A$5:$A$14,0)),2)))</f>
        <v/>
      </c>
      <c r="H25" s="6">
        <f>IF(ISNUMBER(G25),ROUND(F25-G25,2),"")</f>
        <v/>
      </c>
    </row>
    <row r="26">
      <c r="A26" s="13" t="n">
        <v>46307</v>
      </c>
      <c r="B26" s="3" t="inlineStr">
        <is>
          <t>Maple Street Gifts</t>
        </is>
      </c>
      <c r="C26" s="3" t="inlineStr">
        <is>
          <t>Greeting card 6-pack</t>
        </is>
      </c>
      <c r="D26" s="5" t="n">
        <v>12</v>
      </c>
      <c r="E26" s="14" t="n">
        <v>3</v>
      </c>
      <c r="F26" s="6">
        <f>IF(COUNTA(A26:E26)=0,"",IF(AND(ISNUMBER(D26),ISNUMBER(E26)),ROUND(D26*E26,2),"Check amounts"))</f>
        <v/>
      </c>
      <c r="G26" s="6">
        <f>IF(NOT(ISNUMBER(F26)),"",IF(COUNTIFS(Shops!$A$5:$A$14,B26,Shops!$B$5:$B$14,"&gt;=0",Shops!$B$5:$B$14,"&lt;=1")=0,"Check shop",ROUND(F26*INDEX(Shops!$B$5:$B$14,MATCH(B26,Shops!$A$5:$A$14,0)),2)))</f>
        <v/>
      </c>
      <c r="H26" s="6">
        <f>IF(ISNUMBER(G26),ROUND(F26-G26,2),"")</f>
        <v/>
      </c>
    </row>
    <row r="27">
      <c r="A27" s="13" t="n">
        <v>46309</v>
      </c>
      <c r="B27" s="3" t="inlineStr">
        <is>
          <t>Harbor Art Co-op</t>
        </is>
      </c>
      <c r="C27" s="3" t="inlineStr">
        <is>
          <t>Watercolor print</t>
        </is>
      </c>
      <c r="D27" s="5" t="n">
        <v>35</v>
      </c>
      <c r="E27" s="14" t="n">
        <v>1</v>
      </c>
      <c r="F27" s="6">
        <f>IF(COUNTA(A27:E27)=0,"",IF(AND(ISNUMBER(D27),ISNUMBER(E27)),ROUND(D27*E27,2),"Check amounts"))</f>
        <v/>
      </c>
      <c r="G27" s="6">
        <f>IF(NOT(ISNUMBER(F27)),"",IF(COUNTIFS(Shops!$A$5:$A$14,B27,Shops!$B$5:$B$14,"&gt;=0",Shops!$B$5:$B$14,"&lt;=1")=0,"Check shop",ROUND(F27*INDEX(Shops!$B$5:$B$14,MATCH(B27,Shops!$A$5:$A$14,0)),2)))</f>
        <v/>
      </c>
      <c r="H27" s="6">
        <f>IF(ISNUMBER(G27),ROUND(F27-G27,2),"")</f>
        <v/>
      </c>
    </row>
    <row r="28">
      <c r="A28" s="13" t="n">
        <v>46311</v>
      </c>
      <c r="B28" s="3" t="inlineStr">
        <is>
          <t>Cedar &amp; Stone Boutique</t>
        </is>
      </c>
      <c r="C28" s="3" t="inlineStr">
        <is>
          <t>Soy candle, small</t>
        </is>
      </c>
      <c r="D28" s="5" t="n">
        <v>9.5</v>
      </c>
      <c r="E28" s="14" t="n">
        <v>1</v>
      </c>
      <c r="F28" s="6">
        <f>IF(COUNTA(A28:E28)=0,"",IF(AND(ISNUMBER(D28),ISNUMBER(E28)),ROUND(D28*E28,2),"Check amounts"))</f>
        <v/>
      </c>
      <c r="G28" s="6">
        <f>IF(NOT(ISNUMBER(F28)),"",IF(COUNTIFS(Shops!$A$5:$A$14,B28,Shops!$B$5:$B$14,"&gt;=0",Shops!$B$5:$B$14,"&lt;=1")=0,"Check shop",ROUND(F28*INDEX(Shops!$B$5:$B$14,MATCH(B28,Shops!$A$5:$A$14,0)),2)))</f>
        <v/>
      </c>
      <c r="H28" s="6">
        <f>IF(ISNUMBER(G28),ROUND(F28-G28,2),"")</f>
        <v/>
      </c>
    </row>
    <row r="29">
      <c r="A29" s="13" t="n">
        <v>46313</v>
      </c>
      <c r="B29" s="3" t="inlineStr">
        <is>
          <t>Maple Street Gifts</t>
        </is>
      </c>
      <c r="C29" s="3" t="inlineStr">
        <is>
          <t>Ceramic mug</t>
        </is>
      </c>
      <c r="D29" s="5" t="n">
        <v>22</v>
      </c>
      <c r="E29" s="14" t="n">
        <v>2</v>
      </c>
      <c r="F29" s="6">
        <f>IF(COUNTA(A29:E29)=0,"",IF(AND(ISNUMBER(D29),ISNUMBER(E29)),ROUND(D29*E29,2),"Check amounts"))</f>
        <v/>
      </c>
      <c r="G29" s="6">
        <f>IF(NOT(ISNUMBER(F29)),"",IF(COUNTIFS(Shops!$A$5:$A$14,B29,Shops!$B$5:$B$14,"&gt;=0",Shops!$B$5:$B$14,"&lt;=1")=0,"Check shop",ROUND(F29*INDEX(Shops!$B$5:$B$14,MATCH(B29,Shops!$A$5:$A$14,0)),2)))</f>
        <v/>
      </c>
      <c r="H29" s="6">
        <f>IF(ISNUMBER(G29),ROUND(F29-G29,2),"")</f>
        <v/>
      </c>
    </row>
    <row r="30">
      <c r="A30" s="13" t="n">
        <v>46315</v>
      </c>
      <c r="B30" s="3" t="inlineStr">
        <is>
          <t>Maple Street Gifts</t>
        </is>
      </c>
      <c r="C30" s="3" t="inlineStr">
        <is>
          <t>Soy candle, large</t>
        </is>
      </c>
      <c r="D30" s="5" t="n">
        <v>18</v>
      </c>
      <c r="E30" s="14" t="n">
        <v>1</v>
      </c>
      <c r="F30" s="6">
        <f>IF(COUNTA(A30:E30)=0,"",IF(AND(ISNUMBER(D30),ISNUMBER(E30)),ROUND(D30*E30,2),"Check amounts"))</f>
        <v/>
      </c>
      <c r="G30" s="6">
        <f>IF(NOT(ISNUMBER(F30)),"",IF(COUNTIFS(Shops!$A$5:$A$14,B30,Shops!$B$5:$B$14,"&gt;=0",Shops!$B$5:$B$14,"&lt;=1")=0,"Check shop",ROUND(F30*INDEX(Shops!$B$5:$B$14,MATCH(B30,Shops!$A$5:$A$14,0)),2)))</f>
        <v/>
      </c>
      <c r="H30" s="6">
        <f>IF(ISNUMBER(G30),ROUND(F30-G30,2),"")</f>
        <v/>
      </c>
    </row>
    <row r="31">
      <c r="A31" s="13" t="n">
        <v>46317</v>
      </c>
      <c r="B31" s="3" t="inlineStr">
        <is>
          <t>Harbor Art Co-op</t>
        </is>
      </c>
      <c r="C31" s="3" t="inlineStr">
        <is>
          <t>Soy candle, large</t>
        </is>
      </c>
      <c r="D31" s="5" t="n">
        <v>20</v>
      </c>
      <c r="E31" s="14" t="n">
        <v>2</v>
      </c>
      <c r="F31" s="6">
        <f>IF(COUNTA(A31:E31)=0,"",IF(AND(ISNUMBER(D31),ISNUMBER(E31)),ROUND(D31*E31,2),"Check amounts"))</f>
        <v/>
      </c>
      <c r="G31" s="6">
        <f>IF(NOT(ISNUMBER(F31)),"",IF(COUNTIFS(Shops!$A$5:$A$14,B31,Shops!$B$5:$B$14,"&gt;=0",Shops!$B$5:$B$14,"&lt;=1")=0,"Check shop",ROUND(F31*INDEX(Shops!$B$5:$B$14,MATCH(B31,Shops!$A$5:$A$14,0)),2)))</f>
        <v/>
      </c>
      <c r="H31" s="6">
        <f>IF(ISNUMBER(G31),ROUND(F31-G31,2),"")</f>
        <v/>
      </c>
    </row>
    <row r="32">
      <c r="A32" s="13" t="n">
        <v>46319</v>
      </c>
      <c r="B32" s="3" t="inlineStr">
        <is>
          <t>Cedar &amp; Stone Boutique</t>
        </is>
      </c>
      <c r="C32" s="3" t="inlineStr">
        <is>
          <t>Ceramic mug</t>
        </is>
      </c>
      <c r="D32" s="5" t="n">
        <v>23</v>
      </c>
      <c r="E32" s="14" t="n">
        <v>2</v>
      </c>
      <c r="F32" s="6">
        <f>IF(COUNTA(A32:E32)=0,"",IF(AND(ISNUMBER(D32),ISNUMBER(E32)),ROUND(D32*E32,2),"Check amounts"))</f>
        <v/>
      </c>
      <c r="G32" s="6">
        <f>IF(NOT(ISNUMBER(F32)),"",IF(COUNTIFS(Shops!$A$5:$A$14,B32,Shops!$B$5:$B$14,"&gt;=0",Shops!$B$5:$B$14,"&lt;=1")=0,"Check shop",ROUND(F32*INDEX(Shops!$B$5:$B$14,MATCH(B32,Shops!$A$5:$A$14,0)),2)))</f>
        <v/>
      </c>
      <c r="H32" s="6">
        <f>IF(ISNUMBER(G32),ROUND(F32-G32,2),"")</f>
        <v/>
      </c>
    </row>
    <row r="33">
      <c r="A33" s="13" t="n">
        <v>46321</v>
      </c>
      <c r="B33" s="3" t="inlineStr">
        <is>
          <t>Maple Street Gifts</t>
        </is>
      </c>
      <c r="C33" s="3" t="inlineStr">
        <is>
          <t>Greeting card 6-pack</t>
        </is>
      </c>
      <c r="D33" s="5" t="n">
        <v>12</v>
      </c>
      <c r="E33" s="14" t="n">
        <v>3</v>
      </c>
      <c r="F33" s="6">
        <f>IF(COUNTA(A33:E33)=0,"",IF(AND(ISNUMBER(D33),ISNUMBER(E33)),ROUND(D33*E33,2),"Check amounts"))</f>
        <v/>
      </c>
      <c r="G33" s="6">
        <f>IF(NOT(ISNUMBER(F33)),"",IF(COUNTIFS(Shops!$A$5:$A$14,B33,Shops!$B$5:$B$14,"&gt;=0",Shops!$B$5:$B$14,"&lt;=1")=0,"Check shop",ROUND(F33*INDEX(Shops!$B$5:$B$14,MATCH(B33,Shops!$A$5:$A$14,0)),2)))</f>
        <v/>
      </c>
      <c r="H33" s="6">
        <f>IF(ISNUMBER(G33),ROUND(F33-G33,2),"")</f>
        <v/>
      </c>
    </row>
    <row r="34">
      <c r="A34" s="13" t="n">
        <v>46323</v>
      </c>
      <c r="B34" s="3" t="inlineStr">
        <is>
          <t>Cedar &amp; Stone Boutique</t>
        </is>
      </c>
      <c r="C34" s="3" t="inlineStr">
        <is>
          <t>Greeting card 6-pack</t>
        </is>
      </c>
      <c r="D34" s="5" t="n">
        <v>12.5</v>
      </c>
      <c r="E34" s="14" t="n">
        <v>4</v>
      </c>
      <c r="F34" s="6">
        <f>IF(COUNTA(A34:E34)=0,"",IF(AND(ISNUMBER(D34),ISNUMBER(E34)),ROUND(D34*E34,2),"Check amounts"))</f>
        <v/>
      </c>
      <c r="G34" s="6">
        <f>IF(NOT(ISNUMBER(F34)),"",IF(COUNTIFS(Shops!$A$5:$A$14,B34,Shops!$B$5:$B$14,"&gt;=0",Shops!$B$5:$B$14,"&lt;=1")=0,"Check shop",ROUND(F34*INDEX(Shops!$B$5:$B$14,MATCH(B34,Shops!$A$5:$A$14,0)),2)))</f>
        <v/>
      </c>
      <c r="H34" s="6">
        <f>IF(ISNUMBER(G34),ROUND(F34-G34,2),"")</f>
        <v/>
      </c>
    </row>
    <row r="35">
      <c r="A35" s="13" t="n"/>
      <c r="B35" s="3" t="n"/>
      <c r="C35" s="3" t="n"/>
      <c r="D35" s="5" t="n"/>
      <c r="E35" s="14" t="n"/>
      <c r="F35" s="6">
        <f>IF(COUNTA(A35:E35)=0,"",IF(AND(ISNUMBER(D35),ISNUMBER(E35)),ROUND(D35*E35,2),"Check amounts"))</f>
        <v/>
      </c>
      <c r="G35" s="6">
        <f>IF(NOT(ISNUMBER(F35)),"",IF(COUNTIFS(Shops!$A$5:$A$14,B35,Shops!$B$5:$B$14,"&gt;=0",Shops!$B$5:$B$14,"&lt;=1")=0,"Check shop",ROUND(F35*INDEX(Shops!$B$5:$B$14,MATCH(B35,Shops!$A$5:$A$14,0)),2)))</f>
        <v/>
      </c>
      <c r="H35" s="6">
        <f>IF(ISNUMBER(G35),ROUND(F35-G35,2),"")</f>
        <v/>
      </c>
    </row>
    <row r="36">
      <c r="A36" s="13" t="n"/>
      <c r="B36" s="3" t="n"/>
      <c r="C36" s="3" t="n"/>
      <c r="D36" s="5" t="n"/>
      <c r="E36" s="14" t="n"/>
      <c r="F36" s="6">
        <f>IF(COUNTA(A36:E36)=0,"",IF(AND(ISNUMBER(D36),ISNUMBER(E36)),ROUND(D36*E36,2),"Check amounts"))</f>
        <v/>
      </c>
      <c r="G36" s="6">
        <f>IF(NOT(ISNUMBER(F36)),"",IF(COUNTIFS(Shops!$A$5:$A$14,B36,Shops!$B$5:$B$14,"&gt;=0",Shops!$B$5:$B$14,"&lt;=1")=0,"Check shop",ROUND(F36*INDEX(Shops!$B$5:$B$14,MATCH(B36,Shops!$A$5:$A$14,0)),2)))</f>
        <v/>
      </c>
      <c r="H36" s="6">
        <f>IF(ISNUMBER(G36),ROUND(F36-G36,2),"")</f>
        <v/>
      </c>
    </row>
    <row r="37">
      <c r="A37" s="13" t="n"/>
      <c r="B37" s="3" t="n"/>
      <c r="C37" s="3" t="n"/>
      <c r="D37" s="5" t="n"/>
      <c r="E37" s="14" t="n"/>
      <c r="F37" s="6">
        <f>IF(COUNTA(A37:E37)=0,"",IF(AND(ISNUMBER(D37),ISNUMBER(E37)),ROUND(D37*E37,2),"Check amounts"))</f>
        <v/>
      </c>
      <c r="G37" s="6">
        <f>IF(NOT(ISNUMBER(F37)),"",IF(COUNTIFS(Shops!$A$5:$A$14,B37,Shops!$B$5:$B$14,"&gt;=0",Shops!$B$5:$B$14,"&lt;=1")=0,"Check shop",ROUND(F37*INDEX(Shops!$B$5:$B$14,MATCH(B37,Shops!$A$5:$A$14,0)),2)))</f>
        <v/>
      </c>
      <c r="H37" s="6">
        <f>IF(ISNUMBER(G37),ROUND(F37-G37,2),"")</f>
        <v/>
      </c>
    </row>
    <row r="38">
      <c r="A38" s="13" t="n"/>
      <c r="B38" s="3" t="n"/>
      <c r="C38" s="3" t="n"/>
      <c r="D38" s="5" t="n"/>
      <c r="E38" s="14" t="n"/>
      <c r="F38" s="6">
        <f>IF(COUNTA(A38:E38)=0,"",IF(AND(ISNUMBER(D38),ISNUMBER(E38)),ROUND(D38*E38,2),"Check amounts"))</f>
        <v/>
      </c>
      <c r="G38" s="6">
        <f>IF(NOT(ISNUMBER(F38)),"",IF(COUNTIFS(Shops!$A$5:$A$14,B38,Shops!$B$5:$B$14,"&gt;=0",Shops!$B$5:$B$14,"&lt;=1")=0,"Check shop",ROUND(F38*INDEX(Shops!$B$5:$B$14,MATCH(B38,Shops!$A$5:$A$14,0)),2)))</f>
        <v/>
      </c>
      <c r="H38" s="6">
        <f>IF(ISNUMBER(G38),ROUND(F38-G38,2),"")</f>
        <v/>
      </c>
    </row>
    <row r="39">
      <c r="A39" s="13" t="n"/>
      <c r="B39" s="3" t="n"/>
      <c r="C39" s="3" t="n"/>
      <c r="D39" s="5" t="n"/>
      <c r="E39" s="14" t="n"/>
      <c r="F39" s="6">
        <f>IF(COUNTA(A39:E39)=0,"",IF(AND(ISNUMBER(D39),ISNUMBER(E39)),ROUND(D39*E39,2),"Check amounts"))</f>
        <v/>
      </c>
      <c r="G39" s="6">
        <f>IF(NOT(ISNUMBER(F39)),"",IF(COUNTIFS(Shops!$A$5:$A$14,B39,Shops!$B$5:$B$14,"&gt;=0",Shops!$B$5:$B$14,"&lt;=1")=0,"Check shop",ROUND(F39*INDEX(Shops!$B$5:$B$14,MATCH(B39,Shops!$A$5:$A$14,0)),2)))</f>
        <v/>
      </c>
      <c r="H39" s="6">
        <f>IF(ISNUMBER(G39),ROUND(F39-G39,2),"")</f>
        <v/>
      </c>
    </row>
    <row r="40">
      <c r="A40" s="13" t="n"/>
      <c r="B40" s="3" t="n"/>
      <c r="C40" s="3" t="n"/>
      <c r="D40" s="5" t="n"/>
      <c r="E40" s="14" t="n"/>
      <c r="F40" s="6">
        <f>IF(COUNTA(A40:E40)=0,"",IF(AND(ISNUMBER(D40),ISNUMBER(E40)),ROUND(D40*E40,2),"Check amounts"))</f>
        <v/>
      </c>
      <c r="G40" s="6">
        <f>IF(NOT(ISNUMBER(F40)),"",IF(COUNTIFS(Shops!$A$5:$A$14,B40,Shops!$B$5:$B$14,"&gt;=0",Shops!$B$5:$B$14,"&lt;=1")=0,"Check shop",ROUND(F40*INDEX(Shops!$B$5:$B$14,MATCH(B40,Shops!$A$5:$A$14,0)),2)))</f>
        <v/>
      </c>
      <c r="H40" s="6">
        <f>IF(ISNUMBER(G40),ROUND(F40-G40,2),"")</f>
        <v/>
      </c>
    </row>
    <row r="41">
      <c r="A41" s="13" t="n"/>
      <c r="B41" s="3" t="n"/>
      <c r="C41" s="3" t="n"/>
      <c r="D41" s="5" t="n"/>
      <c r="E41" s="14" t="n"/>
      <c r="F41" s="6">
        <f>IF(COUNTA(A41:E41)=0,"",IF(AND(ISNUMBER(D41),ISNUMBER(E41)),ROUND(D41*E41,2),"Check amounts"))</f>
        <v/>
      </c>
      <c r="G41" s="6">
        <f>IF(NOT(ISNUMBER(F41)),"",IF(COUNTIFS(Shops!$A$5:$A$14,B41,Shops!$B$5:$B$14,"&gt;=0",Shops!$B$5:$B$14,"&lt;=1")=0,"Check shop",ROUND(F41*INDEX(Shops!$B$5:$B$14,MATCH(B41,Shops!$A$5:$A$14,0)),2)))</f>
        <v/>
      </c>
      <c r="H41" s="6">
        <f>IF(ISNUMBER(G41),ROUND(F41-G41,2),"")</f>
        <v/>
      </c>
    </row>
    <row r="42">
      <c r="A42" s="13" t="n"/>
      <c r="B42" s="3" t="n"/>
      <c r="C42" s="3" t="n"/>
      <c r="D42" s="5" t="n"/>
      <c r="E42" s="14" t="n"/>
      <c r="F42" s="6">
        <f>IF(COUNTA(A42:E42)=0,"",IF(AND(ISNUMBER(D42),ISNUMBER(E42)),ROUND(D42*E42,2),"Check amounts"))</f>
        <v/>
      </c>
      <c r="G42" s="6">
        <f>IF(NOT(ISNUMBER(F42)),"",IF(COUNTIFS(Shops!$A$5:$A$14,B42,Shops!$B$5:$B$14,"&gt;=0",Shops!$B$5:$B$14,"&lt;=1")=0,"Check shop",ROUND(F42*INDEX(Shops!$B$5:$B$14,MATCH(B42,Shops!$A$5:$A$14,0)),2)))</f>
        <v/>
      </c>
      <c r="H42" s="6">
        <f>IF(ISNUMBER(G42),ROUND(F42-G42,2),"")</f>
        <v/>
      </c>
    </row>
    <row r="43">
      <c r="A43" s="13" t="n"/>
      <c r="B43" s="3" t="n"/>
      <c r="C43" s="3" t="n"/>
      <c r="D43" s="5" t="n"/>
      <c r="E43" s="14" t="n"/>
      <c r="F43" s="6">
        <f>IF(COUNTA(A43:E43)=0,"",IF(AND(ISNUMBER(D43),ISNUMBER(E43)),ROUND(D43*E43,2),"Check amounts"))</f>
        <v/>
      </c>
      <c r="G43" s="6">
        <f>IF(NOT(ISNUMBER(F43)),"",IF(COUNTIFS(Shops!$A$5:$A$14,B43,Shops!$B$5:$B$14,"&gt;=0",Shops!$B$5:$B$14,"&lt;=1")=0,"Check shop",ROUND(F43*INDEX(Shops!$B$5:$B$14,MATCH(B43,Shops!$A$5:$A$14,0)),2)))</f>
        <v/>
      </c>
      <c r="H43" s="6">
        <f>IF(ISNUMBER(G43),ROUND(F43-G43,2),"")</f>
        <v/>
      </c>
    </row>
    <row r="44">
      <c r="A44" s="13" t="n"/>
      <c r="B44" s="3" t="n"/>
      <c r="C44" s="3" t="n"/>
      <c r="D44" s="5" t="n"/>
      <c r="E44" s="14" t="n"/>
      <c r="F44" s="6">
        <f>IF(COUNTA(A44:E44)=0,"",IF(AND(ISNUMBER(D44),ISNUMBER(E44)),ROUND(D44*E44,2),"Check amounts"))</f>
        <v/>
      </c>
      <c r="G44" s="6">
        <f>IF(NOT(ISNUMBER(F44)),"",IF(COUNTIFS(Shops!$A$5:$A$14,B44,Shops!$B$5:$B$14,"&gt;=0",Shops!$B$5:$B$14,"&lt;=1")=0,"Check shop",ROUND(F44*INDEX(Shops!$B$5:$B$14,MATCH(B44,Shops!$A$5:$A$14,0)),2)))</f>
        <v/>
      </c>
      <c r="H44" s="6">
        <f>IF(ISNUMBER(G44),ROUND(F44-G44,2),"")</f>
        <v/>
      </c>
    </row>
    <row r="45">
      <c r="A45" s="13" t="n"/>
      <c r="B45" s="3" t="n"/>
      <c r="C45" s="3" t="n"/>
      <c r="D45" s="5" t="n"/>
      <c r="E45" s="14" t="n"/>
      <c r="F45" s="6">
        <f>IF(COUNTA(A45:E45)=0,"",IF(AND(ISNUMBER(D45),ISNUMBER(E45)),ROUND(D45*E45,2),"Check amounts"))</f>
        <v/>
      </c>
      <c r="G45" s="6">
        <f>IF(NOT(ISNUMBER(F45)),"",IF(COUNTIFS(Shops!$A$5:$A$14,B45,Shops!$B$5:$B$14,"&gt;=0",Shops!$B$5:$B$14,"&lt;=1")=0,"Check shop",ROUND(F45*INDEX(Shops!$B$5:$B$14,MATCH(B45,Shops!$A$5:$A$14,0)),2)))</f>
        <v/>
      </c>
      <c r="H45" s="6">
        <f>IF(ISNUMBER(G45),ROUND(F45-G45,2),"")</f>
        <v/>
      </c>
    </row>
    <row r="46">
      <c r="A46" s="13" t="n"/>
      <c r="B46" s="3" t="n"/>
      <c r="C46" s="3" t="n"/>
      <c r="D46" s="5" t="n"/>
      <c r="E46" s="14" t="n"/>
      <c r="F46" s="6">
        <f>IF(COUNTA(A46:E46)=0,"",IF(AND(ISNUMBER(D46),ISNUMBER(E46)),ROUND(D46*E46,2),"Check amounts"))</f>
        <v/>
      </c>
      <c r="G46" s="6">
        <f>IF(NOT(ISNUMBER(F46)),"",IF(COUNTIFS(Shops!$A$5:$A$14,B46,Shops!$B$5:$B$14,"&gt;=0",Shops!$B$5:$B$14,"&lt;=1")=0,"Check shop",ROUND(F46*INDEX(Shops!$B$5:$B$14,MATCH(B46,Shops!$A$5:$A$14,0)),2)))</f>
        <v/>
      </c>
      <c r="H46" s="6">
        <f>IF(ISNUMBER(G46),ROUND(F46-G46,2),"")</f>
        <v/>
      </c>
    </row>
    <row r="47">
      <c r="A47" s="13" t="n"/>
      <c r="B47" s="3" t="n"/>
      <c r="C47" s="3" t="n"/>
      <c r="D47" s="5" t="n"/>
      <c r="E47" s="14" t="n"/>
      <c r="F47" s="6">
        <f>IF(COUNTA(A47:E47)=0,"",IF(AND(ISNUMBER(D47),ISNUMBER(E47)),ROUND(D47*E47,2),"Check amounts"))</f>
        <v/>
      </c>
      <c r="G47" s="6">
        <f>IF(NOT(ISNUMBER(F47)),"",IF(COUNTIFS(Shops!$A$5:$A$14,B47,Shops!$B$5:$B$14,"&gt;=0",Shops!$B$5:$B$14,"&lt;=1")=0,"Check shop",ROUND(F47*INDEX(Shops!$B$5:$B$14,MATCH(B47,Shops!$A$5:$A$14,0)),2)))</f>
        <v/>
      </c>
      <c r="H47" s="6">
        <f>IF(ISNUMBER(G47),ROUND(F47-G47,2),"")</f>
        <v/>
      </c>
    </row>
    <row r="48">
      <c r="A48" s="13" t="n"/>
      <c r="B48" s="3" t="n"/>
      <c r="C48" s="3" t="n"/>
      <c r="D48" s="5" t="n"/>
      <c r="E48" s="14" t="n"/>
      <c r="F48" s="6">
        <f>IF(COUNTA(A48:E48)=0,"",IF(AND(ISNUMBER(D48),ISNUMBER(E48)),ROUND(D48*E48,2),"Check amounts"))</f>
        <v/>
      </c>
      <c r="G48" s="6">
        <f>IF(NOT(ISNUMBER(F48)),"",IF(COUNTIFS(Shops!$A$5:$A$14,B48,Shops!$B$5:$B$14,"&gt;=0",Shops!$B$5:$B$14,"&lt;=1")=0,"Check shop",ROUND(F48*INDEX(Shops!$B$5:$B$14,MATCH(B48,Shops!$A$5:$A$14,0)),2)))</f>
        <v/>
      </c>
      <c r="H48" s="6">
        <f>IF(ISNUMBER(G48),ROUND(F48-G48,2),"")</f>
        <v/>
      </c>
    </row>
    <row r="49">
      <c r="A49" s="13" t="n"/>
      <c r="B49" s="3" t="n"/>
      <c r="C49" s="3" t="n"/>
      <c r="D49" s="5" t="n"/>
      <c r="E49" s="14" t="n"/>
      <c r="F49" s="6">
        <f>IF(COUNTA(A49:E49)=0,"",IF(AND(ISNUMBER(D49),ISNUMBER(E49)),ROUND(D49*E49,2),"Check amounts"))</f>
        <v/>
      </c>
      <c r="G49" s="6">
        <f>IF(NOT(ISNUMBER(F49)),"",IF(COUNTIFS(Shops!$A$5:$A$14,B49,Shops!$B$5:$B$14,"&gt;=0",Shops!$B$5:$B$14,"&lt;=1")=0,"Check shop",ROUND(F49*INDEX(Shops!$B$5:$B$14,MATCH(B49,Shops!$A$5:$A$14,0)),2)))</f>
        <v/>
      </c>
      <c r="H49" s="6">
        <f>IF(ISNUMBER(G49),ROUND(F49-G49,2),"")</f>
        <v/>
      </c>
    </row>
    <row r="50">
      <c r="A50" s="13" t="n"/>
      <c r="B50" s="3" t="n"/>
      <c r="C50" s="3" t="n"/>
      <c r="D50" s="5" t="n"/>
      <c r="E50" s="14" t="n"/>
      <c r="F50" s="6">
        <f>IF(COUNTA(A50:E50)=0,"",IF(AND(ISNUMBER(D50),ISNUMBER(E50)),ROUND(D50*E50,2),"Check amounts"))</f>
        <v/>
      </c>
      <c r="G50" s="6">
        <f>IF(NOT(ISNUMBER(F50)),"",IF(COUNTIFS(Shops!$A$5:$A$14,B50,Shops!$B$5:$B$14,"&gt;=0",Shops!$B$5:$B$14,"&lt;=1")=0,"Check shop",ROUND(F50*INDEX(Shops!$B$5:$B$14,MATCH(B50,Shops!$A$5:$A$14,0)),2)))</f>
        <v/>
      </c>
      <c r="H50" s="6">
        <f>IF(ISNUMBER(G50),ROUND(F50-G50,2),"")</f>
        <v/>
      </c>
    </row>
    <row r="51">
      <c r="A51" s="13" t="n"/>
      <c r="B51" s="3" t="n"/>
      <c r="C51" s="3" t="n"/>
      <c r="D51" s="5" t="n"/>
      <c r="E51" s="14" t="n"/>
      <c r="F51" s="6">
        <f>IF(COUNTA(A51:E51)=0,"",IF(AND(ISNUMBER(D51),ISNUMBER(E51)),ROUND(D51*E51,2),"Check amounts"))</f>
        <v/>
      </c>
      <c r="G51" s="6">
        <f>IF(NOT(ISNUMBER(F51)),"",IF(COUNTIFS(Shops!$A$5:$A$14,B51,Shops!$B$5:$B$14,"&gt;=0",Shops!$B$5:$B$14,"&lt;=1")=0,"Check shop",ROUND(F51*INDEX(Shops!$B$5:$B$14,MATCH(B51,Shops!$A$5:$A$14,0)),2)))</f>
        <v/>
      </c>
      <c r="H51" s="6">
        <f>IF(ISNUMBER(G51),ROUND(F51-G51,2),"")</f>
        <v/>
      </c>
    </row>
    <row r="52">
      <c r="A52" s="13" t="n"/>
      <c r="B52" s="3" t="n"/>
      <c r="C52" s="3" t="n"/>
      <c r="D52" s="5" t="n"/>
      <c r="E52" s="14" t="n"/>
      <c r="F52" s="6">
        <f>IF(COUNTA(A52:E52)=0,"",IF(AND(ISNUMBER(D52),ISNUMBER(E52)),ROUND(D52*E52,2),"Check amounts"))</f>
        <v/>
      </c>
      <c r="G52" s="6">
        <f>IF(NOT(ISNUMBER(F52)),"",IF(COUNTIFS(Shops!$A$5:$A$14,B52,Shops!$B$5:$B$14,"&gt;=0",Shops!$B$5:$B$14,"&lt;=1")=0,"Check shop",ROUND(F52*INDEX(Shops!$B$5:$B$14,MATCH(B52,Shops!$A$5:$A$14,0)),2)))</f>
        <v/>
      </c>
      <c r="H52" s="6">
        <f>IF(ISNUMBER(G52),ROUND(F52-G52,2),"")</f>
        <v/>
      </c>
    </row>
    <row r="53">
      <c r="A53" s="13" t="n"/>
      <c r="B53" s="3" t="n"/>
      <c r="C53" s="3" t="n"/>
      <c r="D53" s="5" t="n"/>
      <c r="E53" s="14" t="n"/>
      <c r="F53" s="6">
        <f>IF(COUNTA(A53:E53)=0,"",IF(AND(ISNUMBER(D53),ISNUMBER(E53)),ROUND(D53*E53,2),"Check amounts"))</f>
        <v/>
      </c>
      <c r="G53" s="6">
        <f>IF(NOT(ISNUMBER(F53)),"",IF(COUNTIFS(Shops!$A$5:$A$14,B53,Shops!$B$5:$B$14,"&gt;=0",Shops!$B$5:$B$14,"&lt;=1")=0,"Check shop",ROUND(F53*INDEX(Shops!$B$5:$B$14,MATCH(B53,Shops!$A$5:$A$14,0)),2)))</f>
        <v/>
      </c>
      <c r="H53" s="6">
        <f>IF(ISNUMBER(G53),ROUND(F53-G53,2),"")</f>
        <v/>
      </c>
    </row>
    <row r="54">
      <c r="A54" s="13" t="n"/>
      <c r="B54" s="3" t="n"/>
      <c r="C54" s="3" t="n"/>
      <c r="D54" s="5" t="n"/>
      <c r="E54" s="14" t="n"/>
      <c r="F54" s="6">
        <f>IF(COUNTA(A54:E54)=0,"",IF(AND(ISNUMBER(D54),ISNUMBER(E54)),ROUND(D54*E54,2),"Check amounts"))</f>
        <v/>
      </c>
      <c r="G54" s="6">
        <f>IF(NOT(ISNUMBER(F54)),"",IF(COUNTIFS(Shops!$A$5:$A$14,B54,Shops!$B$5:$B$14,"&gt;=0",Shops!$B$5:$B$14,"&lt;=1")=0,"Check shop",ROUND(F54*INDEX(Shops!$B$5:$B$14,MATCH(B54,Shops!$A$5:$A$14,0)),2)))</f>
        <v/>
      </c>
      <c r="H54" s="6">
        <f>IF(ISNUMBER(G54),ROUND(F54-G54,2),"")</f>
        <v/>
      </c>
    </row>
    <row r="55">
      <c r="A55" s="13" t="n"/>
      <c r="B55" s="3" t="n"/>
      <c r="C55" s="3" t="n"/>
      <c r="D55" s="5" t="n"/>
      <c r="E55" s="14" t="n"/>
      <c r="F55" s="6">
        <f>IF(COUNTA(A55:E55)=0,"",IF(AND(ISNUMBER(D55),ISNUMBER(E55)),ROUND(D55*E55,2),"Check amounts"))</f>
        <v/>
      </c>
      <c r="G55" s="6">
        <f>IF(NOT(ISNUMBER(F55)),"",IF(COUNTIFS(Shops!$A$5:$A$14,B55,Shops!$B$5:$B$14,"&gt;=0",Shops!$B$5:$B$14,"&lt;=1")=0,"Check shop",ROUND(F55*INDEX(Shops!$B$5:$B$14,MATCH(B55,Shops!$A$5:$A$14,0)),2)))</f>
        <v/>
      </c>
      <c r="H55" s="6">
        <f>IF(ISNUMBER(G55),ROUND(F55-G55,2),"")</f>
        <v/>
      </c>
    </row>
    <row r="56">
      <c r="A56" s="13" t="n"/>
      <c r="B56" s="3" t="n"/>
      <c r="C56" s="3" t="n"/>
      <c r="D56" s="5" t="n"/>
      <c r="E56" s="14" t="n"/>
      <c r="F56" s="6">
        <f>IF(COUNTA(A56:E56)=0,"",IF(AND(ISNUMBER(D56),ISNUMBER(E56)),ROUND(D56*E56,2),"Check amounts"))</f>
        <v/>
      </c>
      <c r="G56" s="6">
        <f>IF(NOT(ISNUMBER(F56)),"",IF(COUNTIFS(Shops!$A$5:$A$14,B56,Shops!$B$5:$B$14,"&gt;=0",Shops!$B$5:$B$14,"&lt;=1")=0,"Check shop",ROUND(F56*INDEX(Shops!$B$5:$B$14,MATCH(B56,Shops!$A$5:$A$14,0)),2)))</f>
        <v/>
      </c>
      <c r="H56" s="6">
        <f>IF(ISNUMBER(G56),ROUND(F56-G56,2),"")</f>
        <v/>
      </c>
    </row>
    <row r="57">
      <c r="A57" s="13" t="n"/>
      <c r="B57" s="3" t="n"/>
      <c r="C57" s="3" t="n"/>
      <c r="D57" s="5" t="n"/>
      <c r="E57" s="14" t="n"/>
      <c r="F57" s="6">
        <f>IF(COUNTA(A57:E57)=0,"",IF(AND(ISNUMBER(D57),ISNUMBER(E57)),ROUND(D57*E57,2),"Check amounts"))</f>
        <v/>
      </c>
      <c r="G57" s="6">
        <f>IF(NOT(ISNUMBER(F57)),"",IF(COUNTIFS(Shops!$A$5:$A$14,B57,Shops!$B$5:$B$14,"&gt;=0",Shops!$B$5:$B$14,"&lt;=1")=0,"Check shop",ROUND(F57*INDEX(Shops!$B$5:$B$14,MATCH(B57,Shops!$A$5:$A$14,0)),2)))</f>
        <v/>
      </c>
      <c r="H57" s="6">
        <f>IF(ISNUMBER(G57),ROUND(F57-G57,2),"")</f>
        <v/>
      </c>
    </row>
    <row r="58">
      <c r="A58" s="13" t="n"/>
      <c r="B58" s="3" t="n"/>
      <c r="C58" s="3" t="n"/>
      <c r="D58" s="5" t="n"/>
      <c r="E58" s="14" t="n"/>
      <c r="F58" s="6">
        <f>IF(COUNTA(A58:E58)=0,"",IF(AND(ISNUMBER(D58),ISNUMBER(E58)),ROUND(D58*E58,2),"Check amounts"))</f>
        <v/>
      </c>
      <c r="G58" s="6">
        <f>IF(NOT(ISNUMBER(F58)),"",IF(COUNTIFS(Shops!$A$5:$A$14,B58,Shops!$B$5:$B$14,"&gt;=0",Shops!$B$5:$B$14,"&lt;=1")=0,"Check shop",ROUND(F58*INDEX(Shops!$B$5:$B$14,MATCH(B58,Shops!$A$5:$A$14,0)),2)))</f>
        <v/>
      </c>
      <c r="H58" s="6">
        <f>IF(ISNUMBER(G58),ROUND(F58-G58,2),"")</f>
        <v/>
      </c>
    </row>
    <row r="59">
      <c r="A59" s="13" t="n"/>
      <c r="B59" s="3" t="n"/>
      <c r="C59" s="3" t="n"/>
      <c r="D59" s="5" t="n"/>
      <c r="E59" s="14" t="n"/>
      <c r="F59" s="6">
        <f>IF(COUNTA(A59:E59)=0,"",IF(AND(ISNUMBER(D59),ISNUMBER(E59)),ROUND(D59*E59,2),"Check amounts"))</f>
        <v/>
      </c>
      <c r="G59" s="6">
        <f>IF(NOT(ISNUMBER(F59)),"",IF(COUNTIFS(Shops!$A$5:$A$14,B59,Shops!$B$5:$B$14,"&gt;=0",Shops!$B$5:$B$14,"&lt;=1")=0,"Check shop",ROUND(F59*INDEX(Shops!$B$5:$B$14,MATCH(B59,Shops!$A$5:$A$14,0)),2)))</f>
        <v/>
      </c>
      <c r="H59" s="6">
        <f>IF(ISNUMBER(G59),ROUND(F59-G59,2),"")</f>
        <v/>
      </c>
    </row>
    <row r="60">
      <c r="A60" s="13" t="n"/>
      <c r="B60" s="3" t="n"/>
      <c r="C60" s="3" t="n"/>
      <c r="D60" s="5" t="n"/>
      <c r="E60" s="14" t="n"/>
      <c r="F60" s="6">
        <f>IF(COUNTA(A60:E60)=0,"",IF(AND(ISNUMBER(D60),ISNUMBER(E60)),ROUND(D60*E60,2),"Check amounts"))</f>
        <v/>
      </c>
      <c r="G60" s="6">
        <f>IF(NOT(ISNUMBER(F60)),"",IF(COUNTIFS(Shops!$A$5:$A$14,B60,Shops!$B$5:$B$14,"&gt;=0",Shops!$B$5:$B$14,"&lt;=1")=0,"Check shop",ROUND(F60*INDEX(Shops!$B$5:$B$14,MATCH(B60,Shops!$A$5:$A$14,0)),2)))</f>
        <v/>
      </c>
      <c r="H60" s="6">
        <f>IF(ISNUMBER(G60),ROUND(F60-G60,2),"")</f>
        <v/>
      </c>
    </row>
    <row r="61">
      <c r="A61" s="13" t="n"/>
      <c r="B61" s="3" t="n"/>
      <c r="C61" s="3" t="n"/>
      <c r="D61" s="5" t="n"/>
      <c r="E61" s="14" t="n"/>
      <c r="F61" s="6">
        <f>IF(COUNTA(A61:E61)=0,"",IF(AND(ISNUMBER(D61),ISNUMBER(E61)),ROUND(D61*E61,2),"Check amounts"))</f>
        <v/>
      </c>
      <c r="G61" s="6">
        <f>IF(NOT(ISNUMBER(F61)),"",IF(COUNTIFS(Shops!$A$5:$A$14,B61,Shops!$B$5:$B$14,"&gt;=0",Shops!$B$5:$B$14,"&lt;=1")=0,"Check shop",ROUND(F61*INDEX(Shops!$B$5:$B$14,MATCH(B61,Shops!$A$5:$A$14,0)),2)))</f>
        <v/>
      </c>
      <c r="H61" s="6">
        <f>IF(ISNUMBER(G61),ROUND(F61-G61,2),"")</f>
        <v/>
      </c>
    </row>
    <row r="62">
      <c r="A62" s="13" t="n"/>
      <c r="B62" s="3" t="n"/>
      <c r="C62" s="3" t="n"/>
      <c r="D62" s="5" t="n"/>
      <c r="E62" s="14" t="n"/>
      <c r="F62" s="6">
        <f>IF(COUNTA(A62:E62)=0,"",IF(AND(ISNUMBER(D62),ISNUMBER(E62)),ROUND(D62*E62,2),"Check amounts"))</f>
        <v/>
      </c>
      <c r="G62" s="6">
        <f>IF(NOT(ISNUMBER(F62)),"",IF(COUNTIFS(Shops!$A$5:$A$14,B62,Shops!$B$5:$B$14,"&gt;=0",Shops!$B$5:$B$14,"&lt;=1")=0,"Check shop",ROUND(F62*INDEX(Shops!$B$5:$B$14,MATCH(B62,Shops!$A$5:$A$14,0)),2)))</f>
        <v/>
      </c>
      <c r="H62" s="6">
        <f>IF(ISNUMBER(G62),ROUND(F62-G62,2),"")</f>
        <v/>
      </c>
    </row>
    <row r="63">
      <c r="A63" s="13" t="n"/>
      <c r="B63" s="3" t="n"/>
      <c r="C63" s="3" t="n"/>
      <c r="D63" s="5" t="n"/>
      <c r="E63" s="14" t="n"/>
      <c r="F63" s="6">
        <f>IF(COUNTA(A63:E63)=0,"",IF(AND(ISNUMBER(D63),ISNUMBER(E63)),ROUND(D63*E63,2),"Check amounts"))</f>
        <v/>
      </c>
      <c r="G63" s="6">
        <f>IF(NOT(ISNUMBER(F63)),"",IF(COUNTIFS(Shops!$A$5:$A$14,B63,Shops!$B$5:$B$14,"&gt;=0",Shops!$B$5:$B$14,"&lt;=1")=0,"Check shop",ROUND(F63*INDEX(Shops!$B$5:$B$14,MATCH(B63,Shops!$A$5:$A$14,0)),2)))</f>
        <v/>
      </c>
      <c r="H63" s="6">
        <f>IF(ISNUMBER(G63),ROUND(F63-G63,2),"")</f>
        <v/>
      </c>
    </row>
    <row r="64">
      <c r="A64" s="13" t="n"/>
      <c r="B64" s="3" t="n"/>
      <c r="C64" s="3" t="n"/>
      <c r="D64" s="5" t="n"/>
      <c r="E64" s="14" t="n"/>
      <c r="F64" s="6">
        <f>IF(COUNTA(A64:E64)=0,"",IF(AND(ISNUMBER(D64),ISNUMBER(E64)),ROUND(D64*E64,2),"Check amounts"))</f>
        <v/>
      </c>
      <c r="G64" s="6">
        <f>IF(NOT(ISNUMBER(F64)),"",IF(COUNTIFS(Shops!$A$5:$A$14,B64,Shops!$B$5:$B$14,"&gt;=0",Shops!$B$5:$B$14,"&lt;=1")=0,"Check shop",ROUND(F64*INDEX(Shops!$B$5:$B$14,MATCH(B64,Shops!$A$5:$A$14,0)),2)))</f>
        <v/>
      </c>
      <c r="H64" s="6">
        <f>IF(ISNUMBER(G64),ROUND(F64-G64,2),"")</f>
        <v/>
      </c>
    </row>
    <row r="65">
      <c r="A65" s="13" t="n"/>
      <c r="B65" s="3" t="n"/>
      <c r="C65" s="3" t="n"/>
      <c r="D65" s="5" t="n"/>
      <c r="E65" s="14" t="n"/>
      <c r="F65" s="6">
        <f>IF(COUNTA(A65:E65)=0,"",IF(AND(ISNUMBER(D65),ISNUMBER(E65)),ROUND(D65*E65,2),"Check amounts"))</f>
        <v/>
      </c>
      <c r="G65" s="6">
        <f>IF(NOT(ISNUMBER(F65)),"",IF(COUNTIFS(Shops!$A$5:$A$14,B65,Shops!$B$5:$B$14,"&gt;=0",Shops!$B$5:$B$14,"&lt;=1")=0,"Check shop",ROUND(F65*INDEX(Shops!$B$5:$B$14,MATCH(B65,Shops!$A$5:$A$14,0)),2)))</f>
        <v/>
      </c>
      <c r="H65" s="6">
        <f>IF(ISNUMBER(G65),ROUND(F65-G65,2),"")</f>
        <v/>
      </c>
    </row>
    <row r="66">
      <c r="A66" s="13" t="n"/>
      <c r="B66" s="3" t="n"/>
      <c r="C66" s="3" t="n"/>
      <c r="D66" s="5" t="n"/>
      <c r="E66" s="14" t="n"/>
      <c r="F66" s="6">
        <f>IF(COUNTA(A66:E66)=0,"",IF(AND(ISNUMBER(D66),ISNUMBER(E66)),ROUND(D66*E66,2),"Check amounts"))</f>
        <v/>
      </c>
      <c r="G66" s="6">
        <f>IF(NOT(ISNUMBER(F66)),"",IF(COUNTIFS(Shops!$A$5:$A$14,B66,Shops!$B$5:$B$14,"&gt;=0",Shops!$B$5:$B$14,"&lt;=1")=0,"Check shop",ROUND(F66*INDEX(Shops!$B$5:$B$14,MATCH(B66,Shops!$A$5:$A$14,0)),2)))</f>
        <v/>
      </c>
      <c r="H66" s="6">
        <f>IF(ISNUMBER(G66),ROUND(F66-G66,2),"")</f>
        <v/>
      </c>
    </row>
    <row r="67">
      <c r="A67" s="13" t="n"/>
      <c r="B67" s="3" t="n"/>
      <c r="C67" s="3" t="n"/>
      <c r="D67" s="5" t="n"/>
      <c r="E67" s="14" t="n"/>
      <c r="F67" s="6">
        <f>IF(COUNTA(A67:E67)=0,"",IF(AND(ISNUMBER(D67),ISNUMBER(E67)),ROUND(D67*E67,2),"Check amounts"))</f>
        <v/>
      </c>
      <c r="G67" s="6">
        <f>IF(NOT(ISNUMBER(F67)),"",IF(COUNTIFS(Shops!$A$5:$A$14,B67,Shops!$B$5:$B$14,"&gt;=0",Shops!$B$5:$B$14,"&lt;=1")=0,"Check shop",ROUND(F67*INDEX(Shops!$B$5:$B$14,MATCH(B67,Shops!$A$5:$A$14,0)),2)))</f>
        <v/>
      </c>
      <c r="H67" s="6">
        <f>IF(ISNUMBER(G67),ROUND(F67-G67,2),"")</f>
        <v/>
      </c>
    </row>
    <row r="68">
      <c r="A68" s="13" t="n"/>
      <c r="B68" s="3" t="n"/>
      <c r="C68" s="3" t="n"/>
      <c r="D68" s="5" t="n"/>
      <c r="E68" s="14" t="n"/>
      <c r="F68" s="6">
        <f>IF(COUNTA(A68:E68)=0,"",IF(AND(ISNUMBER(D68),ISNUMBER(E68)),ROUND(D68*E68,2),"Check amounts"))</f>
        <v/>
      </c>
      <c r="G68" s="6">
        <f>IF(NOT(ISNUMBER(F68)),"",IF(COUNTIFS(Shops!$A$5:$A$14,B68,Shops!$B$5:$B$14,"&gt;=0",Shops!$B$5:$B$14,"&lt;=1")=0,"Check shop",ROUND(F68*INDEX(Shops!$B$5:$B$14,MATCH(B68,Shops!$A$5:$A$14,0)),2)))</f>
        <v/>
      </c>
      <c r="H68" s="6">
        <f>IF(ISNUMBER(G68),ROUND(F68-G68,2),"")</f>
        <v/>
      </c>
    </row>
    <row r="69">
      <c r="A69" s="13" t="n"/>
      <c r="B69" s="3" t="n"/>
      <c r="C69" s="3" t="n"/>
      <c r="D69" s="5" t="n"/>
      <c r="E69" s="14" t="n"/>
      <c r="F69" s="6">
        <f>IF(COUNTA(A69:E69)=0,"",IF(AND(ISNUMBER(D69),ISNUMBER(E69)),ROUND(D69*E69,2),"Check amounts"))</f>
        <v/>
      </c>
      <c r="G69" s="6">
        <f>IF(NOT(ISNUMBER(F69)),"",IF(COUNTIFS(Shops!$A$5:$A$14,B69,Shops!$B$5:$B$14,"&gt;=0",Shops!$B$5:$B$14,"&lt;=1")=0,"Check shop",ROUND(F69*INDEX(Shops!$B$5:$B$14,MATCH(B69,Shops!$A$5:$A$14,0)),2)))</f>
        <v/>
      </c>
      <c r="H69" s="6">
        <f>IF(ISNUMBER(G69),ROUND(F69-G69,2),"")</f>
        <v/>
      </c>
    </row>
    <row r="70">
      <c r="A70" s="13" t="n"/>
      <c r="B70" s="3" t="n"/>
      <c r="C70" s="3" t="n"/>
      <c r="D70" s="5" t="n"/>
      <c r="E70" s="14" t="n"/>
      <c r="F70" s="6">
        <f>IF(COUNTA(A70:E70)=0,"",IF(AND(ISNUMBER(D70),ISNUMBER(E70)),ROUND(D70*E70,2),"Check amounts"))</f>
        <v/>
      </c>
      <c r="G70" s="6">
        <f>IF(NOT(ISNUMBER(F70)),"",IF(COUNTIFS(Shops!$A$5:$A$14,B70,Shops!$B$5:$B$14,"&gt;=0",Shops!$B$5:$B$14,"&lt;=1")=0,"Check shop",ROUND(F70*INDEX(Shops!$B$5:$B$14,MATCH(B70,Shops!$A$5:$A$14,0)),2)))</f>
        <v/>
      </c>
      <c r="H70" s="6">
        <f>IF(ISNUMBER(G70),ROUND(F70-G70,2),"")</f>
        <v/>
      </c>
    </row>
    <row r="71">
      <c r="A71" s="13" t="n"/>
      <c r="B71" s="3" t="n"/>
      <c r="C71" s="3" t="n"/>
      <c r="D71" s="5" t="n"/>
      <c r="E71" s="14" t="n"/>
      <c r="F71" s="6">
        <f>IF(COUNTA(A71:E71)=0,"",IF(AND(ISNUMBER(D71),ISNUMBER(E71)),ROUND(D71*E71,2),"Check amounts"))</f>
        <v/>
      </c>
      <c r="G71" s="6">
        <f>IF(NOT(ISNUMBER(F71)),"",IF(COUNTIFS(Shops!$A$5:$A$14,B71,Shops!$B$5:$B$14,"&gt;=0",Shops!$B$5:$B$14,"&lt;=1")=0,"Check shop",ROUND(F71*INDEX(Shops!$B$5:$B$14,MATCH(B71,Shops!$A$5:$A$14,0)),2)))</f>
        <v/>
      </c>
      <c r="H71" s="6">
        <f>IF(ISNUMBER(G71),ROUND(F71-G71,2),"")</f>
        <v/>
      </c>
    </row>
    <row r="72">
      <c r="A72" s="13" t="n"/>
      <c r="B72" s="3" t="n"/>
      <c r="C72" s="3" t="n"/>
      <c r="D72" s="5" t="n"/>
      <c r="E72" s="14" t="n"/>
      <c r="F72" s="6">
        <f>IF(COUNTA(A72:E72)=0,"",IF(AND(ISNUMBER(D72),ISNUMBER(E72)),ROUND(D72*E72,2),"Check amounts"))</f>
        <v/>
      </c>
      <c r="G72" s="6">
        <f>IF(NOT(ISNUMBER(F72)),"",IF(COUNTIFS(Shops!$A$5:$A$14,B72,Shops!$B$5:$B$14,"&gt;=0",Shops!$B$5:$B$14,"&lt;=1")=0,"Check shop",ROUND(F72*INDEX(Shops!$B$5:$B$14,MATCH(B72,Shops!$A$5:$A$14,0)),2)))</f>
        <v/>
      </c>
      <c r="H72" s="6">
        <f>IF(ISNUMBER(G72),ROUND(F72-G72,2),"")</f>
        <v/>
      </c>
    </row>
    <row r="73">
      <c r="A73" s="13" t="n"/>
      <c r="B73" s="3" t="n"/>
      <c r="C73" s="3" t="n"/>
      <c r="D73" s="5" t="n"/>
      <c r="E73" s="14" t="n"/>
      <c r="F73" s="6">
        <f>IF(COUNTA(A73:E73)=0,"",IF(AND(ISNUMBER(D73),ISNUMBER(E73)),ROUND(D73*E73,2),"Check amounts"))</f>
        <v/>
      </c>
      <c r="G73" s="6">
        <f>IF(NOT(ISNUMBER(F73)),"",IF(COUNTIFS(Shops!$A$5:$A$14,B73,Shops!$B$5:$B$14,"&gt;=0",Shops!$B$5:$B$14,"&lt;=1")=0,"Check shop",ROUND(F73*INDEX(Shops!$B$5:$B$14,MATCH(B73,Shops!$A$5:$A$14,0)),2)))</f>
        <v/>
      </c>
      <c r="H73" s="6">
        <f>IF(ISNUMBER(G73),ROUND(F73-G73,2),"")</f>
        <v/>
      </c>
    </row>
    <row r="74">
      <c r="A74" s="13" t="n"/>
      <c r="B74" s="3" t="n"/>
      <c r="C74" s="3" t="n"/>
      <c r="D74" s="5" t="n"/>
      <c r="E74" s="14" t="n"/>
      <c r="F74" s="6">
        <f>IF(COUNTA(A74:E74)=0,"",IF(AND(ISNUMBER(D74),ISNUMBER(E74)),ROUND(D74*E74,2),"Check amounts"))</f>
        <v/>
      </c>
      <c r="G74" s="6">
        <f>IF(NOT(ISNUMBER(F74)),"",IF(COUNTIFS(Shops!$A$5:$A$14,B74,Shops!$B$5:$B$14,"&gt;=0",Shops!$B$5:$B$14,"&lt;=1")=0,"Check shop",ROUND(F74*INDEX(Shops!$B$5:$B$14,MATCH(B74,Shops!$A$5:$A$14,0)),2)))</f>
        <v/>
      </c>
      <c r="H74" s="6">
        <f>IF(ISNUMBER(G74),ROUND(F74-G74,2),"")</f>
        <v/>
      </c>
    </row>
    <row r="75">
      <c r="A75" s="13" t="n"/>
      <c r="B75" s="3" t="n"/>
      <c r="C75" s="3" t="n"/>
      <c r="D75" s="5" t="n"/>
      <c r="E75" s="14" t="n"/>
      <c r="F75" s="6">
        <f>IF(COUNTA(A75:E75)=0,"",IF(AND(ISNUMBER(D75),ISNUMBER(E75)),ROUND(D75*E75,2),"Check amounts"))</f>
        <v/>
      </c>
      <c r="G75" s="6">
        <f>IF(NOT(ISNUMBER(F75)),"",IF(COUNTIFS(Shops!$A$5:$A$14,B75,Shops!$B$5:$B$14,"&gt;=0",Shops!$B$5:$B$14,"&lt;=1")=0,"Check shop",ROUND(F75*INDEX(Shops!$B$5:$B$14,MATCH(B75,Shops!$A$5:$A$14,0)),2)))</f>
        <v/>
      </c>
      <c r="H75" s="6">
        <f>IF(ISNUMBER(G75),ROUND(F75-G75,2),"")</f>
        <v/>
      </c>
    </row>
    <row r="76">
      <c r="A76" s="13" t="n"/>
      <c r="B76" s="3" t="n"/>
      <c r="C76" s="3" t="n"/>
      <c r="D76" s="5" t="n"/>
      <c r="E76" s="14" t="n"/>
      <c r="F76" s="6">
        <f>IF(COUNTA(A76:E76)=0,"",IF(AND(ISNUMBER(D76),ISNUMBER(E76)),ROUND(D76*E76,2),"Check amounts"))</f>
        <v/>
      </c>
      <c r="G76" s="6">
        <f>IF(NOT(ISNUMBER(F76)),"",IF(COUNTIFS(Shops!$A$5:$A$14,B76,Shops!$B$5:$B$14,"&gt;=0",Shops!$B$5:$B$14,"&lt;=1")=0,"Check shop",ROUND(F76*INDEX(Shops!$B$5:$B$14,MATCH(B76,Shops!$A$5:$A$14,0)),2)))</f>
        <v/>
      </c>
      <c r="H76" s="6">
        <f>IF(ISNUMBER(G76),ROUND(F76-G76,2),"")</f>
        <v/>
      </c>
    </row>
    <row r="77">
      <c r="A77" s="13" t="n"/>
      <c r="B77" s="3" t="n"/>
      <c r="C77" s="3" t="n"/>
      <c r="D77" s="5" t="n"/>
      <c r="E77" s="14" t="n"/>
      <c r="F77" s="6">
        <f>IF(COUNTA(A77:E77)=0,"",IF(AND(ISNUMBER(D77),ISNUMBER(E77)),ROUND(D77*E77,2),"Check amounts"))</f>
        <v/>
      </c>
      <c r="G77" s="6">
        <f>IF(NOT(ISNUMBER(F77)),"",IF(COUNTIFS(Shops!$A$5:$A$14,B77,Shops!$B$5:$B$14,"&gt;=0",Shops!$B$5:$B$14,"&lt;=1")=0,"Check shop",ROUND(F77*INDEX(Shops!$B$5:$B$14,MATCH(B77,Shops!$A$5:$A$14,0)),2)))</f>
        <v/>
      </c>
      <c r="H77" s="6">
        <f>IF(ISNUMBER(G77),ROUND(F77-G77,2),"")</f>
        <v/>
      </c>
    </row>
    <row r="78">
      <c r="A78" s="13" t="n"/>
      <c r="B78" s="3" t="n"/>
      <c r="C78" s="3" t="n"/>
      <c r="D78" s="5" t="n"/>
      <c r="E78" s="14" t="n"/>
      <c r="F78" s="6">
        <f>IF(COUNTA(A78:E78)=0,"",IF(AND(ISNUMBER(D78),ISNUMBER(E78)),ROUND(D78*E78,2),"Check amounts"))</f>
        <v/>
      </c>
      <c r="G78" s="6">
        <f>IF(NOT(ISNUMBER(F78)),"",IF(COUNTIFS(Shops!$A$5:$A$14,B78,Shops!$B$5:$B$14,"&gt;=0",Shops!$B$5:$B$14,"&lt;=1")=0,"Check shop",ROUND(F78*INDEX(Shops!$B$5:$B$14,MATCH(B78,Shops!$A$5:$A$14,0)),2)))</f>
        <v/>
      </c>
      <c r="H78" s="6">
        <f>IF(ISNUMBER(G78),ROUND(F78-G78,2),"")</f>
        <v/>
      </c>
    </row>
    <row r="79">
      <c r="A79" s="13" t="n"/>
      <c r="B79" s="3" t="n"/>
      <c r="C79" s="3" t="n"/>
      <c r="D79" s="5" t="n"/>
      <c r="E79" s="14" t="n"/>
      <c r="F79" s="6">
        <f>IF(COUNTA(A79:E79)=0,"",IF(AND(ISNUMBER(D79),ISNUMBER(E79)),ROUND(D79*E79,2),"Check amounts"))</f>
        <v/>
      </c>
      <c r="G79" s="6">
        <f>IF(NOT(ISNUMBER(F79)),"",IF(COUNTIFS(Shops!$A$5:$A$14,B79,Shops!$B$5:$B$14,"&gt;=0",Shops!$B$5:$B$14,"&lt;=1")=0,"Check shop",ROUND(F79*INDEX(Shops!$B$5:$B$14,MATCH(B79,Shops!$A$5:$A$14,0)),2)))</f>
        <v/>
      </c>
      <c r="H79" s="6">
        <f>IF(ISNUMBER(G79),ROUND(F79-G79,2),"")</f>
        <v/>
      </c>
    </row>
    <row r="80">
      <c r="A80" s="13" t="n"/>
      <c r="B80" s="3" t="n"/>
      <c r="C80" s="3" t="n"/>
      <c r="D80" s="5" t="n"/>
      <c r="E80" s="14" t="n"/>
      <c r="F80" s="6">
        <f>IF(COUNTA(A80:E80)=0,"",IF(AND(ISNUMBER(D80),ISNUMBER(E80)),ROUND(D80*E80,2),"Check amounts"))</f>
        <v/>
      </c>
      <c r="G80" s="6">
        <f>IF(NOT(ISNUMBER(F80)),"",IF(COUNTIFS(Shops!$A$5:$A$14,B80,Shops!$B$5:$B$14,"&gt;=0",Shops!$B$5:$B$14,"&lt;=1")=0,"Check shop",ROUND(F80*INDEX(Shops!$B$5:$B$14,MATCH(B80,Shops!$A$5:$A$14,0)),2)))</f>
        <v/>
      </c>
      <c r="H80" s="6">
        <f>IF(ISNUMBER(G80),ROUND(F80-G80,2),"")</f>
        <v/>
      </c>
    </row>
    <row r="81">
      <c r="A81" s="13" t="n"/>
      <c r="B81" s="3" t="n"/>
      <c r="C81" s="3" t="n"/>
      <c r="D81" s="5" t="n"/>
      <c r="E81" s="14" t="n"/>
      <c r="F81" s="6">
        <f>IF(COUNTA(A81:E81)=0,"",IF(AND(ISNUMBER(D81),ISNUMBER(E81)),ROUND(D81*E81,2),"Check amounts"))</f>
        <v/>
      </c>
      <c r="G81" s="6">
        <f>IF(NOT(ISNUMBER(F81)),"",IF(COUNTIFS(Shops!$A$5:$A$14,B81,Shops!$B$5:$B$14,"&gt;=0",Shops!$B$5:$B$14,"&lt;=1")=0,"Check shop",ROUND(F81*INDEX(Shops!$B$5:$B$14,MATCH(B81,Shops!$A$5:$A$14,0)),2)))</f>
        <v/>
      </c>
      <c r="H81" s="6">
        <f>IF(ISNUMBER(G81),ROUND(F81-G81,2),"")</f>
        <v/>
      </c>
    </row>
    <row r="82">
      <c r="A82" s="13" t="n"/>
      <c r="B82" s="3" t="n"/>
      <c r="C82" s="3" t="n"/>
      <c r="D82" s="5" t="n"/>
      <c r="E82" s="14" t="n"/>
      <c r="F82" s="6">
        <f>IF(COUNTA(A82:E82)=0,"",IF(AND(ISNUMBER(D82),ISNUMBER(E82)),ROUND(D82*E82,2),"Check amounts"))</f>
        <v/>
      </c>
      <c r="G82" s="6">
        <f>IF(NOT(ISNUMBER(F82)),"",IF(COUNTIFS(Shops!$A$5:$A$14,B82,Shops!$B$5:$B$14,"&gt;=0",Shops!$B$5:$B$14,"&lt;=1")=0,"Check shop",ROUND(F82*INDEX(Shops!$B$5:$B$14,MATCH(B82,Shops!$A$5:$A$14,0)),2)))</f>
        <v/>
      </c>
      <c r="H82" s="6">
        <f>IF(ISNUMBER(G82),ROUND(F82-G82,2),"")</f>
        <v/>
      </c>
    </row>
    <row r="83">
      <c r="A83" s="13" t="n"/>
      <c r="B83" s="3" t="n"/>
      <c r="C83" s="3" t="n"/>
      <c r="D83" s="5" t="n"/>
      <c r="E83" s="14" t="n"/>
      <c r="F83" s="6">
        <f>IF(COUNTA(A83:E83)=0,"",IF(AND(ISNUMBER(D83),ISNUMBER(E83)),ROUND(D83*E83,2),"Check amounts"))</f>
        <v/>
      </c>
      <c r="G83" s="6">
        <f>IF(NOT(ISNUMBER(F83)),"",IF(COUNTIFS(Shops!$A$5:$A$14,B83,Shops!$B$5:$B$14,"&gt;=0",Shops!$B$5:$B$14,"&lt;=1")=0,"Check shop",ROUND(F83*INDEX(Shops!$B$5:$B$14,MATCH(B83,Shops!$A$5:$A$14,0)),2)))</f>
        <v/>
      </c>
      <c r="H83" s="6">
        <f>IF(ISNUMBER(G83),ROUND(F83-G83,2),"")</f>
        <v/>
      </c>
    </row>
    <row r="84">
      <c r="A84" s="13" t="n"/>
      <c r="B84" s="3" t="n"/>
      <c r="C84" s="3" t="n"/>
      <c r="D84" s="5" t="n"/>
      <c r="E84" s="14" t="n"/>
      <c r="F84" s="6">
        <f>IF(COUNTA(A84:E84)=0,"",IF(AND(ISNUMBER(D84),ISNUMBER(E84)),ROUND(D84*E84,2),"Check amounts"))</f>
        <v/>
      </c>
      <c r="G84" s="6">
        <f>IF(NOT(ISNUMBER(F84)),"",IF(COUNTIFS(Shops!$A$5:$A$14,B84,Shops!$B$5:$B$14,"&gt;=0",Shops!$B$5:$B$14,"&lt;=1")=0,"Check shop",ROUND(F84*INDEX(Shops!$B$5:$B$14,MATCH(B84,Shops!$A$5:$A$14,0)),2)))</f>
        <v/>
      </c>
      <c r="H84" s="6">
        <f>IF(ISNUMBER(G84),ROUND(F84-G84,2),"")</f>
        <v/>
      </c>
    </row>
    <row r="85">
      <c r="A85" s="13" t="n"/>
      <c r="B85" s="3" t="n"/>
      <c r="C85" s="3" t="n"/>
      <c r="D85" s="5" t="n"/>
      <c r="E85" s="14" t="n"/>
      <c r="F85" s="6">
        <f>IF(COUNTA(A85:E85)=0,"",IF(AND(ISNUMBER(D85),ISNUMBER(E85)),ROUND(D85*E85,2),"Check amounts"))</f>
        <v/>
      </c>
      <c r="G85" s="6">
        <f>IF(NOT(ISNUMBER(F85)),"",IF(COUNTIFS(Shops!$A$5:$A$14,B85,Shops!$B$5:$B$14,"&gt;=0",Shops!$B$5:$B$14,"&lt;=1")=0,"Check shop",ROUND(F85*INDEX(Shops!$B$5:$B$14,MATCH(B85,Shops!$A$5:$A$14,0)),2)))</f>
        <v/>
      </c>
      <c r="H85" s="6">
        <f>IF(ISNUMBER(G85),ROUND(F85-G85,2),"")</f>
        <v/>
      </c>
    </row>
    <row r="86">
      <c r="A86" s="13" t="n"/>
      <c r="B86" s="3" t="n"/>
      <c r="C86" s="3" t="n"/>
      <c r="D86" s="5" t="n"/>
      <c r="E86" s="14" t="n"/>
      <c r="F86" s="6">
        <f>IF(COUNTA(A86:E86)=0,"",IF(AND(ISNUMBER(D86),ISNUMBER(E86)),ROUND(D86*E86,2),"Check amounts"))</f>
        <v/>
      </c>
      <c r="G86" s="6">
        <f>IF(NOT(ISNUMBER(F86)),"",IF(COUNTIFS(Shops!$A$5:$A$14,B86,Shops!$B$5:$B$14,"&gt;=0",Shops!$B$5:$B$14,"&lt;=1")=0,"Check shop",ROUND(F86*INDEX(Shops!$B$5:$B$14,MATCH(B86,Shops!$A$5:$A$14,0)),2)))</f>
        <v/>
      </c>
      <c r="H86" s="6">
        <f>IF(ISNUMBER(G86),ROUND(F86-G86,2),"")</f>
        <v/>
      </c>
    </row>
    <row r="87">
      <c r="A87" s="13" t="n"/>
      <c r="B87" s="3" t="n"/>
      <c r="C87" s="3" t="n"/>
      <c r="D87" s="5" t="n"/>
      <c r="E87" s="14" t="n"/>
      <c r="F87" s="6">
        <f>IF(COUNTA(A87:E87)=0,"",IF(AND(ISNUMBER(D87),ISNUMBER(E87)),ROUND(D87*E87,2),"Check amounts"))</f>
        <v/>
      </c>
      <c r="G87" s="6">
        <f>IF(NOT(ISNUMBER(F87)),"",IF(COUNTIFS(Shops!$A$5:$A$14,B87,Shops!$B$5:$B$14,"&gt;=0",Shops!$B$5:$B$14,"&lt;=1")=0,"Check shop",ROUND(F87*INDEX(Shops!$B$5:$B$14,MATCH(B87,Shops!$A$5:$A$14,0)),2)))</f>
        <v/>
      </c>
      <c r="H87" s="6">
        <f>IF(ISNUMBER(G87),ROUND(F87-G87,2),"")</f>
        <v/>
      </c>
    </row>
    <row r="88">
      <c r="A88" s="13" t="n"/>
      <c r="B88" s="3" t="n"/>
      <c r="C88" s="3" t="n"/>
      <c r="D88" s="5" t="n"/>
      <c r="E88" s="14" t="n"/>
      <c r="F88" s="6">
        <f>IF(COUNTA(A88:E88)=0,"",IF(AND(ISNUMBER(D88),ISNUMBER(E88)),ROUND(D88*E88,2),"Check amounts"))</f>
        <v/>
      </c>
      <c r="G88" s="6">
        <f>IF(NOT(ISNUMBER(F88)),"",IF(COUNTIFS(Shops!$A$5:$A$14,B88,Shops!$B$5:$B$14,"&gt;=0",Shops!$B$5:$B$14,"&lt;=1")=0,"Check shop",ROUND(F88*INDEX(Shops!$B$5:$B$14,MATCH(B88,Shops!$A$5:$A$14,0)),2)))</f>
        <v/>
      </c>
      <c r="H88" s="6">
        <f>IF(ISNUMBER(G88),ROUND(F88-G88,2),"")</f>
        <v/>
      </c>
    </row>
    <row r="89">
      <c r="A89" s="13" t="n"/>
      <c r="B89" s="3" t="n"/>
      <c r="C89" s="3" t="n"/>
      <c r="D89" s="5" t="n"/>
      <c r="E89" s="14" t="n"/>
      <c r="F89" s="6">
        <f>IF(COUNTA(A89:E89)=0,"",IF(AND(ISNUMBER(D89),ISNUMBER(E89)),ROUND(D89*E89,2),"Check amounts"))</f>
        <v/>
      </c>
      <c r="G89" s="6">
        <f>IF(NOT(ISNUMBER(F89)),"",IF(COUNTIFS(Shops!$A$5:$A$14,B89,Shops!$B$5:$B$14,"&gt;=0",Shops!$B$5:$B$14,"&lt;=1")=0,"Check shop",ROUND(F89*INDEX(Shops!$B$5:$B$14,MATCH(B89,Shops!$A$5:$A$14,0)),2)))</f>
        <v/>
      </c>
      <c r="H89" s="6">
        <f>IF(ISNUMBER(G89),ROUND(F89-G89,2),"")</f>
        <v/>
      </c>
    </row>
    <row r="90">
      <c r="A90" s="13" t="n"/>
      <c r="B90" s="3" t="n"/>
      <c r="C90" s="3" t="n"/>
      <c r="D90" s="5" t="n"/>
      <c r="E90" s="14" t="n"/>
      <c r="F90" s="6">
        <f>IF(COUNTA(A90:E90)=0,"",IF(AND(ISNUMBER(D90),ISNUMBER(E90)),ROUND(D90*E90,2),"Check amounts"))</f>
        <v/>
      </c>
      <c r="G90" s="6">
        <f>IF(NOT(ISNUMBER(F90)),"",IF(COUNTIFS(Shops!$A$5:$A$14,B90,Shops!$B$5:$B$14,"&gt;=0",Shops!$B$5:$B$14,"&lt;=1")=0,"Check shop",ROUND(F90*INDEX(Shops!$B$5:$B$14,MATCH(B90,Shops!$A$5:$A$14,0)),2)))</f>
        <v/>
      </c>
      <c r="H90" s="6">
        <f>IF(ISNUMBER(G90),ROUND(F90-G90,2),"")</f>
        <v/>
      </c>
    </row>
    <row r="91">
      <c r="A91" s="13" t="n"/>
      <c r="B91" s="3" t="n"/>
      <c r="C91" s="3" t="n"/>
      <c r="D91" s="5" t="n"/>
      <c r="E91" s="14" t="n"/>
      <c r="F91" s="6">
        <f>IF(COUNTA(A91:E91)=0,"",IF(AND(ISNUMBER(D91),ISNUMBER(E91)),ROUND(D91*E91,2),"Check amounts"))</f>
        <v/>
      </c>
      <c r="G91" s="6">
        <f>IF(NOT(ISNUMBER(F91)),"",IF(COUNTIFS(Shops!$A$5:$A$14,B91,Shops!$B$5:$B$14,"&gt;=0",Shops!$B$5:$B$14,"&lt;=1")=0,"Check shop",ROUND(F91*INDEX(Shops!$B$5:$B$14,MATCH(B91,Shops!$A$5:$A$14,0)),2)))</f>
        <v/>
      </c>
      <c r="H91" s="6">
        <f>IF(ISNUMBER(G91),ROUND(F91-G91,2),"")</f>
        <v/>
      </c>
    </row>
    <row r="92">
      <c r="A92" s="13" t="n"/>
      <c r="B92" s="3" t="n"/>
      <c r="C92" s="3" t="n"/>
      <c r="D92" s="5" t="n"/>
      <c r="E92" s="14" t="n"/>
      <c r="F92" s="6">
        <f>IF(COUNTA(A92:E92)=0,"",IF(AND(ISNUMBER(D92),ISNUMBER(E92)),ROUND(D92*E92,2),"Check amounts"))</f>
        <v/>
      </c>
      <c r="G92" s="6">
        <f>IF(NOT(ISNUMBER(F92)),"",IF(COUNTIFS(Shops!$A$5:$A$14,B92,Shops!$B$5:$B$14,"&gt;=0",Shops!$B$5:$B$14,"&lt;=1")=0,"Check shop",ROUND(F92*INDEX(Shops!$B$5:$B$14,MATCH(B92,Shops!$A$5:$A$14,0)),2)))</f>
        <v/>
      </c>
      <c r="H92" s="6">
        <f>IF(ISNUMBER(G92),ROUND(F92-G92,2),"")</f>
        <v/>
      </c>
    </row>
    <row r="93">
      <c r="A93" s="13" t="n"/>
      <c r="B93" s="3" t="n"/>
      <c r="C93" s="3" t="n"/>
      <c r="D93" s="5" t="n"/>
      <c r="E93" s="14" t="n"/>
      <c r="F93" s="6">
        <f>IF(COUNTA(A93:E93)=0,"",IF(AND(ISNUMBER(D93),ISNUMBER(E93)),ROUND(D93*E93,2),"Check amounts"))</f>
        <v/>
      </c>
      <c r="G93" s="6">
        <f>IF(NOT(ISNUMBER(F93)),"",IF(COUNTIFS(Shops!$A$5:$A$14,B93,Shops!$B$5:$B$14,"&gt;=0",Shops!$B$5:$B$14,"&lt;=1")=0,"Check shop",ROUND(F93*INDEX(Shops!$B$5:$B$14,MATCH(B93,Shops!$A$5:$A$14,0)),2)))</f>
        <v/>
      </c>
      <c r="H93" s="6">
        <f>IF(ISNUMBER(G93),ROUND(F93-G93,2),"")</f>
        <v/>
      </c>
    </row>
    <row r="94">
      <c r="A94" s="13" t="n"/>
      <c r="B94" s="3" t="n"/>
      <c r="C94" s="3" t="n"/>
      <c r="D94" s="5" t="n"/>
      <c r="E94" s="14" t="n"/>
      <c r="F94" s="6">
        <f>IF(COUNTA(A94:E94)=0,"",IF(AND(ISNUMBER(D94),ISNUMBER(E94)),ROUND(D94*E94,2),"Check amounts"))</f>
        <v/>
      </c>
      <c r="G94" s="6">
        <f>IF(NOT(ISNUMBER(F94)),"",IF(COUNTIFS(Shops!$A$5:$A$14,B94,Shops!$B$5:$B$14,"&gt;=0",Shops!$B$5:$B$14,"&lt;=1")=0,"Check shop",ROUND(F94*INDEX(Shops!$B$5:$B$14,MATCH(B94,Shops!$A$5:$A$14,0)),2)))</f>
        <v/>
      </c>
      <c r="H94" s="6">
        <f>IF(ISNUMBER(G94),ROUND(F94-G94,2),"")</f>
        <v/>
      </c>
    </row>
    <row r="95">
      <c r="A95" s="13" t="n"/>
      <c r="B95" s="3" t="n"/>
      <c r="C95" s="3" t="n"/>
      <c r="D95" s="5" t="n"/>
      <c r="E95" s="14" t="n"/>
      <c r="F95" s="6">
        <f>IF(COUNTA(A95:E95)=0,"",IF(AND(ISNUMBER(D95),ISNUMBER(E95)),ROUND(D95*E95,2),"Check amounts"))</f>
        <v/>
      </c>
      <c r="G95" s="6">
        <f>IF(NOT(ISNUMBER(F95)),"",IF(COUNTIFS(Shops!$A$5:$A$14,B95,Shops!$B$5:$B$14,"&gt;=0",Shops!$B$5:$B$14,"&lt;=1")=0,"Check shop",ROUND(F95*INDEX(Shops!$B$5:$B$14,MATCH(B95,Shops!$A$5:$A$14,0)),2)))</f>
        <v/>
      </c>
      <c r="H95" s="6">
        <f>IF(ISNUMBER(G95),ROUND(F95-G95,2),"")</f>
        <v/>
      </c>
    </row>
    <row r="96">
      <c r="A96" s="13" t="n"/>
      <c r="B96" s="3" t="n"/>
      <c r="C96" s="3" t="n"/>
      <c r="D96" s="5" t="n"/>
      <c r="E96" s="14" t="n"/>
      <c r="F96" s="6">
        <f>IF(COUNTA(A96:E96)=0,"",IF(AND(ISNUMBER(D96),ISNUMBER(E96)),ROUND(D96*E96,2),"Check amounts"))</f>
        <v/>
      </c>
      <c r="G96" s="6">
        <f>IF(NOT(ISNUMBER(F96)),"",IF(COUNTIFS(Shops!$A$5:$A$14,B96,Shops!$B$5:$B$14,"&gt;=0",Shops!$B$5:$B$14,"&lt;=1")=0,"Check shop",ROUND(F96*INDEX(Shops!$B$5:$B$14,MATCH(B96,Shops!$A$5:$A$14,0)),2)))</f>
        <v/>
      </c>
      <c r="H96" s="6">
        <f>IF(ISNUMBER(G96),ROUND(F96-G96,2),"")</f>
        <v/>
      </c>
    </row>
    <row r="97">
      <c r="A97" s="13" t="n"/>
      <c r="B97" s="3" t="n"/>
      <c r="C97" s="3" t="n"/>
      <c r="D97" s="5" t="n"/>
      <c r="E97" s="14" t="n"/>
      <c r="F97" s="6">
        <f>IF(COUNTA(A97:E97)=0,"",IF(AND(ISNUMBER(D97),ISNUMBER(E97)),ROUND(D97*E97,2),"Check amounts"))</f>
        <v/>
      </c>
      <c r="G97" s="6">
        <f>IF(NOT(ISNUMBER(F97)),"",IF(COUNTIFS(Shops!$A$5:$A$14,B97,Shops!$B$5:$B$14,"&gt;=0",Shops!$B$5:$B$14,"&lt;=1")=0,"Check shop",ROUND(F97*INDEX(Shops!$B$5:$B$14,MATCH(B97,Shops!$A$5:$A$14,0)),2)))</f>
        <v/>
      </c>
      <c r="H97" s="6">
        <f>IF(ISNUMBER(G97),ROUND(F97-G97,2),"")</f>
        <v/>
      </c>
    </row>
    <row r="98">
      <c r="A98" s="13" t="n"/>
      <c r="B98" s="3" t="n"/>
      <c r="C98" s="3" t="n"/>
      <c r="D98" s="5" t="n"/>
      <c r="E98" s="14" t="n"/>
      <c r="F98" s="6">
        <f>IF(COUNTA(A98:E98)=0,"",IF(AND(ISNUMBER(D98),ISNUMBER(E98)),ROUND(D98*E98,2),"Check amounts"))</f>
        <v/>
      </c>
      <c r="G98" s="6">
        <f>IF(NOT(ISNUMBER(F98)),"",IF(COUNTIFS(Shops!$A$5:$A$14,B98,Shops!$B$5:$B$14,"&gt;=0",Shops!$B$5:$B$14,"&lt;=1")=0,"Check shop",ROUND(F98*INDEX(Shops!$B$5:$B$14,MATCH(B98,Shops!$A$5:$A$14,0)),2)))</f>
        <v/>
      </c>
      <c r="H98" s="6">
        <f>IF(ISNUMBER(G98),ROUND(F98-G98,2),"")</f>
        <v/>
      </c>
    </row>
    <row r="99">
      <c r="A99" s="13" t="n"/>
      <c r="B99" s="3" t="n"/>
      <c r="C99" s="3" t="n"/>
      <c r="D99" s="5" t="n"/>
      <c r="E99" s="14" t="n"/>
      <c r="F99" s="6">
        <f>IF(COUNTA(A99:E99)=0,"",IF(AND(ISNUMBER(D99),ISNUMBER(E99)),ROUND(D99*E99,2),"Check amounts"))</f>
        <v/>
      </c>
      <c r="G99" s="6">
        <f>IF(NOT(ISNUMBER(F99)),"",IF(COUNTIFS(Shops!$A$5:$A$14,B99,Shops!$B$5:$B$14,"&gt;=0",Shops!$B$5:$B$14,"&lt;=1")=0,"Check shop",ROUND(F99*INDEX(Shops!$B$5:$B$14,MATCH(B99,Shops!$A$5:$A$14,0)),2)))</f>
        <v/>
      </c>
      <c r="H99" s="6">
        <f>IF(ISNUMBER(G99),ROUND(F99-G99,2),"")</f>
        <v/>
      </c>
    </row>
    <row r="100">
      <c r="A100" s="13" t="n"/>
      <c r="B100" s="3" t="n"/>
      <c r="C100" s="3" t="n"/>
      <c r="D100" s="5" t="n"/>
      <c r="E100" s="14" t="n"/>
      <c r="F100" s="6">
        <f>IF(COUNTA(A100:E100)=0,"",IF(AND(ISNUMBER(D100),ISNUMBER(E100)),ROUND(D100*E100,2),"Check amounts"))</f>
        <v/>
      </c>
      <c r="G100" s="6">
        <f>IF(NOT(ISNUMBER(F100)),"",IF(COUNTIFS(Shops!$A$5:$A$14,B100,Shops!$B$5:$B$14,"&gt;=0",Shops!$B$5:$B$14,"&lt;=1")=0,"Check shop",ROUND(F100*INDEX(Shops!$B$5:$B$14,MATCH(B100,Shops!$A$5:$A$14,0)),2)))</f>
        <v/>
      </c>
      <c r="H100" s="6">
        <f>IF(ISNUMBER(G100),ROUND(F100-G100,2),"")</f>
        <v/>
      </c>
    </row>
    <row r="101">
      <c r="A101" s="13" t="n"/>
      <c r="B101" s="3" t="n"/>
      <c r="C101" s="3" t="n"/>
      <c r="D101" s="5" t="n"/>
      <c r="E101" s="14" t="n"/>
      <c r="F101" s="6">
        <f>IF(COUNTA(A101:E101)=0,"",IF(AND(ISNUMBER(D101),ISNUMBER(E101)),ROUND(D101*E101,2),"Check amounts"))</f>
        <v/>
      </c>
      <c r="G101" s="6">
        <f>IF(NOT(ISNUMBER(F101)),"",IF(COUNTIFS(Shops!$A$5:$A$14,B101,Shops!$B$5:$B$14,"&gt;=0",Shops!$B$5:$B$14,"&lt;=1")=0,"Check shop",ROUND(F101*INDEX(Shops!$B$5:$B$14,MATCH(B101,Shops!$A$5:$A$14,0)),2)))</f>
        <v/>
      </c>
      <c r="H101" s="6">
        <f>IF(ISNUMBER(G101),ROUND(F101-G101,2),"")</f>
        <v/>
      </c>
    </row>
    <row r="102">
      <c r="A102" s="13" t="n"/>
      <c r="B102" s="3" t="n"/>
      <c r="C102" s="3" t="n"/>
      <c r="D102" s="5" t="n"/>
      <c r="E102" s="14" t="n"/>
      <c r="F102" s="6">
        <f>IF(COUNTA(A102:E102)=0,"",IF(AND(ISNUMBER(D102),ISNUMBER(E102)),ROUND(D102*E102,2),"Check amounts"))</f>
        <v/>
      </c>
      <c r="G102" s="6">
        <f>IF(NOT(ISNUMBER(F102)),"",IF(COUNTIFS(Shops!$A$5:$A$14,B102,Shops!$B$5:$B$14,"&gt;=0",Shops!$B$5:$B$14,"&lt;=1")=0,"Check shop",ROUND(F102*INDEX(Shops!$B$5:$B$14,MATCH(B102,Shops!$A$5:$A$14,0)),2)))</f>
        <v/>
      </c>
      <c r="H102" s="6">
        <f>IF(ISNUMBER(G102),ROUND(F102-G102,2),"")</f>
        <v/>
      </c>
    </row>
    <row r="103">
      <c r="A103" s="13" t="n"/>
      <c r="B103" s="3" t="n"/>
      <c r="C103" s="3" t="n"/>
      <c r="D103" s="5" t="n"/>
      <c r="E103" s="14" t="n"/>
      <c r="F103" s="6">
        <f>IF(COUNTA(A103:E103)=0,"",IF(AND(ISNUMBER(D103),ISNUMBER(E103)),ROUND(D103*E103,2),"Check amounts"))</f>
        <v/>
      </c>
      <c r="G103" s="6">
        <f>IF(NOT(ISNUMBER(F103)),"",IF(COUNTIFS(Shops!$A$5:$A$14,B103,Shops!$B$5:$B$14,"&gt;=0",Shops!$B$5:$B$14,"&lt;=1")=0,"Check shop",ROUND(F103*INDEX(Shops!$B$5:$B$14,MATCH(B103,Shops!$A$5:$A$14,0)),2)))</f>
        <v/>
      </c>
      <c r="H103" s="6">
        <f>IF(ISNUMBER(G103),ROUND(F103-G103,2),"")</f>
        <v/>
      </c>
    </row>
    <row r="104">
      <c r="A104" s="13" t="n"/>
      <c r="B104" s="3" t="n"/>
      <c r="C104" s="3" t="n"/>
      <c r="D104" s="5" t="n"/>
      <c r="E104" s="14" t="n"/>
      <c r="F104" s="6">
        <f>IF(COUNTA(A104:E104)=0,"",IF(AND(ISNUMBER(D104),ISNUMBER(E104)),ROUND(D104*E104,2),"Check amounts"))</f>
        <v/>
      </c>
      <c r="G104" s="6">
        <f>IF(NOT(ISNUMBER(F104)),"",IF(COUNTIFS(Shops!$A$5:$A$14,B104,Shops!$B$5:$B$14,"&gt;=0",Shops!$B$5:$B$14,"&lt;=1")=0,"Check shop",ROUND(F104*INDEX(Shops!$B$5:$B$14,MATCH(B104,Shops!$A$5:$A$14,0)),2)))</f>
        <v/>
      </c>
      <c r="H104" s="6">
        <f>IF(ISNUMBER(G104),ROUND(F104-G104,2),"")</f>
        <v/>
      </c>
    </row>
    <row r="105">
      <c r="A105" s="13" t="n"/>
      <c r="B105" s="3" t="n"/>
      <c r="C105" s="3" t="n"/>
      <c r="D105" s="5" t="n"/>
      <c r="E105" s="14" t="n"/>
      <c r="F105" s="6">
        <f>IF(COUNTA(A105:E105)=0,"",IF(AND(ISNUMBER(D105),ISNUMBER(E105)),ROUND(D105*E105,2),"Check amounts"))</f>
        <v/>
      </c>
      <c r="G105" s="6">
        <f>IF(NOT(ISNUMBER(F105)),"",IF(COUNTIFS(Shops!$A$5:$A$14,B105,Shops!$B$5:$B$14,"&gt;=0",Shops!$B$5:$B$14,"&lt;=1")=0,"Check shop",ROUND(F105*INDEX(Shops!$B$5:$B$14,MATCH(B105,Shops!$A$5:$A$14,0)),2)))</f>
        <v/>
      </c>
      <c r="H105" s="6">
        <f>IF(ISNUMBER(G105),ROUND(F105-G105,2),"")</f>
        <v/>
      </c>
    </row>
    <row r="106">
      <c r="A106" s="13" t="n"/>
      <c r="B106" s="3" t="n"/>
      <c r="C106" s="3" t="n"/>
      <c r="D106" s="5" t="n"/>
      <c r="E106" s="14" t="n"/>
      <c r="F106" s="6">
        <f>IF(COUNTA(A106:E106)=0,"",IF(AND(ISNUMBER(D106),ISNUMBER(E106)),ROUND(D106*E106,2),"Check amounts"))</f>
        <v/>
      </c>
      <c r="G106" s="6">
        <f>IF(NOT(ISNUMBER(F106)),"",IF(COUNTIFS(Shops!$A$5:$A$14,B106,Shops!$B$5:$B$14,"&gt;=0",Shops!$B$5:$B$14,"&lt;=1")=0,"Check shop",ROUND(F106*INDEX(Shops!$B$5:$B$14,MATCH(B106,Shops!$A$5:$A$14,0)),2)))</f>
        <v/>
      </c>
      <c r="H106" s="6">
        <f>IF(ISNUMBER(G106),ROUND(F106-G106,2),"")</f>
        <v/>
      </c>
    </row>
    <row r="107">
      <c r="A107" s="13" t="n"/>
      <c r="B107" s="3" t="n"/>
      <c r="C107" s="3" t="n"/>
      <c r="D107" s="5" t="n"/>
      <c r="E107" s="14" t="n"/>
      <c r="F107" s="6">
        <f>IF(COUNTA(A107:E107)=0,"",IF(AND(ISNUMBER(D107),ISNUMBER(E107)),ROUND(D107*E107,2),"Check amounts"))</f>
        <v/>
      </c>
      <c r="G107" s="6">
        <f>IF(NOT(ISNUMBER(F107)),"",IF(COUNTIFS(Shops!$A$5:$A$14,B107,Shops!$B$5:$B$14,"&gt;=0",Shops!$B$5:$B$14,"&lt;=1")=0,"Check shop",ROUND(F107*INDEX(Shops!$B$5:$B$14,MATCH(B107,Shops!$A$5:$A$14,0)),2)))</f>
        <v/>
      </c>
      <c r="H107" s="6">
        <f>IF(ISNUMBER(G107),ROUND(F107-G107,2),"")</f>
        <v/>
      </c>
    </row>
    <row r="108">
      <c r="A108" s="13" t="n"/>
      <c r="B108" s="3" t="n"/>
      <c r="C108" s="3" t="n"/>
      <c r="D108" s="5" t="n"/>
      <c r="E108" s="14" t="n"/>
      <c r="F108" s="6">
        <f>IF(COUNTA(A108:E108)=0,"",IF(AND(ISNUMBER(D108),ISNUMBER(E108)),ROUND(D108*E108,2),"Check amounts"))</f>
        <v/>
      </c>
      <c r="G108" s="6">
        <f>IF(NOT(ISNUMBER(F108)),"",IF(COUNTIFS(Shops!$A$5:$A$14,B108,Shops!$B$5:$B$14,"&gt;=0",Shops!$B$5:$B$14,"&lt;=1")=0,"Check shop",ROUND(F108*INDEX(Shops!$B$5:$B$14,MATCH(B108,Shops!$A$5:$A$14,0)),2)))</f>
        <v/>
      </c>
      <c r="H108" s="6">
        <f>IF(ISNUMBER(G108),ROUND(F108-G108,2),"")</f>
        <v/>
      </c>
    </row>
    <row r="109">
      <c r="A109" s="13" t="n"/>
      <c r="B109" s="3" t="n"/>
      <c r="C109" s="3" t="n"/>
      <c r="D109" s="5" t="n"/>
      <c r="E109" s="14" t="n"/>
      <c r="F109" s="6">
        <f>IF(COUNTA(A109:E109)=0,"",IF(AND(ISNUMBER(D109),ISNUMBER(E109)),ROUND(D109*E109,2),"Check amounts"))</f>
        <v/>
      </c>
      <c r="G109" s="6">
        <f>IF(NOT(ISNUMBER(F109)),"",IF(COUNTIFS(Shops!$A$5:$A$14,B109,Shops!$B$5:$B$14,"&gt;=0",Shops!$B$5:$B$14,"&lt;=1")=0,"Check shop",ROUND(F109*INDEX(Shops!$B$5:$B$14,MATCH(B109,Shops!$A$5:$A$14,0)),2)))</f>
        <v/>
      </c>
      <c r="H109" s="6">
        <f>IF(ISNUMBER(G109),ROUND(F109-G109,2),"")</f>
        <v/>
      </c>
    </row>
    <row r="110">
      <c r="A110" s="13" t="n"/>
      <c r="B110" s="3" t="n"/>
      <c r="C110" s="3" t="n"/>
      <c r="D110" s="5" t="n"/>
      <c r="E110" s="14" t="n"/>
      <c r="F110" s="6">
        <f>IF(COUNTA(A110:E110)=0,"",IF(AND(ISNUMBER(D110),ISNUMBER(E110)),ROUND(D110*E110,2),"Check amounts"))</f>
        <v/>
      </c>
      <c r="G110" s="6">
        <f>IF(NOT(ISNUMBER(F110)),"",IF(COUNTIFS(Shops!$A$5:$A$14,B110,Shops!$B$5:$B$14,"&gt;=0",Shops!$B$5:$B$14,"&lt;=1")=0,"Check shop",ROUND(F110*INDEX(Shops!$B$5:$B$14,MATCH(B110,Shops!$A$5:$A$14,0)),2)))</f>
        <v/>
      </c>
      <c r="H110" s="6">
        <f>IF(ISNUMBER(G110),ROUND(F110-G110,2),"")</f>
        <v/>
      </c>
    </row>
    <row r="111">
      <c r="A111" s="13" t="n"/>
      <c r="B111" s="3" t="n"/>
      <c r="C111" s="3" t="n"/>
      <c r="D111" s="5" t="n"/>
      <c r="E111" s="14" t="n"/>
      <c r="F111" s="6">
        <f>IF(COUNTA(A111:E111)=0,"",IF(AND(ISNUMBER(D111),ISNUMBER(E111)),ROUND(D111*E111,2),"Check amounts"))</f>
        <v/>
      </c>
      <c r="G111" s="6">
        <f>IF(NOT(ISNUMBER(F111)),"",IF(COUNTIFS(Shops!$A$5:$A$14,B111,Shops!$B$5:$B$14,"&gt;=0",Shops!$B$5:$B$14,"&lt;=1")=0,"Check shop",ROUND(F111*INDEX(Shops!$B$5:$B$14,MATCH(B111,Shops!$A$5:$A$14,0)),2)))</f>
        <v/>
      </c>
      <c r="H111" s="6">
        <f>IF(ISNUMBER(G111),ROUND(F111-G111,2),"")</f>
        <v/>
      </c>
    </row>
    <row r="112">
      <c r="A112" s="13" t="n"/>
      <c r="B112" s="3" t="n"/>
      <c r="C112" s="3" t="n"/>
      <c r="D112" s="5" t="n"/>
      <c r="E112" s="14" t="n"/>
      <c r="F112" s="6">
        <f>IF(COUNTA(A112:E112)=0,"",IF(AND(ISNUMBER(D112),ISNUMBER(E112)),ROUND(D112*E112,2),"Check amounts"))</f>
        <v/>
      </c>
      <c r="G112" s="6">
        <f>IF(NOT(ISNUMBER(F112)),"",IF(COUNTIFS(Shops!$A$5:$A$14,B112,Shops!$B$5:$B$14,"&gt;=0",Shops!$B$5:$B$14,"&lt;=1")=0,"Check shop",ROUND(F112*INDEX(Shops!$B$5:$B$14,MATCH(B112,Shops!$A$5:$A$14,0)),2)))</f>
        <v/>
      </c>
      <c r="H112" s="6">
        <f>IF(ISNUMBER(G112),ROUND(F112-G112,2),"")</f>
        <v/>
      </c>
    </row>
    <row r="113">
      <c r="A113" s="13" t="n"/>
      <c r="B113" s="3" t="n"/>
      <c r="C113" s="3" t="n"/>
      <c r="D113" s="5" t="n"/>
      <c r="E113" s="14" t="n"/>
      <c r="F113" s="6">
        <f>IF(COUNTA(A113:E113)=0,"",IF(AND(ISNUMBER(D113),ISNUMBER(E113)),ROUND(D113*E113,2),"Check amounts"))</f>
        <v/>
      </c>
      <c r="G113" s="6">
        <f>IF(NOT(ISNUMBER(F113)),"",IF(COUNTIFS(Shops!$A$5:$A$14,B113,Shops!$B$5:$B$14,"&gt;=0",Shops!$B$5:$B$14,"&lt;=1")=0,"Check shop",ROUND(F113*INDEX(Shops!$B$5:$B$14,MATCH(B113,Shops!$A$5:$A$14,0)),2)))</f>
        <v/>
      </c>
      <c r="H113" s="6">
        <f>IF(ISNUMBER(G113),ROUND(F113-G113,2),"")</f>
        <v/>
      </c>
    </row>
    <row r="114">
      <c r="A114" s="13" t="n"/>
      <c r="B114" s="3" t="n"/>
      <c r="C114" s="3" t="n"/>
      <c r="D114" s="5" t="n"/>
      <c r="E114" s="14" t="n"/>
      <c r="F114" s="6">
        <f>IF(COUNTA(A114:E114)=0,"",IF(AND(ISNUMBER(D114),ISNUMBER(E114)),ROUND(D114*E114,2),"Check amounts"))</f>
        <v/>
      </c>
      <c r="G114" s="6">
        <f>IF(NOT(ISNUMBER(F114)),"",IF(COUNTIFS(Shops!$A$5:$A$14,B114,Shops!$B$5:$B$14,"&gt;=0",Shops!$B$5:$B$14,"&lt;=1")=0,"Check shop",ROUND(F114*INDEX(Shops!$B$5:$B$14,MATCH(B114,Shops!$A$5:$A$14,0)),2)))</f>
        <v/>
      </c>
      <c r="H114" s="6">
        <f>IF(ISNUMBER(G114),ROUND(F114-G114,2),"")</f>
        <v/>
      </c>
    </row>
    <row r="115">
      <c r="A115" s="13" t="n"/>
      <c r="B115" s="3" t="n"/>
      <c r="C115" s="3" t="n"/>
      <c r="D115" s="5" t="n"/>
      <c r="E115" s="14" t="n"/>
      <c r="F115" s="6">
        <f>IF(COUNTA(A115:E115)=0,"",IF(AND(ISNUMBER(D115),ISNUMBER(E115)),ROUND(D115*E115,2),"Check amounts"))</f>
        <v/>
      </c>
      <c r="G115" s="6">
        <f>IF(NOT(ISNUMBER(F115)),"",IF(COUNTIFS(Shops!$A$5:$A$14,B115,Shops!$B$5:$B$14,"&gt;=0",Shops!$B$5:$B$14,"&lt;=1")=0,"Check shop",ROUND(F115*INDEX(Shops!$B$5:$B$14,MATCH(B115,Shops!$A$5:$A$14,0)),2)))</f>
        <v/>
      </c>
      <c r="H115" s="6">
        <f>IF(ISNUMBER(G115),ROUND(F115-G115,2),"")</f>
        <v/>
      </c>
    </row>
    <row r="116">
      <c r="A116" s="13" t="n"/>
      <c r="B116" s="3" t="n"/>
      <c r="C116" s="3" t="n"/>
      <c r="D116" s="5" t="n"/>
      <c r="E116" s="14" t="n"/>
      <c r="F116" s="6">
        <f>IF(COUNTA(A116:E116)=0,"",IF(AND(ISNUMBER(D116),ISNUMBER(E116)),ROUND(D116*E116,2),"Check amounts"))</f>
        <v/>
      </c>
      <c r="G116" s="6">
        <f>IF(NOT(ISNUMBER(F116)),"",IF(COUNTIFS(Shops!$A$5:$A$14,B116,Shops!$B$5:$B$14,"&gt;=0",Shops!$B$5:$B$14,"&lt;=1")=0,"Check shop",ROUND(F116*INDEX(Shops!$B$5:$B$14,MATCH(B116,Shops!$A$5:$A$14,0)),2)))</f>
        <v/>
      </c>
      <c r="H116" s="6">
        <f>IF(ISNUMBER(G116),ROUND(F116-G116,2),"")</f>
        <v/>
      </c>
    </row>
    <row r="117">
      <c r="A117" s="13" t="n"/>
      <c r="B117" s="3" t="n"/>
      <c r="C117" s="3" t="n"/>
      <c r="D117" s="5" t="n"/>
      <c r="E117" s="14" t="n"/>
      <c r="F117" s="6">
        <f>IF(COUNTA(A117:E117)=0,"",IF(AND(ISNUMBER(D117),ISNUMBER(E117)),ROUND(D117*E117,2),"Check amounts"))</f>
        <v/>
      </c>
      <c r="G117" s="6">
        <f>IF(NOT(ISNUMBER(F117)),"",IF(COUNTIFS(Shops!$A$5:$A$14,B117,Shops!$B$5:$B$14,"&gt;=0",Shops!$B$5:$B$14,"&lt;=1")=0,"Check shop",ROUND(F117*INDEX(Shops!$B$5:$B$14,MATCH(B117,Shops!$A$5:$A$14,0)),2)))</f>
        <v/>
      </c>
      <c r="H117" s="6">
        <f>IF(ISNUMBER(G117),ROUND(F117-G117,2),"")</f>
        <v/>
      </c>
    </row>
    <row r="118">
      <c r="A118" s="13" t="n"/>
      <c r="B118" s="3" t="n"/>
      <c r="C118" s="3" t="n"/>
      <c r="D118" s="5" t="n"/>
      <c r="E118" s="14" t="n"/>
      <c r="F118" s="6">
        <f>IF(COUNTA(A118:E118)=0,"",IF(AND(ISNUMBER(D118),ISNUMBER(E118)),ROUND(D118*E118,2),"Check amounts"))</f>
        <v/>
      </c>
      <c r="G118" s="6">
        <f>IF(NOT(ISNUMBER(F118)),"",IF(COUNTIFS(Shops!$A$5:$A$14,B118,Shops!$B$5:$B$14,"&gt;=0",Shops!$B$5:$B$14,"&lt;=1")=0,"Check shop",ROUND(F118*INDEX(Shops!$B$5:$B$14,MATCH(B118,Shops!$A$5:$A$14,0)),2)))</f>
        <v/>
      </c>
      <c r="H118" s="6">
        <f>IF(ISNUMBER(G118),ROUND(F118-G118,2),"")</f>
        <v/>
      </c>
    </row>
    <row r="119">
      <c r="A119" s="13" t="n"/>
      <c r="B119" s="3" t="n"/>
      <c r="C119" s="3" t="n"/>
      <c r="D119" s="5" t="n"/>
      <c r="E119" s="14" t="n"/>
      <c r="F119" s="6">
        <f>IF(COUNTA(A119:E119)=0,"",IF(AND(ISNUMBER(D119),ISNUMBER(E119)),ROUND(D119*E119,2),"Check amounts"))</f>
        <v/>
      </c>
      <c r="G119" s="6">
        <f>IF(NOT(ISNUMBER(F119)),"",IF(COUNTIFS(Shops!$A$5:$A$14,B119,Shops!$B$5:$B$14,"&gt;=0",Shops!$B$5:$B$14,"&lt;=1")=0,"Check shop",ROUND(F119*INDEX(Shops!$B$5:$B$14,MATCH(B119,Shops!$A$5:$A$14,0)),2)))</f>
        <v/>
      </c>
      <c r="H119" s="6">
        <f>IF(ISNUMBER(G119),ROUND(F119-G119,2),"")</f>
        <v/>
      </c>
    </row>
    <row r="120">
      <c r="A120" s="13" t="n"/>
      <c r="B120" s="3" t="n"/>
      <c r="C120" s="3" t="n"/>
      <c r="D120" s="5" t="n"/>
      <c r="E120" s="14" t="n"/>
      <c r="F120" s="6">
        <f>IF(COUNTA(A120:E120)=0,"",IF(AND(ISNUMBER(D120),ISNUMBER(E120)),ROUND(D120*E120,2),"Check amounts"))</f>
        <v/>
      </c>
      <c r="G120" s="6">
        <f>IF(NOT(ISNUMBER(F120)),"",IF(COUNTIFS(Shops!$A$5:$A$14,B120,Shops!$B$5:$B$14,"&gt;=0",Shops!$B$5:$B$14,"&lt;=1")=0,"Check shop",ROUND(F120*INDEX(Shops!$B$5:$B$14,MATCH(B120,Shops!$A$5:$A$14,0)),2)))</f>
        <v/>
      </c>
      <c r="H120" s="6">
        <f>IF(ISNUMBER(G120),ROUND(F120-G120,2),"")</f>
        <v/>
      </c>
    </row>
    <row r="121">
      <c r="A121" s="13" t="n"/>
      <c r="B121" s="3" t="n"/>
      <c r="C121" s="3" t="n"/>
      <c r="D121" s="5" t="n"/>
      <c r="E121" s="14" t="n"/>
      <c r="F121" s="6">
        <f>IF(COUNTA(A121:E121)=0,"",IF(AND(ISNUMBER(D121),ISNUMBER(E121)),ROUND(D121*E121,2),"Check amounts"))</f>
        <v/>
      </c>
      <c r="G121" s="6">
        <f>IF(NOT(ISNUMBER(F121)),"",IF(COUNTIFS(Shops!$A$5:$A$14,B121,Shops!$B$5:$B$14,"&gt;=0",Shops!$B$5:$B$14,"&lt;=1")=0,"Check shop",ROUND(F121*INDEX(Shops!$B$5:$B$14,MATCH(B121,Shops!$A$5:$A$14,0)),2)))</f>
        <v/>
      </c>
      <c r="H121" s="6">
        <f>IF(ISNUMBER(G121),ROUND(F121-G121,2),"")</f>
        <v/>
      </c>
    </row>
    <row r="122">
      <c r="A122" s="13" t="n"/>
      <c r="B122" s="3" t="n"/>
      <c r="C122" s="3" t="n"/>
      <c r="D122" s="5" t="n"/>
      <c r="E122" s="14" t="n"/>
      <c r="F122" s="6">
        <f>IF(COUNTA(A122:E122)=0,"",IF(AND(ISNUMBER(D122),ISNUMBER(E122)),ROUND(D122*E122,2),"Check amounts"))</f>
        <v/>
      </c>
      <c r="G122" s="6">
        <f>IF(NOT(ISNUMBER(F122)),"",IF(COUNTIFS(Shops!$A$5:$A$14,B122,Shops!$B$5:$B$14,"&gt;=0",Shops!$B$5:$B$14,"&lt;=1")=0,"Check shop",ROUND(F122*INDEX(Shops!$B$5:$B$14,MATCH(B122,Shops!$A$5:$A$14,0)),2)))</f>
        <v/>
      </c>
      <c r="H122" s="6">
        <f>IF(ISNUMBER(G122),ROUND(F122-G122,2),"")</f>
        <v/>
      </c>
    </row>
    <row r="123">
      <c r="A123" s="13" t="n"/>
      <c r="B123" s="3" t="n"/>
      <c r="C123" s="3" t="n"/>
      <c r="D123" s="5" t="n"/>
      <c r="E123" s="14" t="n"/>
      <c r="F123" s="6">
        <f>IF(COUNTA(A123:E123)=0,"",IF(AND(ISNUMBER(D123),ISNUMBER(E123)),ROUND(D123*E123,2),"Check amounts"))</f>
        <v/>
      </c>
      <c r="G123" s="6">
        <f>IF(NOT(ISNUMBER(F123)),"",IF(COUNTIFS(Shops!$A$5:$A$14,B123,Shops!$B$5:$B$14,"&gt;=0",Shops!$B$5:$B$14,"&lt;=1")=0,"Check shop",ROUND(F123*INDEX(Shops!$B$5:$B$14,MATCH(B123,Shops!$A$5:$A$14,0)),2)))</f>
        <v/>
      </c>
      <c r="H123" s="6">
        <f>IF(ISNUMBER(G123),ROUND(F123-G123,2),"")</f>
        <v/>
      </c>
    </row>
    <row r="124">
      <c r="A124" s="13" t="n"/>
      <c r="B124" s="3" t="n"/>
      <c r="C124" s="3" t="n"/>
      <c r="D124" s="5" t="n"/>
      <c r="E124" s="14" t="n"/>
      <c r="F124" s="6">
        <f>IF(COUNTA(A124:E124)=0,"",IF(AND(ISNUMBER(D124),ISNUMBER(E124)),ROUND(D124*E124,2),"Check amounts"))</f>
        <v/>
      </c>
      <c r="G124" s="6">
        <f>IF(NOT(ISNUMBER(F124)),"",IF(COUNTIFS(Shops!$A$5:$A$14,B124,Shops!$B$5:$B$14,"&gt;=0",Shops!$B$5:$B$14,"&lt;=1")=0,"Check shop",ROUND(F124*INDEX(Shops!$B$5:$B$14,MATCH(B124,Shops!$A$5:$A$14,0)),2)))</f>
        <v/>
      </c>
      <c r="H124" s="6">
        <f>IF(ISNUMBER(G124),ROUND(F124-G124,2),"")</f>
        <v/>
      </c>
    </row>
    <row r="125">
      <c r="A125" s="13" t="n"/>
      <c r="B125" s="3" t="n"/>
      <c r="C125" s="3" t="n"/>
      <c r="D125" s="5" t="n"/>
      <c r="E125" s="14" t="n"/>
      <c r="F125" s="6">
        <f>IF(COUNTA(A125:E125)=0,"",IF(AND(ISNUMBER(D125),ISNUMBER(E125)),ROUND(D125*E125,2),"Check amounts"))</f>
        <v/>
      </c>
      <c r="G125" s="6">
        <f>IF(NOT(ISNUMBER(F125)),"",IF(COUNTIFS(Shops!$A$5:$A$14,B125,Shops!$B$5:$B$14,"&gt;=0",Shops!$B$5:$B$14,"&lt;=1")=0,"Check shop",ROUND(F125*INDEX(Shops!$B$5:$B$14,MATCH(B125,Shops!$A$5:$A$14,0)),2)))</f>
        <v/>
      </c>
      <c r="H125" s="6">
        <f>IF(ISNUMBER(G125),ROUND(F125-G125,2),"")</f>
        <v/>
      </c>
    </row>
    <row r="126">
      <c r="A126" s="13" t="n"/>
      <c r="B126" s="3" t="n"/>
      <c r="C126" s="3" t="n"/>
      <c r="D126" s="5" t="n"/>
      <c r="E126" s="14" t="n"/>
      <c r="F126" s="6">
        <f>IF(COUNTA(A126:E126)=0,"",IF(AND(ISNUMBER(D126),ISNUMBER(E126)),ROUND(D126*E126,2),"Check amounts"))</f>
        <v/>
      </c>
      <c r="G126" s="6">
        <f>IF(NOT(ISNUMBER(F126)),"",IF(COUNTIFS(Shops!$A$5:$A$14,B126,Shops!$B$5:$B$14,"&gt;=0",Shops!$B$5:$B$14,"&lt;=1")=0,"Check shop",ROUND(F126*INDEX(Shops!$B$5:$B$14,MATCH(B126,Shops!$A$5:$A$14,0)),2)))</f>
        <v/>
      </c>
      <c r="H126" s="6">
        <f>IF(ISNUMBER(G126),ROUND(F126-G126,2),"")</f>
        <v/>
      </c>
    </row>
    <row r="127">
      <c r="A127" s="13" t="n"/>
      <c r="B127" s="3" t="n"/>
      <c r="C127" s="3" t="n"/>
      <c r="D127" s="5" t="n"/>
      <c r="E127" s="14" t="n"/>
      <c r="F127" s="6">
        <f>IF(COUNTA(A127:E127)=0,"",IF(AND(ISNUMBER(D127),ISNUMBER(E127)),ROUND(D127*E127,2),"Check amounts"))</f>
        <v/>
      </c>
      <c r="G127" s="6">
        <f>IF(NOT(ISNUMBER(F127)),"",IF(COUNTIFS(Shops!$A$5:$A$14,B127,Shops!$B$5:$B$14,"&gt;=0",Shops!$B$5:$B$14,"&lt;=1")=0,"Check shop",ROUND(F127*INDEX(Shops!$B$5:$B$14,MATCH(B127,Shops!$A$5:$A$14,0)),2)))</f>
        <v/>
      </c>
      <c r="H127" s="6">
        <f>IF(ISNUMBER(G127),ROUND(F127-G127,2),"")</f>
        <v/>
      </c>
    </row>
    <row r="128">
      <c r="A128" s="13" t="n"/>
      <c r="B128" s="3" t="n"/>
      <c r="C128" s="3" t="n"/>
      <c r="D128" s="5" t="n"/>
      <c r="E128" s="14" t="n"/>
      <c r="F128" s="6">
        <f>IF(COUNTA(A128:E128)=0,"",IF(AND(ISNUMBER(D128),ISNUMBER(E128)),ROUND(D128*E128,2),"Check amounts"))</f>
        <v/>
      </c>
      <c r="G128" s="6">
        <f>IF(NOT(ISNUMBER(F128)),"",IF(COUNTIFS(Shops!$A$5:$A$14,B128,Shops!$B$5:$B$14,"&gt;=0",Shops!$B$5:$B$14,"&lt;=1")=0,"Check shop",ROUND(F128*INDEX(Shops!$B$5:$B$14,MATCH(B128,Shops!$A$5:$A$14,0)),2)))</f>
        <v/>
      </c>
      <c r="H128" s="6">
        <f>IF(ISNUMBER(G128),ROUND(F128-G128,2),"")</f>
        <v/>
      </c>
    </row>
    <row r="129">
      <c r="A129" s="13" t="n"/>
      <c r="B129" s="3" t="n"/>
      <c r="C129" s="3" t="n"/>
      <c r="D129" s="5" t="n"/>
      <c r="E129" s="14" t="n"/>
      <c r="F129" s="6">
        <f>IF(COUNTA(A129:E129)=0,"",IF(AND(ISNUMBER(D129),ISNUMBER(E129)),ROUND(D129*E129,2),"Check amounts"))</f>
        <v/>
      </c>
      <c r="G129" s="6">
        <f>IF(NOT(ISNUMBER(F129)),"",IF(COUNTIFS(Shops!$A$5:$A$14,B129,Shops!$B$5:$B$14,"&gt;=0",Shops!$B$5:$B$14,"&lt;=1")=0,"Check shop",ROUND(F129*INDEX(Shops!$B$5:$B$14,MATCH(B129,Shops!$A$5:$A$14,0)),2)))</f>
        <v/>
      </c>
      <c r="H129" s="6">
        <f>IF(ISNUMBER(G129),ROUND(F129-G129,2),"")</f>
        <v/>
      </c>
    </row>
    <row r="130">
      <c r="A130" s="13" t="n"/>
      <c r="B130" s="3" t="n"/>
      <c r="C130" s="3" t="n"/>
      <c r="D130" s="5" t="n"/>
      <c r="E130" s="14" t="n"/>
      <c r="F130" s="6">
        <f>IF(COUNTA(A130:E130)=0,"",IF(AND(ISNUMBER(D130),ISNUMBER(E130)),ROUND(D130*E130,2),"Check amounts"))</f>
        <v/>
      </c>
      <c r="G130" s="6">
        <f>IF(NOT(ISNUMBER(F130)),"",IF(COUNTIFS(Shops!$A$5:$A$14,B130,Shops!$B$5:$B$14,"&gt;=0",Shops!$B$5:$B$14,"&lt;=1")=0,"Check shop",ROUND(F130*INDEX(Shops!$B$5:$B$14,MATCH(B130,Shops!$A$5:$A$14,0)),2)))</f>
        <v/>
      </c>
      <c r="H130" s="6">
        <f>IF(ISNUMBER(G130),ROUND(F130-G130,2),"")</f>
        <v/>
      </c>
    </row>
    <row r="131">
      <c r="A131" s="13" t="n"/>
      <c r="B131" s="3" t="n"/>
      <c r="C131" s="3" t="n"/>
      <c r="D131" s="5" t="n"/>
      <c r="E131" s="14" t="n"/>
      <c r="F131" s="6">
        <f>IF(COUNTA(A131:E131)=0,"",IF(AND(ISNUMBER(D131),ISNUMBER(E131)),ROUND(D131*E131,2),"Check amounts"))</f>
        <v/>
      </c>
      <c r="G131" s="6">
        <f>IF(NOT(ISNUMBER(F131)),"",IF(COUNTIFS(Shops!$A$5:$A$14,B131,Shops!$B$5:$B$14,"&gt;=0",Shops!$B$5:$B$14,"&lt;=1")=0,"Check shop",ROUND(F131*INDEX(Shops!$B$5:$B$14,MATCH(B131,Shops!$A$5:$A$14,0)),2)))</f>
        <v/>
      </c>
      <c r="H131" s="6">
        <f>IF(ISNUMBER(G131),ROUND(F131-G131,2),"")</f>
        <v/>
      </c>
    </row>
    <row r="132">
      <c r="A132" s="13" t="n"/>
      <c r="B132" s="3" t="n"/>
      <c r="C132" s="3" t="n"/>
      <c r="D132" s="5" t="n"/>
      <c r="E132" s="14" t="n"/>
      <c r="F132" s="6">
        <f>IF(COUNTA(A132:E132)=0,"",IF(AND(ISNUMBER(D132),ISNUMBER(E132)),ROUND(D132*E132,2),"Check amounts"))</f>
        <v/>
      </c>
      <c r="G132" s="6">
        <f>IF(NOT(ISNUMBER(F132)),"",IF(COUNTIFS(Shops!$A$5:$A$14,B132,Shops!$B$5:$B$14,"&gt;=0",Shops!$B$5:$B$14,"&lt;=1")=0,"Check shop",ROUND(F132*INDEX(Shops!$B$5:$B$14,MATCH(B132,Shops!$A$5:$A$14,0)),2)))</f>
        <v/>
      </c>
      <c r="H132" s="6">
        <f>IF(ISNUMBER(G132),ROUND(F132-G132,2),"")</f>
        <v/>
      </c>
    </row>
    <row r="133">
      <c r="A133" s="13" t="n"/>
      <c r="B133" s="3" t="n"/>
      <c r="C133" s="3" t="n"/>
      <c r="D133" s="5" t="n"/>
      <c r="E133" s="14" t="n"/>
      <c r="F133" s="6">
        <f>IF(COUNTA(A133:E133)=0,"",IF(AND(ISNUMBER(D133),ISNUMBER(E133)),ROUND(D133*E133,2),"Check amounts"))</f>
        <v/>
      </c>
      <c r="G133" s="6">
        <f>IF(NOT(ISNUMBER(F133)),"",IF(COUNTIFS(Shops!$A$5:$A$14,B133,Shops!$B$5:$B$14,"&gt;=0",Shops!$B$5:$B$14,"&lt;=1")=0,"Check shop",ROUND(F133*INDEX(Shops!$B$5:$B$14,MATCH(B133,Shops!$A$5:$A$14,0)),2)))</f>
        <v/>
      </c>
      <c r="H133" s="6">
        <f>IF(ISNUMBER(G133),ROUND(F133-G133,2),"")</f>
        <v/>
      </c>
    </row>
    <row r="134">
      <c r="A134" s="13" t="n"/>
      <c r="B134" s="3" t="n"/>
      <c r="C134" s="3" t="n"/>
      <c r="D134" s="5" t="n"/>
      <c r="E134" s="14" t="n"/>
      <c r="F134" s="6">
        <f>IF(COUNTA(A134:E134)=0,"",IF(AND(ISNUMBER(D134),ISNUMBER(E134)),ROUND(D134*E134,2),"Check amounts"))</f>
        <v/>
      </c>
      <c r="G134" s="6">
        <f>IF(NOT(ISNUMBER(F134)),"",IF(COUNTIFS(Shops!$A$5:$A$14,B134,Shops!$B$5:$B$14,"&gt;=0",Shops!$B$5:$B$14,"&lt;=1")=0,"Check shop",ROUND(F134*INDEX(Shops!$B$5:$B$14,MATCH(B134,Shops!$A$5:$A$14,0)),2)))</f>
        <v/>
      </c>
      <c r="H134" s="6">
        <f>IF(ISNUMBER(G134),ROUND(F134-G134,2),"")</f>
        <v/>
      </c>
    </row>
    <row r="135">
      <c r="A135" s="13" t="n"/>
      <c r="B135" s="3" t="n"/>
      <c r="C135" s="3" t="n"/>
      <c r="D135" s="5" t="n"/>
      <c r="E135" s="14" t="n"/>
      <c r="F135" s="6">
        <f>IF(COUNTA(A135:E135)=0,"",IF(AND(ISNUMBER(D135),ISNUMBER(E135)),ROUND(D135*E135,2),"Check amounts"))</f>
        <v/>
      </c>
      <c r="G135" s="6">
        <f>IF(NOT(ISNUMBER(F135)),"",IF(COUNTIFS(Shops!$A$5:$A$14,B135,Shops!$B$5:$B$14,"&gt;=0",Shops!$B$5:$B$14,"&lt;=1")=0,"Check shop",ROUND(F135*INDEX(Shops!$B$5:$B$14,MATCH(B135,Shops!$A$5:$A$14,0)),2)))</f>
        <v/>
      </c>
      <c r="H135" s="6">
        <f>IF(ISNUMBER(G135),ROUND(F135-G135,2),"")</f>
        <v/>
      </c>
    </row>
    <row r="136">
      <c r="A136" s="13" t="n"/>
      <c r="B136" s="3" t="n"/>
      <c r="C136" s="3" t="n"/>
      <c r="D136" s="5" t="n"/>
      <c r="E136" s="14" t="n"/>
      <c r="F136" s="6">
        <f>IF(COUNTA(A136:E136)=0,"",IF(AND(ISNUMBER(D136),ISNUMBER(E136)),ROUND(D136*E136,2),"Check amounts"))</f>
        <v/>
      </c>
      <c r="G136" s="6">
        <f>IF(NOT(ISNUMBER(F136)),"",IF(COUNTIFS(Shops!$A$5:$A$14,B136,Shops!$B$5:$B$14,"&gt;=0",Shops!$B$5:$B$14,"&lt;=1")=0,"Check shop",ROUND(F136*INDEX(Shops!$B$5:$B$14,MATCH(B136,Shops!$A$5:$A$14,0)),2)))</f>
        <v/>
      </c>
      <c r="H136" s="6">
        <f>IF(ISNUMBER(G136),ROUND(F136-G136,2),"")</f>
        <v/>
      </c>
    </row>
    <row r="137">
      <c r="A137" s="13" t="n"/>
      <c r="B137" s="3" t="n"/>
      <c r="C137" s="3" t="n"/>
      <c r="D137" s="5" t="n"/>
      <c r="E137" s="14" t="n"/>
      <c r="F137" s="6">
        <f>IF(COUNTA(A137:E137)=0,"",IF(AND(ISNUMBER(D137),ISNUMBER(E137)),ROUND(D137*E137,2),"Check amounts"))</f>
        <v/>
      </c>
      <c r="G137" s="6">
        <f>IF(NOT(ISNUMBER(F137)),"",IF(COUNTIFS(Shops!$A$5:$A$14,B137,Shops!$B$5:$B$14,"&gt;=0",Shops!$B$5:$B$14,"&lt;=1")=0,"Check shop",ROUND(F137*INDEX(Shops!$B$5:$B$14,MATCH(B137,Shops!$A$5:$A$14,0)),2)))</f>
        <v/>
      </c>
      <c r="H137" s="6">
        <f>IF(ISNUMBER(G137),ROUND(F137-G137,2),"")</f>
        <v/>
      </c>
    </row>
    <row r="138">
      <c r="A138" s="13" t="n"/>
      <c r="B138" s="3" t="n"/>
      <c r="C138" s="3" t="n"/>
      <c r="D138" s="5" t="n"/>
      <c r="E138" s="14" t="n"/>
      <c r="F138" s="6">
        <f>IF(COUNTA(A138:E138)=0,"",IF(AND(ISNUMBER(D138),ISNUMBER(E138)),ROUND(D138*E138,2),"Check amounts"))</f>
        <v/>
      </c>
      <c r="G138" s="6">
        <f>IF(NOT(ISNUMBER(F138)),"",IF(COUNTIFS(Shops!$A$5:$A$14,B138,Shops!$B$5:$B$14,"&gt;=0",Shops!$B$5:$B$14,"&lt;=1")=0,"Check shop",ROUND(F138*INDEX(Shops!$B$5:$B$14,MATCH(B138,Shops!$A$5:$A$14,0)),2)))</f>
        <v/>
      </c>
      <c r="H138" s="6">
        <f>IF(ISNUMBER(G138),ROUND(F138-G138,2),"")</f>
        <v/>
      </c>
    </row>
    <row r="139">
      <c r="A139" s="13" t="n"/>
      <c r="B139" s="3" t="n"/>
      <c r="C139" s="3" t="n"/>
      <c r="D139" s="5" t="n"/>
      <c r="E139" s="14" t="n"/>
      <c r="F139" s="6">
        <f>IF(COUNTA(A139:E139)=0,"",IF(AND(ISNUMBER(D139),ISNUMBER(E139)),ROUND(D139*E139,2),"Check amounts"))</f>
        <v/>
      </c>
      <c r="G139" s="6">
        <f>IF(NOT(ISNUMBER(F139)),"",IF(COUNTIFS(Shops!$A$5:$A$14,B139,Shops!$B$5:$B$14,"&gt;=0",Shops!$B$5:$B$14,"&lt;=1")=0,"Check shop",ROUND(F139*INDEX(Shops!$B$5:$B$14,MATCH(B139,Shops!$A$5:$A$14,0)),2)))</f>
        <v/>
      </c>
      <c r="H139" s="6">
        <f>IF(ISNUMBER(G139),ROUND(F139-G139,2),"")</f>
        <v/>
      </c>
    </row>
    <row r="140">
      <c r="A140" s="13" t="n"/>
      <c r="B140" s="3" t="n"/>
      <c r="C140" s="3" t="n"/>
      <c r="D140" s="5" t="n"/>
      <c r="E140" s="14" t="n"/>
      <c r="F140" s="6">
        <f>IF(COUNTA(A140:E140)=0,"",IF(AND(ISNUMBER(D140),ISNUMBER(E140)),ROUND(D140*E140,2),"Check amounts"))</f>
        <v/>
      </c>
      <c r="G140" s="6">
        <f>IF(NOT(ISNUMBER(F140)),"",IF(COUNTIFS(Shops!$A$5:$A$14,B140,Shops!$B$5:$B$14,"&gt;=0",Shops!$B$5:$B$14,"&lt;=1")=0,"Check shop",ROUND(F140*INDEX(Shops!$B$5:$B$14,MATCH(B140,Shops!$A$5:$A$14,0)),2)))</f>
        <v/>
      </c>
      <c r="H140" s="6">
        <f>IF(ISNUMBER(G140),ROUND(F140-G140,2),"")</f>
        <v/>
      </c>
    </row>
    <row r="141">
      <c r="A141" s="13" t="n"/>
      <c r="B141" s="3" t="n"/>
      <c r="C141" s="3" t="n"/>
      <c r="D141" s="5" t="n"/>
      <c r="E141" s="14" t="n"/>
      <c r="F141" s="6">
        <f>IF(COUNTA(A141:E141)=0,"",IF(AND(ISNUMBER(D141),ISNUMBER(E141)),ROUND(D141*E141,2),"Check amounts"))</f>
        <v/>
      </c>
      <c r="G141" s="6">
        <f>IF(NOT(ISNUMBER(F141)),"",IF(COUNTIFS(Shops!$A$5:$A$14,B141,Shops!$B$5:$B$14,"&gt;=0",Shops!$B$5:$B$14,"&lt;=1")=0,"Check shop",ROUND(F141*INDEX(Shops!$B$5:$B$14,MATCH(B141,Shops!$A$5:$A$14,0)),2)))</f>
        <v/>
      </c>
      <c r="H141" s="6">
        <f>IF(ISNUMBER(G141),ROUND(F141-G141,2),"")</f>
        <v/>
      </c>
    </row>
    <row r="142">
      <c r="A142" s="13" t="n"/>
      <c r="B142" s="3" t="n"/>
      <c r="C142" s="3" t="n"/>
      <c r="D142" s="5" t="n"/>
      <c r="E142" s="14" t="n"/>
      <c r="F142" s="6">
        <f>IF(COUNTA(A142:E142)=0,"",IF(AND(ISNUMBER(D142),ISNUMBER(E142)),ROUND(D142*E142,2),"Check amounts"))</f>
        <v/>
      </c>
      <c r="G142" s="6">
        <f>IF(NOT(ISNUMBER(F142)),"",IF(COUNTIFS(Shops!$A$5:$A$14,B142,Shops!$B$5:$B$14,"&gt;=0",Shops!$B$5:$B$14,"&lt;=1")=0,"Check shop",ROUND(F142*INDEX(Shops!$B$5:$B$14,MATCH(B142,Shops!$A$5:$A$14,0)),2)))</f>
        <v/>
      </c>
      <c r="H142" s="6">
        <f>IF(ISNUMBER(G142),ROUND(F142-G142,2),"")</f>
        <v/>
      </c>
    </row>
    <row r="143">
      <c r="A143" s="13" t="n"/>
      <c r="B143" s="3" t="n"/>
      <c r="C143" s="3" t="n"/>
      <c r="D143" s="5" t="n"/>
      <c r="E143" s="14" t="n"/>
      <c r="F143" s="6">
        <f>IF(COUNTA(A143:E143)=0,"",IF(AND(ISNUMBER(D143),ISNUMBER(E143)),ROUND(D143*E143,2),"Check amounts"))</f>
        <v/>
      </c>
      <c r="G143" s="6">
        <f>IF(NOT(ISNUMBER(F143)),"",IF(COUNTIFS(Shops!$A$5:$A$14,B143,Shops!$B$5:$B$14,"&gt;=0",Shops!$B$5:$B$14,"&lt;=1")=0,"Check shop",ROUND(F143*INDEX(Shops!$B$5:$B$14,MATCH(B143,Shops!$A$5:$A$14,0)),2)))</f>
        <v/>
      </c>
      <c r="H143" s="6">
        <f>IF(ISNUMBER(G143),ROUND(F143-G143,2),"")</f>
        <v/>
      </c>
    </row>
    <row r="144">
      <c r="A144" s="13" t="n"/>
      <c r="B144" s="3" t="n"/>
      <c r="C144" s="3" t="n"/>
      <c r="D144" s="5" t="n"/>
      <c r="E144" s="14" t="n"/>
      <c r="F144" s="6">
        <f>IF(COUNTA(A144:E144)=0,"",IF(AND(ISNUMBER(D144),ISNUMBER(E144)),ROUND(D144*E144,2),"Check amounts"))</f>
        <v/>
      </c>
      <c r="G144" s="6">
        <f>IF(NOT(ISNUMBER(F144)),"",IF(COUNTIFS(Shops!$A$5:$A$14,B144,Shops!$B$5:$B$14,"&gt;=0",Shops!$B$5:$B$14,"&lt;=1")=0,"Check shop",ROUND(F144*INDEX(Shops!$B$5:$B$14,MATCH(B144,Shops!$A$5:$A$14,0)),2)))</f>
        <v/>
      </c>
      <c r="H144" s="6">
        <f>IF(ISNUMBER(G144),ROUND(F144-G144,2),"")</f>
        <v/>
      </c>
    </row>
    <row r="145">
      <c r="A145" s="13" t="n"/>
      <c r="B145" s="3" t="n"/>
      <c r="C145" s="3" t="n"/>
      <c r="D145" s="5" t="n"/>
      <c r="E145" s="14" t="n"/>
      <c r="F145" s="6">
        <f>IF(COUNTA(A145:E145)=0,"",IF(AND(ISNUMBER(D145),ISNUMBER(E145)),ROUND(D145*E145,2),"Check amounts"))</f>
        <v/>
      </c>
      <c r="G145" s="6">
        <f>IF(NOT(ISNUMBER(F145)),"",IF(COUNTIFS(Shops!$A$5:$A$14,B145,Shops!$B$5:$B$14,"&gt;=0",Shops!$B$5:$B$14,"&lt;=1")=0,"Check shop",ROUND(F145*INDEX(Shops!$B$5:$B$14,MATCH(B145,Shops!$A$5:$A$14,0)),2)))</f>
        <v/>
      </c>
      <c r="H145" s="6">
        <f>IF(ISNUMBER(G145),ROUND(F145-G145,2),"")</f>
        <v/>
      </c>
    </row>
    <row r="146">
      <c r="A146" s="13" t="n"/>
      <c r="B146" s="3" t="n"/>
      <c r="C146" s="3" t="n"/>
      <c r="D146" s="5" t="n"/>
      <c r="E146" s="14" t="n"/>
      <c r="F146" s="6">
        <f>IF(COUNTA(A146:E146)=0,"",IF(AND(ISNUMBER(D146),ISNUMBER(E146)),ROUND(D146*E146,2),"Check amounts"))</f>
        <v/>
      </c>
      <c r="G146" s="6">
        <f>IF(NOT(ISNUMBER(F146)),"",IF(COUNTIFS(Shops!$A$5:$A$14,B146,Shops!$B$5:$B$14,"&gt;=0",Shops!$B$5:$B$14,"&lt;=1")=0,"Check shop",ROUND(F146*INDEX(Shops!$B$5:$B$14,MATCH(B146,Shops!$A$5:$A$14,0)),2)))</f>
        <v/>
      </c>
      <c r="H146" s="6">
        <f>IF(ISNUMBER(G146),ROUND(F146-G146,2),"")</f>
        <v/>
      </c>
    </row>
    <row r="147">
      <c r="A147" s="13" t="n"/>
      <c r="B147" s="3" t="n"/>
      <c r="C147" s="3" t="n"/>
      <c r="D147" s="5" t="n"/>
      <c r="E147" s="14" t="n"/>
      <c r="F147" s="6">
        <f>IF(COUNTA(A147:E147)=0,"",IF(AND(ISNUMBER(D147),ISNUMBER(E147)),ROUND(D147*E147,2),"Check amounts"))</f>
        <v/>
      </c>
      <c r="G147" s="6">
        <f>IF(NOT(ISNUMBER(F147)),"",IF(COUNTIFS(Shops!$A$5:$A$14,B147,Shops!$B$5:$B$14,"&gt;=0",Shops!$B$5:$B$14,"&lt;=1")=0,"Check shop",ROUND(F147*INDEX(Shops!$B$5:$B$14,MATCH(B147,Shops!$A$5:$A$14,0)),2)))</f>
        <v/>
      </c>
      <c r="H147" s="6">
        <f>IF(ISNUMBER(G147),ROUND(F147-G147,2),"")</f>
        <v/>
      </c>
    </row>
    <row r="148">
      <c r="A148" s="13" t="n"/>
      <c r="B148" s="3" t="n"/>
      <c r="C148" s="3" t="n"/>
      <c r="D148" s="5" t="n"/>
      <c r="E148" s="14" t="n"/>
      <c r="F148" s="6">
        <f>IF(COUNTA(A148:E148)=0,"",IF(AND(ISNUMBER(D148),ISNUMBER(E148)),ROUND(D148*E148,2),"Check amounts"))</f>
        <v/>
      </c>
      <c r="G148" s="6">
        <f>IF(NOT(ISNUMBER(F148)),"",IF(COUNTIFS(Shops!$A$5:$A$14,B148,Shops!$B$5:$B$14,"&gt;=0",Shops!$B$5:$B$14,"&lt;=1")=0,"Check shop",ROUND(F148*INDEX(Shops!$B$5:$B$14,MATCH(B148,Shops!$A$5:$A$14,0)),2)))</f>
        <v/>
      </c>
      <c r="H148" s="6">
        <f>IF(ISNUMBER(G148),ROUND(F148-G148,2),"")</f>
        <v/>
      </c>
    </row>
    <row r="149">
      <c r="A149" s="13" t="n"/>
      <c r="B149" s="3" t="n"/>
      <c r="C149" s="3" t="n"/>
      <c r="D149" s="5" t="n"/>
      <c r="E149" s="14" t="n"/>
      <c r="F149" s="6">
        <f>IF(COUNTA(A149:E149)=0,"",IF(AND(ISNUMBER(D149),ISNUMBER(E149)),ROUND(D149*E149,2),"Check amounts"))</f>
        <v/>
      </c>
      <c r="G149" s="6">
        <f>IF(NOT(ISNUMBER(F149)),"",IF(COUNTIFS(Shops!$A$5:$A$14,B149,Shops!$B$5:$B$14,"&gt;=0",Shops!$B$5:$B$14,"&lt;=1")=0,"Check shop",ROUND(F149*INDEX(Shops!$B$5:$B$14,MATCH(B149,Shops!$A$5:$A$14,0)),2)))</f>
        <v/>
      </c>
      <c r="H149" s="6">
        <f>IF(ISNUMBER(G149),ROUND(F149-G149,2),"")</f>
        <v/>
      </c>
    </row>
    <row r="150">
      <c r="A150" s="13" t="n"/>
      <c r="B150" s="3" t="n"/>
      <c r="C150" s="3" t="n"/>
      <c r="D150" s="5" t="n"/>
      <c r="E150" s="14" t="n"/>
      <c r="F150" s="6">
        <f>IF(COUNTA(A150:E150)=0,"",IF(AND(ISNUMBER(D150),ISNUMBER(E150)),ROUND(D150*E150,2),"Check amounts"))</f>
        <v/>
      </c>
      <c r="G150" s="6">
        <f>IF(NOT(ISNUMBER(F150)),"",IF(COUNTIFS(Shops!$A$5:$A$14,B150,Shops!$B$5:$B$14,"&gt;=0",Shops!$B$5:$B$14,"&lt;=1")=0,"Check shop",ROUND(F150*INDEX(Shops!$B$5:$B$14,MATCH(B150,Shops!$A$5:$A$14,0)),2)))</f>
        <v/>
      </c>
      <c r="H150" s="6">
        <f>IF(ISNUMBER(G150),ROUND(F150-G150,2),"")</f>
        <v/>
      </c>
    </row>
    <row r="151">
      <c r="A151" s="13" t="n"/>
      <c r="B151" s="3" t="n"/>
      <c r="C151" s="3" t="n"/>
      <c r="D151" s="5" t="n"/>
      <c r="E151" s="14" t="n"/>
      <c r="F151" s="6">
        <f>IF(COUNTA(A151:E151)=0,"",IF(AND(ISNUMBER(D151),ISNUMBER(E151)),ROUND(D151*E151,2),"Check amounts"))</f>
        <v/>
      </c>
      <c r="G151" s="6">
        <f>IF(NOT(ISNUMBER(F151)),"",IF(COUNTIFS(Shops!$A$5:$A$14,B151,Shops!$B$5:$B$14,"&gt;=0",Shops!$B$5:$B$14,"&lt;=1")=0,"Check shop",ROUND(F151*INDEX(Shops!$B$5:$B$14,MATCH(B151,Shops!$A$5:$A$14,0)),2)))</f>
        <v/>
      </c>
      <c r="H151" s="6">
        <f>IF(ISNUMBER(G151),ROUND(F151-G151,2),"")</f>
        <v/>
      </c>
    </row>
    <row r="152">
      <c r="A152" s="13" t="n"/>
      <c r="B152" s="3" t="n"/>
      <c r="C152" s="3" t="n"/>
      <c r="D152" s="5" t="n"/>
      <c r="E152" s="14" t="n"/>
      <c r="F152" s="6">
        <f>IF(COUNTA(A152:E152)=0,"",IF(AND(ISNUMBER(D152),ISNUMBER(E152)),ROUND(D152*E152,2),"Check amounts"))</f>
        <v/>
      </c>
      <c r="G152" s="6">
        <f>IF(NOT(ISNUMBER(F152)),"",IF(COUNTIFS(Shops!$A$5:$A$14,B152,Shops!$B$5:$B$14,"&gt;=0",Shops!$B$5:$B$14,"&lt;=1")=0,"Check shop",ROUND(F152*INDEX(Shops!$B$5:$B$14,MATCH(B152,Shops!$A$5:$A$14,0)),2)))</f>
        <v/>
      </c>
      <c r="H152" s="6">
        <f>IF(ISNUMBER(G152),ROUND(F152-G152,2),"")</f>
        <v/>
      </c>
    </row>
    <row r="153">
      <c r="A153" s="13" t="n"/>
      <c r="B153" s="3" t="n"/>
      <c r="C153" s="3" t="n"/>
      <c r="D153" s="5" t="n"/>
      <c r="E153" s="14" t="n"/>
      <c r="F153" s="6">
        <f>IF(COUNTA(A153:E153)=0,"",IF(AND(ISNUMBER(D153),ISNUMBER(E153)),ROUND(D153*E153,2),"Check amounts"))</f>
        <v/>
      </c>
      <c r="G153" s="6">
        <f>IF(NOT(ISNUMBER(F153)),"",IF(COUNTIFS(Shops!$A$5:$A$14,B153,Shops!$B$5:$B$14,"&gt;=0",Shops!$B$5:$B$14,"&lt;=1")=0,"Check shop",ROUND(F153*INDEX(Shops!$B$5:$B$14,MATCH(B153,Shops!$A$5:$A$14,0)),2)))</f>
        <v/>
      </c>
      <c r="H153" s="6">
        <f>IF(ISNUMBER(G153),ROUND(F153-G153,2),"")</f>
        <v/>
      </c>
    </row>
    <row r="154">
      <c r="A154" s="13" t="n"/>
      <c r="B154" s="3" t="n"/>
      <c r="C154" s="3" t="n"/>
      <c r="D154" s="5" t="n"/>
      <c r="E154" s="14" t="n"/>
      <c r="F154" s="6">
        <f>IF(COUNTA(A154:E154)=0,"",IF(AND(ISNUMBER(D154),ISNUMBER(E154)),ROUND(D154*E154,2),"Check amounts"))</f>
        <v/>
      </c>
      <c r="G154" s="6">
        <f>IF(NOT(ISNUMBER(F154)),"",IF(COUNTIFS(Shops!$A$5:$A$14,B154,Shops!$B$5:$B$14,"&gt;=0",Shops!$B$5:$B$14,"&lt;=1")=0,"Check shop",ROUND(F154*INDEX(Shops!$B$5:$B$14,MATCH(B154,Shops!$A$5:$A$14,0)),2)))</f>
        <v/>
      </c>
      <c r="H154" s="6">
        <f>IF(ISNUMBER(G154),ROUND(F154-G154,2),"")</f>
        <v/>
      </c>
    </row>
    <row r="155">
      <c r="A155" s="13" t="n"/>
      <c r="B155" s="3" t="n"/>
      <c r="C155" s="3" t="n"/>
      <c r="D155" s="5" t="n"/>
      <c r="E155" s="14" t="n"/>
      <c r="F155" s="6">
        <f>IF(COUNTA(A155:E155)=0,"",IF(AND(ISNUMBER(D155),ISNUMBER(E155)),ROUND(D155*E155,2),"Check amounts"))</f>
        <v/>
      </c>
      <c r="G155" s="6">
        <f>IF(NOT(ISNUMBER(F155)),"",IF(COUNTIFS(Shops!$A$5:$A$14,B155,Shops!$B$5:$B$14,"&gt;=0",Shops!$B$5:$B$14,"&lt;=1")=0,"Check shop",ROUND(F155*INDEX(Shops!$B$5:$B$14,MATCH(B155,Shops!$A$5:$A$14,0)),2)))</f>
        <v/>
      </c>
      <c r="H155" s="6">
        <f>IF(ISNUMBER(G155),ROUND(F155-G155,2),"")</f>
        <v/>
      </c>
    </row>
    <row r="156">
      <c r="A156" s="13" t="n"/>
      <c r="B156" s="3" t="n"/>
      <c r="C156" s="3" t="n"/>
      <c r="D156" s="5" t="n"/>
      <c r="E156" s="14" t="n"/>
      <c r="F156" s="6">
        <f>IF(COUNTA(A156:E156)=0,"",IF(AND(ISNUMBER(D156),ISNUMBER(E156)),ROUND(D156*E156,2),"Check amounts"))</f>
        <v/>
      </c>
      <c r="G156" s="6">
        <f>IF(NOT(ISNUMBER(F156)),"",IF(COUNTIFS(Shops!$A$5:$A$14,B156,Shops!$B$5:$B$14,"&gt;=0",Shops!$B$5:$B$14,"&lt;=1")=0,"Check shop",ROUND(F156*INDEX(Shops!$B$5:$B$14,MATCH(B156,Shops!$A$5:$A$14,0)),2)))</f>
        <v/>
      </c>
      <c r="H156" s="6">
        <f>IF(ISNUMBER(G156),ROUND(F156-G156,2),"")</f>
        <v/>
      </c>
    </row>
    <row r="157">
      <c r="A157" s="13" t="n"/>
      <c r="B157" s="3" t="n"/>
      <c r="C157" s="3" t="n"/>
      <c r="D157" s="5" t="n"/>
      <c r="E157" s="14" t="n"/>
      <c r="F157" s="6">
        <f>IF(COUNTA(A157:E157)=0,"",IF(AND(ISNUMBER(D157),ISNUMBER(E157)),ROUND(D157*E157,2),"Check amounts"))</f>
        <v/>
      </c>
      <c r="G157" s="6">
        <f>IF(NOT(ISNUMBER(F157)),"",IF(COUNTIFS(Shops!$A$5:$A$14,B157,Shops!$B$5:$B$14,"&gt;=0",Shops!$B$5:$B$14,"&lt;=1")=0,"Check shop",ROUND(F157*INDEX(Shops!$B$5:$B$14,MATCH(B157,Shops!$A$5:$A$14,0)),2)))</f>
        <v/>
      </c>
      <c r="H157" s="6">
        <f>IF(ISNUMBER(G157),ROUND(F157-G157,2),"")</f>
        <v/>
      </c>
    </row>
    <row r="158">
      <c r="A158" s="13" t="n"/>
      <c r="B158" s="3" t="n"/>
      <c r="C158" s="3" t="n"/>
      <c r="D158" s="5" t="n"/>
      <c r="E158" s="14" t="n"/>
      <c r="F158" s="6">
        <f>IF(COUNTA(A158:E158)=0,"",IF(AND(ISNUMBER(D158),ISNUMBER(E158)),ROUND(D158*E158,2),"Check amounts"))</f>
        <v/>
      </c>
      <c r="G158" s="6">
        <f>IF(NOT(ISNUMBER(F158)),"",IF(COUNTIFS(Shops!$A$5:$A$14,B158,Shops!$B$5:$B$14,"&gt;=0",Shops!$B$5:$B$14,"&lt;=1")=0,"Check shop",ROUND(F158*INDEX(Shops!$B$5:$B$14,MATCH(B158,Shops!$A$5:$A$14,0)),2)))</f>
        <v/>
      </c>
      <c r="H158" s="6">
        <f>IF(ISNUMBER(G158),ROUND(F158-G158,2),"")</f>
        <v/>
      </c>
    </row>
    <row r="159">
      <c r="A159" s="13" t="n"/>
      <c r="B159" s="3" t="n"/>
      <c r="C159" s="3" t="n"/>
      <c r="D159" s="5" t="n"/>
      <c r="E159" s="14" t="n"/>
      <c r="F159" s="6">
        <f>IF(COUNTA(A159:E159)=0,"",IF(AND(ISNUMBER(D159),ISNUMBER(E159)),ROUND(D159*E159,2),"Check amounts"))</f>
        <v/>
      </c>
      <c r="G159" s="6">
        <f>IF(NOT(ISNUMBER(F159)),"",IF(COUNTIFS(Shops!$A$5:$A$14,B159,Shops!$B$5:$B$14,"&gt;=0",Shops!$B$5:$B$14,"&lt;=1")=0,"Check shop",ROUND(F159*INDEX(Shops!$B$5:$B$14,MATCH(B159,Shops!$A$5:$A$14,0)),2)))</f>
        <v/>
      </c>
      <c r="H159" s="6">
        <f>IF(ISNUMBER(G159),ROUND(F159-G159,2),"")</f>
        <v/>
      </c>
    </row>
    <row r="160">
      <c r="A160" s="13" t="n"/>
      <c r="B160" s="3" t="n"/>
      <c r="C160" s="3" t="n"/>
      <c r="D160" s="5" t="n"/>
      <c r="E160" s="14" t="n"/>
      <c r="F160" s="6">
        <f>IF(COUNTA(A160:E160)=0,"",IF(AND(ISNUMBER(D160),ISNUMBER(E160)),ROUND(D160*E160,2),"Check amounts"))</f>
        <v/>
      </c>
      <c r="G160" s="6">
        <f>IF(NOT(ISNUMBER(F160)),"",IF(COUNTIFS(Shops!$A$5:$A$14,B160,Shops!$B$5:$B$14,"&gt;=0",Shops!$B$5:$B$14,"&lt;=1")=0,"Check shop",ROUND(F160*INDEX(Shops!$B$5:$B$14,MATCH(B160,Shops!$A$5:$A$14,0)),2)))</f>
        <v/>
      </c>
      <c r="H160" s="6">
        <f>IF(ISNUMBER(G160),ROUND(F160-G160,2),"")</f>
        <v/>
      </c>
    </row>
    <row r="161">
      <c r="A161" s="13" t="n"/>
      <c r="B161" s="3" t="n"/>
      <c r="C161" s="3" t="n"/>
      <c r="D161" s="5" t="n"/>
      <c r="E161" s="14" t="n"/>
      <c r="F161" s="6">
        <f>IF(COUNTA(A161:E161)=0,"",IF(AND(ISNUMBER(D161),ISNUMBER(E161)),ROUND(D161*E161,2),"Check amounts"))</f>
        <v/>
      </c>
      <c r="G161" s="6">
        <f>IF(NOT(ISNUMBER(F161)),"",IF(COUNTIFS(Shops!$A$5:$A$14,B161,Shops!$B$5:$B$14,"&gt;=0",Shops!$B$5:$B$14,"&lt;=1")=0,"Check shop",ROUND(F161*INDEX(Shops!$B$5:$B$14,MATCH(B161,Shops!$A$5:$A$14,0)),2)))</f>
        <v/>
      </c>
      <c r="H161" s="6">
        <f>IF(ISNUMBER(G161),ROUND(F161-G161,2),"")</f>
        <v/>
      </c>
    </row>
    <row r="162">
      <c r="A162" s="13" t="n"/>
      <c r="B162" s="3" t="n"/>
      <c r="C162" s="3" t="n"/>
      <c r="D162" s="5" t="n"/>
      <c r="E162" s="14" t="n"/>
      <c r="F162" s="6">
        <f>IF(COUNTA(A162:E162)=0,"",IF(AND(ISNUMBER(D162),ISNUMBER(E162)),ROUND(D162*E162,2),"Check amounts"))</f>
        <v/>
      </c>
      <c r="G162" s="6">
        <f>IF(NOT(ISNUMBER(F162)),"",IF(COUNTIFS(Shops!$A$5:$A$14,B162,Shops!$B$5:$B$14,"&gt;=0",Shops!$B$5:$B$14,"&lt;=1")=0,"Check shop",ROUND(F162*INDEX(Shops!$B$5:$B$14,MATCH(B162,Shops!$A$5:$A$14,0)),2)))</f>
        <v/>
      </c>
      <c r="H162" s="6">
        <f>IF(ISNUMBER(G162),ROUND(F162-G162,2),"")</f>
        <v/>
      </c>
    </row>
    <row r="163">
      <c r="A163" s="13" t="n"/>
      <c r="B163" s="3" t="n"/>
      <c r="C163" s="3" t="n"/>
      <c r="D163" s="5" t="n"/>
      <c r="E163" s="14" t="n"/>
      <c r="F163" s="6">
        <f>IF(COUNTA(A163:E163)=0,"",IF(AND(ISNUMBER(D163),ISNUMBER(E163)),ROUND(D163*E163,2),"Check amounts"))</f>
        <v/>
      </c>
      <c r="G163" s="6">
        <f>IF(NOT(ISNUMBER(F163)),"",IF(COUNTIFS(Shops!$A$5:$A$14,B163,Shops!$B$5:$B$14,"&gt;=0",Shops!$B$5:$B$14,"&lt;=1")=0,"Check shop",ROUND(F163*INDEX(Shops!$B$5:$B$14,MATCH(B163,Shops!$A$5:$A$14,0)),2)))</f>
        <v/>
      </c>
      <c r="H163" s="6">
        <f>IF(ISNUMBER(G163),ROUND(F163-G163,2),"")</f>
        <v/>
      </c>
    </row>
    <row r="164">
      <c r="A164" s="13" t="n"/>
      <c r="B164" s="3" t="n"/>
      <c r="C164" s="3" t="n"/>
      <c r="D164" s="5" t="n"/>
      <c r="E164" s="14" t="n"/>
      <c r="F164" s="6">
        <f>IF(COUNTA(A164:E164)=0,"",IF(AND(ISNUMBER(D164),ISNUMBER(E164)),ROUND(D164*E164,2),"Check amounts"))</f>
        <v/>
      </c>
      <c r="G164" s="6">
        <f>IF(NOT(ISNUMBER(F164)),"",IF(COUNTIFS(Shops!$A$5:$A$14,B164,Shops!$B$5:$B$14,"&gt;=0",Shops!$B$5:$B$14,"&lt;=1")=0,"Check shop",ROUND(F164*INDEX(Shops!$B$5:$B$14,MATCH(B164,Shops!$A$5:$A$14,0)),2)))</f>
        <v/>
      </c>
      <c r="H164" s="6">
        <f>IF(ISNUMBER(G164),ROUND(F164-G164,2),"")</f>
        <v/>
      </c>
    </row>
    <row r="165">
      <c r="A165" s="13" t="n"/>
      <c r="B165" s="3" t="n"/>
      <c r="C165" s="3" t="n"/>
      <c r="D165" s="5" t="n"/>
      <c r="E165" s="14" t="n"/>
      <c r="F165" s="6">
        <f>IF(COUNTA(A165:E165)=0,"",IF(AND(ISNUMBER(D165),ISNUMBER(E165)),ROUND(D165*E165,2),"Check amounts"))</f>
        <v/>
      </c>
      <c r="G165" s="6">
        <f>IF(NOT(ISNUMBER(F165)),"",IF(COUNTIFS(Shops!$A$5:$A$14,B165,Shops!$B$5:$B$14,"&gt;=0",Shops!$B$5:$B$14,"&lt;=1")=0,"Check shop",ROUND(F165*INDEX(Shops!$B$5:$B$14,MATCH(B165,Shops!$A$5:$A$14,0)),2)))</f>
        <v/>
      </c>
      <c r="H165" s="6">
        <f>IF(ISNUMBER(G165),ROUND(F165-G165,2),"")</f>
        <v/>
      </c>
    </row>
    <row r="166">
      <c r="A166" s="13" t="n"/>
      <c r="B166" s="3" t="n"/>
      <c r="C166" s="3" t="n"/>
      <c r="D166" s="5" t="n"/>
      <c r="E166" s="14" t="n"/>
      <c r="F166" s="6">
        <f>IF(COUNTA(A166:E166)=0,"",IF(AND(ISNUMBER(D166),ISNUMBER(E166)),ROUND(D166*E166,2),"Check amounts"))</f>
        <v/>
      </c>
      <c r="G166" s="6">
        <f>IF(NOT(ISNUMBER(F166)),"",IF(COUNTIFS(Shops!$A$5:$A$14,B166,Shops!$B$5:$B$14,"&gt;=0",Shops!$B$5:$B$14,"&lt;=1")=0,"Check shop",ROUND(F166*INDEX(Shops!$B$5:$B$14,MATCH(B166,Shops!$A$5:$A$14,0)),2)))</f>
        <v/>
      </c>
      <c r="H166" s="6">
        <f>IF(ISNUMBER(G166),ROUND(F166-G166,2),"")</f>
        <v/>
      </c>
    </row>
    <row r="167">
      <c r="A167" s="13" t="n"/>
      <c r="B167" s="3" t="n"/>
      <c r="C167" s="3" t="n"/>
      <c r="D167" s="5" t="n"/>
      <c r="E167" s="14" t="n"/>
      <c r="F167" s="6">
        <f>IF(COUNTA(A167:E167)=0,"",IF(AND(ISNUMBER(D167),ISNUMBER(E167)),ROUND(D167*E167,2),"Check amounts"))</f>
        <v/>
      </c>
      <c r="G167" s="6">
        <f>IF(NOT(ISNUMBER(F167)),"",IF(COUNTIFS(Shops!$A$5:$A$14,B167,Shops!$B$5:$B$14,"&gt;=0",Shops!$B$5:$B$14,"&lt;=1")=0,"Check shop",ROUND(F167*INDEX(Shops!$B$5:$B$14,MATCH(B167,Shops!$A$5:$A$14,0)),2)))</f>
        <v/>
      </c>
      <c r="H167" s="6">
        <f>IF(ISNUMBER(G167),ROUND(F167-G167,2),"")</f>
        <v/>
      </c>
    </row>
    <row r="168">
      <c r="A168" s="13" t="n"/>
      <c r="B168" s="3" t="n"/>
      <c r="C168" s="3" t="n"/>
      <c r="D168" s="5" t="n"/>
      <c r="E168" s="14" t="n"/>
      <c r="F168" s="6">
        <f>IF(COUNTA(A168:E168)=0,"",IF(AND(ISNUMBER(D168),ISNUMBER(E168)),ROUND(D168*E168,2),"Check amounts"))</f>
        <v/>
      </c>
      <c r="G168" s="6">
        <f>IF(NOT(ISNUMBER(F168)),"",IF(COUNTIFS(Shops!$A$5:$A$14,B168,Shops!$B$5:$B$14,"&gt;=0",Shops!$B$5:$B$14,"&lt;=1")=0,"Check shop",ROUND(F168*INDEX(Shops!$B$5:$B$14,MATCH(B168,Shops!$A$5:$A$14,0)),2)))</f>
        <v/>
      </c>
      <c r="H168" s="6">
        <f>IF(ISNUMBER(G168),ROUND(F168-G168,2),"")</f>
        <v/>
      </c>
    </row>
    <row r="169">
      <c r="A169" s="13" t="n"/>
      <c r="B169" s="3" t="n"/>
      <c r="C169" s="3" t="n"/>
      <c r="D169" s="5" t="n"/>
      <c r="E169" s="14" t="n"/>
      <c r="F169" s="6">
        <f>IF(COUNTA(A169:E169)=0,"",IF(AND(ISNUMBER(D169),ISNUMBER(E169)),ROUND(D169*E169,2),"Check amounts"))</f>
        <v/>
      </c>
      <c r="G169" s="6">
        <f>IF(NOT(ISNUMBER(F169)),"",IF(COUNTIFS(Shops!$A$5:$A$14,B169,Shops!$B$5:$B$14,"&gt;=0",Shops!$B$5:$B$14,"&lt;=1")=0,"Check shop",ROUND(F169*INDEX(Shops!$B$5:$B$14,MATCH(B169,Shops!$A$5:$A$14,0)),2)))</f>
        <v/>
      </c>
      <c r="H169" s="6">
        <f>IF(ISNUMBER(G169),ROUND(F169-G169,2),"")</f>
        <v/>
      </c>
    </row>
    <row r="170">
      <c r="A170" s="13" t="n"/>
      <c r="B170" s="3" t="n"/>
      <c r="C170" s="3" t="n"/>
      <c r="D170" s="5" t="n"/>
      <c r="E170" s="14" t="n"/>
      <c r="F170" s="6">
        <f>IF(COUNTA(A170:E170)=0,"",IF(AND(ISNUMBER(D170),ISNUMBER(E170)),ROUND(D170*E170,2),"Check amounts"))</f>
        <v/>
      </c>
      <c r="G170" s="6">
        <f>IF(NOT(ISNUMBER(F170)),"",IF(COUNTIFS(Shops!$A$5:$A$14,B170,Shops!$B$5:$B$14,"&gt;=0",Shops!$B$5:$B$14,"&lt;=1")=0,"Check shop",ROUND(F170*INDEX(Shops!$B$5:$B$14,MATCH(B170,Shops!$A$5:$A$14,0)),2)))</f>
        <v/>
      </c>
      <c r="H170" s="6">
        <f>IF(ISNUMBER(G170),ROUND(F170-G170,2),"")</f>
        <v/>
      </c>
    </row>
    <row r="171">
      <c r="A171" s="13" t="n"/>
      <c r="B171" s="3" t="n"/>
      <c r="C171" s="3" t="n"/>
      <c r="D171" s="5" t="n"/>
      <c r="E171" s="14" t="n"/>
      <c r="F171" s="6">
        <f>IF(COUNTA(A171:E171)=0,"",IF(AND(ISNUMBER(D171),ISNUMBER(E171)),ROUND(D171*E171,2),"Check amounts"))</f>
        <v/>
      </c>
      <c r="G171" s="6">
        <f>IF(NOT(ISNUMBER(F171)),"",IF(COUNTIFS(Shops!$A$5:$A$14,B171,Shops!$B$5:$B$14,"&gt;=0",Shops!$B$5:$B$14,"&lt;=1")=0,"Check shop",ROUND(F171*INDEX(Shops!$B$5:$B$14,MATCH(B171,Shops!$A$5:$A$14,0)),2)))</f>
        <v/>
      </c>
      <c r="H171" s="6">
        <f>IF(ISNUMBER(G171),ROUND(F171-G171,2),"")</f>
        <v/>
      </c>
    </row>
    <row r="172">
      <c r="A172" s="13" t="n"/>
      <c r="B172" s="3" t="n"/>
      <c r="C172" s="3" t="n"/>
      <c r="D172" s="5" t="n"/>
      <c r="E172" s="14" t="n"/>
      <c r="F172" s="6">
        <f>IF(COUNTA(A172:E172)=0,"",IF(AND(ISNUMBER(D172),ISNUMBER(E172)),ROUND(D172*E172,2),"Check amounts"))</f>
        <v/>
      </c>
      <c r="G172" s="6">
        <f>IF(NOT(ISNUMBER(F172)),"",IF(COUNTIFS(Shops!$A$5:$A$14,B172,Shops!$B$5:$B$14,"&gt;=0",Shops!$B$5:$B$14,"&lt;=1")=0,"Check shop",ROUND(F172*INDEX(Shops!$B$5:$B$14,MATCH(B172,Shops!$A$5:$A$14,0)),2)))</f>
        <v/>
      </c>
      <c r="H172" s="6">
        <f>IF(ISNUMBER(G172),ROUND(F172-G172,2),"")</f>
        <v/>
      </c>
    </row>
    <row r="173">
      <c r="A173" s="13" t="n"/>
      <c r="B173" s="3" t="n"/>
      <c r="C173" s="3" t="n"/>
      <c r="D173" s="5" t="n"/>
      <c r="E173" s="14" t="n"/>
      <c r="F173" s="6">
        <f>IF(COUNTA(A173:E173)=0,"",IF(AND(ISNUMBER(D173),ISNUMBER(E173)),ROUND(D173*E173,2),"Check amounts"))</f>
        <v/>
      </c>
      <c r="G173" s="6">
        <f>IF(NOT(ISNUMBER(F173)),"",IF(COUNTIFS(Shops!$A$5:$A$14,B173,Shops!$B$5:$B$14,"&gt;=0",Shops!$B$5:$B$14,"&lt;=1")=0,"Check shop",ROUND(F173*INDEX(Shops!$B$5:$B$14,MATCH(B173,Shops!$A$5:$A$14,0)),2)))</f>
        <v/>
      </c>
      <c r="H173" s="6">
        <f>IF(ISNUMBER(G173),ROUND(F173-G173,2),"")</f>
        <v/>
      </c>
    </row>
    <row r="174">
      <c r="A174" s="13" t="n"/>
      <c r="B174" s="3" t="n"/>
      <c r="C174" s="3" t="n"/>
      <c r="D174" s="5" t="n"/>
      <c r="E174" s="14" t="n"/>
      <c r="F174" s="6">
        <f>IF(COUNTA(A174:E174)=0,"",IF(AND(ISNUMBER(D174),ISNUMBER(E174)),ROUND(D174*E174,2),"Check amounts"))</f>
        <v/>
      </c>
      <c r="G174" s="6">
        <f>IF(NOT(ISNUMBER(F174)),"",IF(COUNTIFS(Shops!$A$5:$A$14,B174,Shops!$B$5:$B$14,"&gt;=0",Shops!$B$5:$B$14,"&lt;=1")=0,"Check shop",ROUND(F174*INDEX(Shops!$B$5:$B$14,MATCH(B174,Shops!$A$5:$A$14,0)),2)))</f>
        <v/>
      </c>
      <c r="H174" s="6">
        <f>IF(ISNUMBER(G174),ROUND(F174-G174,2),"")</f>
        <v/>
      </c>
    </row>
    <row r="175">
      <c r="A175" s="13" t="n"/>
      <c r="B175" s="3" t="n"/>
      <c r="C175" s="3" t="n"/>
      <c r="D175" s="5" t="n"/>
      <c r="E175" s="14" t="n"/>
      <c r="F175" s="6">
        <f>IF(COUNTA(A175:E175)=0,"",IF(AND(ISNUMBER(D175),ISNUMBER(E175)),ROUND(D175*E175,2),"Check amounts"))</f>
        <v/>
      </c>
      <c r="G175" s="6">
        <f>IF(NOT(ISNUMBER(F175)),"",IF(COUNTIFS(Shops!$A$5:$A$14,B175,Shops!$B$5:$B$14,"&gt;=0",Shops!$B$5:$B$14,"&lt;=1")=0,"Check shop",ROUND(F175*INDEX(Shops!$B$5:$B$14,MATCH(B175,Shops!$A$5:$A$14,0)),2)))</f>
        <v/>
      </c>
      <c r="H175" s="6">
        <f>IF(ISNUMBER(G175),ROUND(F175-G175,2),"")</f>
        <v/>
      </c>
    </row>
    <row r="176">
      <c r="A176" s="13" t="n"/>
      <c r="B176" s="3" t="n"/>
      <c r="C176" s="3" t="n"/>
      <c r="D176" s="5" t="n"/>
      <c r="E176" s="14" t="n"/>
      <c r="F176" s="6">
        <f>IF(COUNTA(A176:E176)=0,"",IF(AND(ISNUMBER(D176),ISNUMBER(E176)),ROUND(D176*E176,2),"Check amounts"))</f>
        <v/>
      </c>
      <c r="G176" s="6">
        <f>IF(NOT(ISNUMBER(F176)),"",IF(COUNTIFS(Shops!$A$5:$A$14,B176,Shops!$B$5:$B$14,"&gt;=0",Shops!$B$5:$B$14,"&lt;=1")=0,"Check shop",ROUND(F176*INDEX(Shops!$B$5:$B$14,MATCH(B176,Shops!$A$5:$A$14,0)),2)))</f>
        <v/>
      </c>
      <c r="H176" s="6">
        <f>IF(ISNUMBER(G176),ROUND(F176-G176,2),"")</f>
        <v/>
      </c>
    </row>
    <row r="177">
      <c r="A177" s="13" t="n"/>
      <c r="B177" s="3" t="n"/>
      <c r="C177" s="3" t="n"/>
      <c r="D177" s="5" t="n"/>
      <c r="E177" s="14" t="n"/>
      <c r="F177" s="6">
        <f>IF(COUNTA(A177:E177)=0,"",IF(AND(ISNUMBER(D177),ISNUMBER(E177)),ROUND(D177*E177,2),"Check amounts"))</f>
        <v/>
      </c>
      <c r="G177" s="6">
        <f>IF(NOT(ISNUMBER(F177)),"",IF(COUNTIFS(Shops!$A$5:$A$14,B177,Shops!$B$5:$B$14,"&gt;=0",Shops!$B$5:$B$14,"&lt;=1")=0,"Check shop",ROUND(F177*INDEX(Shops!$B$5:$B$14,MATCH(B177,Shops!$A$5:$A$14,0)),2)))</f>
        <v/>
      </c>
      <c r="H177" s="6">
        <f>IF(ISNUMBER(G177),ROUND(F177-G177,2),"")</f>
        <v/>
      </c>
    </row>
    <row r="178">
      <c r="A178" s="13" t="n"/>
      <c r="B178" s="3" t="n"/>
      <c r="C178" s="3" t="n"/>
      <c r="D178" s="5" t="n"/>
      <c r="E178" s="14" t="n"/>
      <c r="F178" s="6">
        <f>IF(COUNTA(A178:E178)=0,"",IF(AND(ISNUMBER(D178),ISNUMBER(E178)),ROUND(D178*E178,2),"Check amounts"))</f>
        <v/>
      </c>
      <c r="G178" s="6">
        <f>IF(NOT(ISNUMBER(F178)),"",IF(COUNTIFS(Shops!$A$5:$A$14,B178,Shops!$B$5:$B$14,"&gt;=0",Shops!$B$5:$B$14,"&lt;=1")=0,"Check shop",ROUND(F178*INDEX(Shops!$B$5:$B$14,MATCH(B178,Shops!$A$5:$A$14,0)),2)))</f>
        <v/>
      </c>
      <c r="H178" s="6">
        <f>IF(ISNUMBER(G178),ROUND(F178-G178,2),"")</f>
        <v/>
      </c>
    </row>
    <row r="179">
      <c r="A179" s="13" t="n"/>
      <c r="B179" s="3" t="n"/>
      <c r="C179" s="3" t="n"/>
      <c r="D179" s="5" t="n"/>
      <c r="E179" s="14" t="n"/>
      <c r="F179" s="6">
        <f>IF(COUNTA(A179:E179)=0,"",IF(AND(ISNUMBER(D179),ISNUMBER(E179)),ROUND(D179*E179,2),"Check amounts"))</f>
        <v/>
      </c>
      <c r="G179" s="6">
        <f>IF(NOT(ISNUMBER(F179)),"",IF(COUNTIFS(Shops!$A$5:$A$14,B179,Shops!$B$5:$B$14,"&gt;=0",Shops!$B$5:$B$14,"&lt;=1")=0,"Check shop",ROUND(F179*INDEX(Shops!$B$5:$B$14,MATCH(B179,Shops!$A$5:$A$14,0)),2)))</f>
        <v/>
      </c>
      <c r="H179" s="6">
        <f>IF(ISNUMBER(G179),ROUND(F179-G179,2),"")</f>
        <v/>
      </c>
    </row>
    <row r="180">
      <c r="A180" s="13" t="n"/>
      <c r="B180" s="3" t="n"/>
      <c r="C180" s="3" t="n"/>
      <c r="D180" s="5" t="n"/>
      <c r="E180" s="14" t="n"/>
      <c r="F180" s="6">
        <f>IF(COUNTA(A180:E180)=0,"",IF(AND(ISNUMBER(D180),ISNUMBER(E180)),ROUND(D180*E180,2),"Check amounts"))</f>
        <v/>
      </c>
      <c r="G180" s="6">
        <f>IF(NOT(ISNUMBER(F180)),"",IF(COUNTIFS(Shops!$A$5:$A$14,B180,Shops!$B$5:$B$14,"&gt;=0",Shops!$B$5:$B$14,"&lt;=1")=0,"Check shop",ROUND(F180*INDEX(Shops!$B$5:$B$14,MATCH(B180,Shops!$A$5:$A$14,0)),2)))</f>
        <v/>
      </c>
      <c r="H180" s="6">
        <f>IF(ISNUMBER(G180),ROUND(F180-G180,2),"")</f>
        <v/>
      </c>
    </row>
    <row r="181">
      <c r="A181" s="13" t="n"/>
      <c r="B181" s="3" t="n"/>
      <c r="C181" s="3" t="n"/>
      <c r="D181" s="5" t="n"/>
      <c r="E181" s="14" t="n"/>
      <c r="F181" s="6">
        <f>IF(COUNTA(A181:E181)=0,"",IF(AND(ISNUMBER(D181),ISNUMBER(E181)),ROUND(D181*E181,2),"Check amounts"))</f>
        <v/>
      </c>
      <c r="G181" s="6">
        <f>IF(NOT(ISNUMBER(F181)),"",IF(COUNTIFS(Shops!$A$5:$A$14,B181,Shops!$B$5:$B$14,"&gt;=0",Shops!$B$5:$B$14,"&lt;=1")=0,"Check shop",ROUND(F181*INDEX(Shops!$B$5:$B$14,MATCH(B181,Shops!$A$5:$A$14,0)),2)))</f>
        <v/>
      </c>
      <c r="H181" s="6">
        <f>IF(ISNUMBER(G181),ROUND(F181-G181,2),"")</f>
        <v/>
      </c>
    </row>
    <row r="182">
      <c r="A182" s="13" t="n"/>
      <c r="B182" s="3" t="n"/>
      <c r="C182" s="3" t="n"/>
      <c r="D182" s="5" t="n"/>
      <c r="E182" s="14" t="n"/>
      <c r="F182" s="6">
        <f>IF(COUNTA(A182:E182)=0,"",IF(AND(ISNUMBER(D182),ISNUMBER(E182)),ROUND(D182*E182,2),"Check amounts"))</f>
        <v/>
      </c>
      <c r="G182" s="6">
        <f>IF(NOT(ISNUMBER(F182)),"",IF(COUNTIFS(Shops!$A$5:$A$14,B182,Shops!$B$5:$B$14,"&gt;=0",Shops!$B$5:$B$14,"&lt;=1")=0,"Check shop",ROUND(F182*INDEX(Shops!$B$5:$B$14,MATCH(B182,Shops!$A$5:$A$14,0)),2)))</f>
        <v/>
      </c>
      <c r="H182" s="6">
        <f>IF(ISNUMBER(G182),ROUND(F182-G182,2),"")</f>
        <v/>
      </c>
    </row>
    <row r="183">
      <c r="A183" s="13" t="n"/>
      <c r="B183" s="3" t="n"/>
      <c r="C183" s="3" t="n"/>
      <c r="D183" s="5" t="n"/>
      <c r="E183" s="14" t="n"/>
      <c r="F183" s="6">
        <f>IF(COUNTA(A183:E183)=0,"",IF(AND(ISNUMBER(D183),ISNUMBER(E183)),ROUND(D183*E183,2),"Check amounts"))</f>
        <v/>
      </c>
      <c r="G183" s="6">
        <f>IF(NOT(ISNUMBER(F183)),"",IF(COUNTIFS(Shops!$A$5:$A$14,B183,Shops!$B$5:$B$14,"&gt;=0",Shops!$B$5:$B$14,"&lt;=1")=0,"Check shop",ROUND(F183*INDEX(Shops!$B$5:$B$14,MATCH(B183,Shops!$A$5:$A$14,0)),2)))</f>
        <v/>
      </c>
      <c r="H183" s="6">
        <f>IF(ISNUMBER(G183),ROUND(F183-G183,2),"")</f>
        <v/>
      </c>
    </row>
    <row r="184">
      <c r="A184" s="13" t="n"/>
      <c r="B184" s="3" t="n"/>
      <c r="C184" s="3" t="n"/>
      <c r="D184" s="5" t="n"/>
      <c r="E184" s="14" t="n"/>
      <c r="F184" s="6">
        <f>IF(COUNTA(A184:E184)=0,"",IF(AND(ISNUMBER(D184),ISNUMBER(E184)),ROUND(D184*E184,2),"Check amounts"))</f>
        <v/>
      </c>
      <c r="G184" s="6">
        <f>IF(NOT(ISNUMBER(F184)),"",IF(COUNTIFS(Shops!$A$5:$A$14,B184,Shops!$B$5:$B$14,"&gt;=0",Shops!$B$5:$B$14,"&lt;=1")=0,"Check shop",ROUND(F184*INDEX(Shops!$B$5:$B$14,MATCH(B184,Shops!$A$5:$A$14,0)),2)))</f>
        <v/>
      </c>
      <c r="H184" s="6">
        <f>IF(ISNUMBER(G184),ROUND(F184-G184,2),"")</f>
        <v/>
      </c>
    </row>
    <row r="185">
      <c r="A185" s="13" t="n"/>
      <c r="B185" s="3" t="n"/>
      <c r="C185" s="3" t="n"/>
      <c r="D185" s="5" t="n"/>
      <c r="E185" s="14" t="n"/>
      <c r="F185" s="6">
        <f>IF(COUNTA(A185:E185)=0,"",IF(AND(ISNUMBER(D185),ISNUMBER(E185)),ROUND(D185*E185,2),"Check amounts"))</f>
        <v/>
      </c>
      <c r="G185" s="6">
        <f>IF(NOT(ISNUMBER(F185)),"",IF(COUNTIFS(Shops!$A$5:$A$14,B185,Shops!$B$5:$B$14,"&gt;=0",Shops!$B$5:$B$14,"&lt;=1")=0,"Check shop",ROUND(F185*INDEX(Shops!$B$5:$B$14,MATCH(B185,Shops!$A$5:$A$14,0)),2)))</f>
        <v/>
      </c>
      <c r="H185" s="6">
        <f>IF(ISNUMBER(G185),ROUND(F185-G185,2),"")</f>
        <v/>
      </c>
    </row>
    <row r="186">
      <c r="A186" s="13" t="n"/>
      <c r="B186" s="3" t="n"/>
      <c r="C186" s="3" t="n"/>
      <c r="D186" s="5" t="n"/>
      <c r="E186" s="14" t="n"/>
      <c r="F186" s="6">
        <f>IF(COUNTA(A186:E186)=0,"",IF(AND(ISNUMBER(D186),ISNUMBER(E186)),ROUND(D186*E186,2),"Check amounts"))</f>
        <v/>
      </c>
      <c r="G186" s="6">
        <f>IF(NOT(ISNUMBER(F186)),"",IF(COUNTIFS(Shops!$A$5:$A$14,B186,Shops!$B$5:$B$14,"&gt;=0",Shops!$B$5:$B$14,"&lt;=1")=0,"Check shop",ROUND(F186*INDEX(Shops!$B$5:$B$14,MATCH(B186,Shops!$A$5:$A$14,0)),2)))</f>
        <v/>
      </c>
      <c r="H186" s="6">
        <f>IF(ISNUMBER(G186),ROUND(F186-G186,2),"")</f>
        <v/>
      </c>
    </row>
    <row r="187">
      <c r="A187" s="13" t="n"/>
      <c r="B187" s="3" t="n"/>
      <c r="C187" s="3" t="n"/>
      <c r="D187" s="5" t="n"/>
      <c r="E187" s="14" t="n"/>
      <c r="F187" s="6">
        <f>IF(COUNTA(A187:E187)=0,"",IF(AND(ISNUMBER(D187),ISNUMBER(E187)),ROUND(D187*E187,2),"Check amounts"))</f>
        <v/>
      </c>
      <c r="G187" s="6">
        <f>IF(NOT(ISNUMBER(F187)),"",IF(COUNTIFS(Shops!$A$5:$A$14,B187,Shops!$B$5:$B$14,"&gt;=0",Shops!$B$5:$B$14,"&lt;=1")=0,"Check shop",ROUND(F187*INDEX(Shops!$B$5:$B$14,MATCH(B187,Shops!$A$5:$A$14,0)),2)))</f>
        <v/>
      </c>
      <c r="H187" s="6">
        <f>IF(ISNUMBER(G187),ROUND(F187-G187,2),"")</f>
        <v/>
      </c>
    </row>
    <row r="188">
      <c r="A188" s="13" t="n"/>
      <c r="B188" s="3" t="n"/>
      <c r="C188" s="3" t="n"/>
      <c r="D188" s="5" t="n"/>
      <c r="E188" s="14" t="n"/>
      <c r="F188" s="6">
        <f>IF(COUNTA(A188:E188)=0,"",IF(AND(ISNUMBER(D188),ISNUMBER(E188)),ROUND(D188*E188,2),"Check amounts"))</f>
        <v/>
      </c>
      <c r="G188" s="6">
        <f>IF(NOT(ISNUMBER(F188)),"",IF(COUNTIFS(Shops!$A$5:$A$14,B188,Shops!$B$5:$B$14,"&gt;=0",Shops!$B$5:$B$14,"&lt;=1")=0,"Check shop",ROUND(F188*INDEX(Shops!$B$5:$B$14,MATCH(B188,Shops!$A$5:$A$14,0)),2)))</f>
        <v/>
      </c>
      <c r="H188" s="6">
        <f>IF(ISNUMBER(G188),ROUND(F188-G188,2),"")</f>
        <v/>
      </c>
    </row>
    <row r="189">
      <c r="A189" s="13" t="n"/>
      <c r="B189" s="3" t="n"/>
      <c r="C189" s="3" t="n"/>
      <c r="D189" s="5" t="n"/>
      <c r="E189" s="14" t="n"/>
      <c r="F189" s="6">
        <f>IF(COUNTA(A189:E189)=0,"",IF(AND(ISNUMBER(D189),ISNUMBER(E189)),ROUND(D189*E189,2),"Check amounts"))</f>
        <v/>
      </c>
      <c r="G189" s="6">
        <f>IF(NOT(ISNUMBER(F189)),"",IF(COUNTIFS(Shops!$A$5:$A$14,B189,Shops!$B$5:$B$14,"&gt;=0",Shops!$B$5:$B$14,"&lt;=1")=0,"Check shop",ROUND(F189*INDEX(Shops!$B$5:$B$14,MATCH(B189,Shops!$A$5:$A$14,0)),2)))</f>
        <v/>
      </c>
      <c r="H189" s="6">
        <f>IF(ISNUMBER(G189),ROUND(F189-G189,2),"")</f>
        <v/>
      </c>
    </row>
    <row r="190">
      <c r="A190" s="13" t="n"/>
      <c r="B190" s="3" t="n"/>
      <c r="C190" s="3" t="n"/>
      <c r="D190" s="5" t="n"/>
      <c r="E190" s="14" t="n"/>
      <c r="F190" s="6">
        <f>IF(COUNTA(A190:E190)=0,"",IF(AND(ISNUMBER(D190),ISNUMBER(E190)),ROUND(D190*E190,2),"Check amounts"))</f>
        <v/>
      </c>
      <c r="G190" s="6">
        <f>IF(NOT(ISNUMBER(F190)),"",IF(COUNTIFS(Shops!$A$5:$A$14,B190,Shops!$B$5:$B$14,"&gt;=0",Shops!$B$5:$B$14,"&lt;=1")=0,"Check shop",ROUND(F190*INDEX(Shops!$B$5:$B$14,MATCH(B190,Shops!$A$5:$A$14,0)),2)))</f>
        <v/>
      </c>
      <c r="H190" s="6">
        <f>IF(ISNUMBER(G190),ROUND(F190-G190,2),"")</f>
        <v/>
      </c>
    </row>
    <row r="191">
      <c r="A191" s="13" t="n"/>
      <c r="B191" s="3" t="n"/>
      <c r="C191" s="3" t="n"/>
      <c r="D191" s="5" t="n"/>
      <c r="E191" s="14" t="n"/>
      <c r="F191" s="6">
        <f>IF(COUNTA(A191:E191)=0,"",IF(AND(ISNUMBER(D191),ISNUMBER(E191)),ROUND(D191*E191,2),"Check amounts"))</f>
        <v/>
      </c>
      <c r="G191" s="6">
        <f>IF(NOT(ISNUMBER(F191)),"",IF(COUNTIFS(Shops!$A$5:$A$14,B191,Shops!$B$5:$B$14,"&gt;=0",Shops!$B$5:$B$14,"&lt;=1")=0,"Check shop",ROUND(F191*INDEX(Shops!$B$5:$B$14,MATCH(B191,Shops!$A$5:$A$14,0)),2)))</f>
        <v/>
      </c>
      <c r="H191" s="6">
        <f>IF(ISNUMBER(G191),ROUND(F191-G191,2),"")</f>
        <v/>
      </c>
    </row>
    <row r="192">
      <c r="A192" s="13" t="n"/>
      <c r="B192" s="3" t="n"/>
      <c r="C192" s="3" t="n"/>
      <c r="D192" s="5" t="n"/>
      <c r="E192" s="14" t="n"/>
      <c r="F192" s="6">
        <f>IF(COUNTA(A192:E192)=0,"",IF(AND(ISNUMBER(D192),ISNUMBER(E192)),ROUND(D192*E192,2),"Check amounts"))</f>
        <v/>
      </c>
      <c r="G192" s="6">
        <f>IF(NOT(ISNUMBER(F192)),"",IF(COUNTIFS(Shops!$A$5:$A$14,B192,Shops!$B$5:$B$14,"&gt;=0",Shops!$B$5:$B$14,"&lt;=1")=0,"Check shop",ROUND(F192*INDEX(Shops!$B$5:$B$14,MATCH(B192,Shops!$A$5:$A$14,0)),2)))</f>
        <v/>
      </c>
      <c r="H192" s="6">
        <f>IF(ISNUMBER(G192),ROUND(F192-G192,2),"")</f>
        <v/>
      </c>
    </row>
    <row r="193">
      <c r="A193" s="13" t="n"/>
      <c r="B193" s="3" t="n"/>
      <c r="C193" s="3" t="n"/>
      <c r="D193" s="5" t="n"/>
      <c r="E193" s="14" t="n"/>
      <c r="F193" s="6">
        <f>IF(COUNTA(A193:E193)=0,"",IF(AND(ISNUMBER(D193),ISNUMBER(E193)),ROUND(D193*E193,2),"Check amounts"))</f>
        <v/>
      </c>
      <c r="G193" s="6">
        <f>IF(NOT(ISNUMBER(F193)),"",IF(COUNTIFS(Shops!$A$5:$A$14,B193,Shops!$B$5:$B$14,"&gt;=0",Shops!$B$5:$B$14,"&lt;=1")=0,"Check shop",ROUND(F193*INDEX(Shops!$B$5:$B$14,MATCH(B193,Shops!$A$5:$A$14,0)),2)))</f>
        <v/>
      </c>
      <c r="H193" s="6">
        <f>IF(ISNUMBER(G193),ROUND(F193-G193,2),"")</f>
        <v/>
      </c>
    </row>
    <row r="194">
      <c r="A194" s="13" t="n"/>
      <c r="B194" s="3" t="n"/>
      <c r="C194" s="3" t="n"/>
      <c r="D194" s="5" t="n"/>
      <c r="E194" s="14" t="n"/>
      <c r="F194" s="6">
        <f>IF(COUNTA(A194:E194)=0,"",IF(AND(ISNUMBER(D194),ISNUMBER(E194)),ROUND(D194*E194,2),"Check amounts"))</f>
        <v/>
      </c>
      <c r="G194" s="6">
        <f>IF(NOT(ISNUMBER(F194)),"",IF(COUNTIFS(Shops!$A$5:$A$14,B194,Shops!$B$5:$B$14,"&gt;=0",Shops!$B$5:$B$14,"&lt;=1")=0,"Check shop",ROUND(F194*INDEX(Shops!$B$5:$B$14,MATCH(B194,Shops!$A$5:$A$14,0)),2)))</f>
        <v/>
      </c>
      <c r="H194" s="6">
        <f>IF(ISNUMBER(G194),ROUND(F194-G194,2),"")</f>
        <v/>
      </c>
    </row>
    <row r="195">
      <c r="A195" s="13" t="n"/>
      <c r="B195" s="3" t="n"/>
      <c r="C195" s="3" t="n"/>
      <c r="D195" s="5" t="n"/>
      <c r="E195" s="14" t="n"/>
      <c r="F195" s="6">
        <f>IF(COUNTA(A195:E195)=0,"",IF(AND(ISNUMBER(D195),ISNUMBER(E195)),ROUND(D195*E195,2),"Check amounts"))</f>
        <v/>
      </c>
      <c r="G195" s="6">
        <f>IF(NOT(ISNUMBER(F195)),"",IF(COUNTIFS(Shops!$A$5:$A$14,B195,Shops!$B$5:$B$14,"&gt;=0",Shops!$B$5:$B$14,"&lt;=1")=0,"Check shop",ROUND(F195*INDEX(Shops!$B$5:$B$14,MATCH(B195,Shops!$A$5:$A$14,0)),2)))</f>
        <v/>
      </c>
      <c r="H195" s="6">
        <f>IF(ISNUMBER(G195),ROUND(F195-G195,2),"")</f>
        <v/>
      </c>
    </row>
    <row r="196">
      <c r="A196" s="13" t="n"/>
      <c r="B196" s="3" t="n"/>
      <c r="C196" s="3" t="n"/>
      <c r="D196" s="5" t="n"/>
      <c r="E196" s="14" t="n"/>
      <c r="F196" s="6">
        <f>IF(COUNTA(A196:E196)=0,"",IF(AND(ISNUMBER(D196),ISNUMBER(E196)),ROUND(D196*E196,2),"Check amounts"))</f>
        <v/>
      </c>
      <c r="G196" s="6">
        <f>IF(NOT(ISNUMBER(F196)),"",IF(COUNTIFS(Shops!$A$5:$A$14,B196,Shops!$B$5:$B$14,"&gt;=0",Shops!$B$5:$B$14,"&lt;=1")=0,"Check shop",ROUND(F196*INDEX(Shops!$B$5:$B$14,MATCH(B196,Shops!$A$5:$A$14,0)),2)))</f>
        <v/>
      </c>
      <c r="H196" s="6">
        <f>IF(ISNUMBER(G196),ROUND(F196-G196,2),"")</f>
        <v/>
      </c>
    </row>
    <row r="197">
      <c r="A197" s="13" t="n"/>
      <c r="B197" s="3" t="n"/>
      <c r="C197" s="3" t="n"/>
      <c r="D197" s="5" t="n"/>
      <c r="E197" s="14" t="n"/>
      <c r="F197" s="6">
        <f>IF(COUNTA(A197:E197)=0,"",IF(AND(ISNUMBER(D197),ISNUMBER(E197)),ROUND(D197*E197,2),"Check amounts"))</f>
        <v/>
      </c>
      <c r="G197" s="6">
        <f>IF(NOT(ISNUMBER(F197)),"",IF(COUNTIFS(Shops!$A$5:$A$14,B197,Shops!$B$5:$B$14,"&gt;=0",Shops!$B$5:$B$14,"&lt;=1")=0,"Check shop",ROUND(F197*INDEX(Shops!$B$5:$B$14,MATCH(B197,Shops!$A$5:$A$14,0)),2)))</f>
        <v/>
      </c>
      <c r="H197" s="6">
        <f>IF(ISNUMBER(G197),ROUND(F197-G197,2),"")</f>
        <v/>
      </c>
    </row>
    <row r="198">
      <c r="A198" s="13" t="n"/>
      <c r="B198" s="3" t="n"/>
      <c r="C198" s="3" t="n"/>
      <c r="D198" s="5" t="n"/>
      <c r="E198" s="14" t="n"/>
      <c r="F198" s="6">
        <f>IF(COUNTA(A198:E198)=0,"",IF(AND(ISNUMBER(D198),ISNUMBER(E198)),ROUND(D198*E198,2),"Check amounts"))</f>
        <v/>
      </c>
      <c r="G198" s="6">
        <f>IF(NOT(ISNUMBER(F198)),"",IF(COUNTIFS(Shops!$A$5:$A$14,B198,Shops!$B$5:$B$14,"&gt;=0",Shops!$B$5:$B$14,"&lt;=1")=0,"Check shop",ROUND(F198*INDEX(Shops!$B$5:$B$14,MATCH(B198,Shops!$A$5:$A$14,0)),2)))</f>
        <v/>
      </c>
      <c r="H198" s="6">
        <f>IF(ISNUMBER(G198),ROUND(F198-G198,2),"")</f>
        <v/>
      </c>
    </row>
    <row r="199">
      <c r="A199" s="13" t="n"/>
      <c r="B199" s="3" t="n"/>
      <c r="C199" s="3" t="n"/>
      <c r="D199" s="5" t="n"/>
      <c r="E199" s="14" t="n"/>
      <c r="F199" s="6">
        <f>IF(COUNTA(A199:E199)=0,"",IF(AND(ISNUMBER(D199),ISNUMBER(E199)),ROUND(D199*E199,2),"Check amounts"))</f>
        <v/>
      </c>
      <c r="G199" s="6">
        <f>IF(NOT(ISNUMBER(F199)),"",IF(COUNTIFS(Shops!$A$5:$A$14,B199,Shops!$B$5:$B$14,"&gt;=0",Shops!$B$5:$B$14,"&lt;=1")=0,"Check shop",ROUND(F199*INDEX(Shops!$B$5:$B$14,MATCH(B199,Shops!$A$5:$A$14,0)),2)))</f>
        <v/>
      </c>
      <c r="H199" s="6">
        <f>IF(ISNUMBER(G199),ROUND(F199-G199,2),"")</f>
        <v/>
      </c>
    </row>
    <row r="200">
      <c r="A200" s="13" t="n"/>
      <c r="B200" s="3" t="n"/>
      <c r="C200" s="3" t="n"/>
      <c r="D200" s="5" t="n"/>
      <c r="E200" s="14" t="n"/>
      <c r="F200" s="6">
        <f>IF(COUNTA(A200:E200)=0,"",IF(AND(ISNUMBER(D200),ISNUMBER(E200)),ROUND(D200*E200,2),"Check amounts"))</f>
        <v/>
      </c>
      <c r="G200" s="6">
        <f>IF(NOT(ISNUMBER(F200)),"",IF(COUNTIFS(Shops!$A$5:$A$14,B200,Shops!$B$5:$B$14,"&gt;=0",Shops!$B$5:$B$14,"&lt;=1")=0,"Check shop",ROUND(F200*INDEX(Shops!$B$5:$B$14,MATCH(B200,Shops!$A$5:$A$14,0)),2)))</f>
        <v/>
      </c>
      <c r="H200" s="6">
        <f>IF(ISNUMBER(G200),ROUND(F200-G200,2),"")</f>
        <v/>
      </c>
    </row>
    <row r="201">
      <c r="A201" s="13" t="n"/>
      <c r="B201" s="3" t="n"/>
      <c r="C201" s="3" t="n"/>
      <c r="D201" s="5" t="n"/>
      <c r="E201" s="14" t="n"/>
      <c r="F201" s="6">
        <f>IF(COUNTA(A201:E201)=0,"",IF(AND(ISNUMBER(D201),ISNUMBER(E201)),ROUND(D201*E201,2),"Check amounts"))</f>
        <v/>
      </c>
      <c r="G201" s="6">
        <f>IF(NOT(ISNUMBER(F201)),"",IF(COUNTIFS(Shops!$A$5:$A$14,B201,Shops!$B$5:$B$14,"&gt;=0",Shops!$B$5:$B$14,"&lt;=1")=0,"Check shop",ROUND(F201*INDEX(Shops!$B$5:$B$14,MATCH(B201,Shops!$A$5:$A$14,0)),2)))</f>
        <v/>
      </c>
      <c r="H201" s="6">
        <f>IF(ISNUMBER(G201),ROUND(F201-G201,2),"")</f>
        <v/>
      </c>
    </row>
    <row r="202">
      <c r="A202" s="13" t="n"/>
      <c r="B202" s="3" t="n"/>
      <c r="C202" s="3" t="n"/>
      <c r="D202" s="5" t="n"/>
      <c r="E202" s="14" t="n"/>
      <c r="F202" s="6">
        <f>IF(COUNTA(A202:E202)=0,"",IF(AND(ISNUMBER(D202),ISNUMBER(E202)),ROUND(D202*E202,2),"Check amounts"))</f>
        <v/>
      </c>
      <c r="G202" s="6">
        <f>IF(NOT(ISNUMBER(F202)),"",IF(COUNTIFS(Shops!$A$5:$A$14,B202,Shops!$B$5:$B$14,"&gt;=0",Shops!$B$5:$B$14,"&lt;=1")=0,"Check shop",ROUND(F202*INDEX(Shops!$B$5:$B$14,MATCH(B202,Shops!$A$5:$A$14,0)),2)))</f>
        <v/>
      </c>
      <c r="H202" s="6">
        <f>IF(ISNUMBER(G202),ROUND(F202-G202,2),"")</f>
        <v/>
      </c>
    </row>
    <row r="203">
      <c r="A203" s="13" t="n"/>
      <c r="B203" s="3" t="n"/>
      <c r="C203" s="3" t="n"/>
      <c r="D203" s="5" t="n"/>
      <c r="E203" s="14" t="n"/>
      <c r="F203" s="6">
        <f>IF(COUNTA(A203:E203)=0,"",IF(AND(ISNUMBER(D203),ISNUMBER(E203)),ROUND(D203*E203,2),"Check amounts"))</f>
        <v/>
      </c>
      <c r="G203" s="6">
        <f>IF(NOT(ISNUMBER(F203)),"",IF(COUNTIFS(Shops!$A$5:$A$14,B203,Shops!$B$5:$B$14,"&gt;=0",Shops!$B$5:$B$14,"&lt;=1")=0,"Check shop",ROUND(F203*INDEX(Shops!$B$5:$B$14,MATCH(B203,Shops!$A$5:$A$14,0)),2)))</f>
        <v/>
      </c>
      <c r="H203" s="6">
        <f>IF(ISNUMBER(G203),ROUND(F203-G203,2),"")</f>
        <v/>
      </c>
    </row>
    <row r="204">
      <c r="A204" s="13" t="n"/>
      <c r="B204" s="3" t="n"/>
      <c r="C204" s="3" t="n"/>
      <c r="D204" s="5" t="n"/>
      <c r="E204" s="14" t="n"/>
      <c r="F204" s="6">
        <f>IF(COUNTA(A204:E204)=0,"",IF(AND(ISNUMBER(D204),ISNUMBER(E204)),ROUND(D204*E204,2),"Check amounts"))</f>
        <v/>
      </c>
      <c r="G204" s="6">
        <f>IF(NOT(ISNUMBER(F204)),"",IF(COUNTIFS(Shops!$A$5:$A$14,B204,Shops!$B$5:$B$14,"&gt;=0",Shops!$B$5:$B$14,"&lt;=1")=0,"Check shop",ROUND(F204*INDEX(Shops!$B$5:$B$14,MATCH(B204,Shops!$A$5:$A$14,0)),2)))</f>
        <v/>
      </c>
      <c r="H204" s="6">
        <f>IF(ISNUMBER(G204),ROUND(F204-G204,2),"")</f>
        <v/>
      </c>
    </row>
  </sheetData>
  <conditionalFormatting sqref="A5:H204">
    <cfRule type="expression" priority="1" dxfId="0">
      <formula>OR($G5="Check shop",$F5="Check amounts")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Tidy Tabs: Calculate Consignment Payouts for Each Shop</t>
        </is>
      </c>
    </row>
    <row r="2">
      <c r="A2" s="16" t="inlineStr"/>
    </row>
    <row r="3">
      <c r="A3" s="16" t="inlineStr">
        <is>
          <t>1. Shops tab: list each shop once in A5:A14 (yellow), its commission rate in B (the share of each sale the shop keeps, formatted as a percent) and what it has already paid you in C. The sample has 3 fictional shops.</t>
        </is>
      </c>
    </row>
    <row r="4">
      <c r="A4" s="16" t="inlineStr">
        <is>
          <t>2. Sales tab: one row per sale in A5:E204 (yellow): date, shop, item, price each, quantity. The shop name must match the Shops list exactly (capital letters do not matter; a trailing space does). The sample has 30 fictional sales.</t>
        </is>
      </c>
    </row>
    <row r="5">
      <c r="A5" s="16" t="inlineStr">
        <is>
          <t>3. Gross, F5: =IF(COUNTA(A5:E5)=0,"",IF(AND(ISNUMBER(D5),ISNUMBER(E5)),ROUND(D5*E5,2),"Check amounts")).</t>
        </is>
      </c>
    </row>
    <row r="6">
      <c r="A6" s="16" t="inlineStr">
        <is>
          <t>4. Shop's cut, G5: the sale times the shop's rate, rounded to cents on each sale: =ROUND(F5*INDEX(Shops!$B$5:$B$14,MATCH(B5,Shops!$A$5:$A$14,0)),2). A shop that is not in the list, or has no rate between 0% and 100%, shows Check shop.</t>
        </is>
      </c>
    </row>
    <row r="7">
      <c r="A7" s="16" t="inlineStr">
        <is>
          <t>5. Your share, H5: =ROUND(F5-G5,2). Because the cut is rounded on each sale, the cut plus your share equals the gross to the cent.</t>
        </is>
      </c>
    </row>
    <row r="8">
      <c r="A8" s="16" t="inlineStr">
        <is>
          <t>6. Shops tab totals: D5 =SUMIFS(Sales!$F$5:$F$204,Sales!$B$5:$B$204,A5), E5 and F5 the same on columns G and H of Sales, H5 the quantity. Still owed to you, G5: =ROUND(F5-N(C5),2). A negative number means the shop has paid you more than your share; the Flag column says so.</t>
        </is>
      </c>
    </row>
    <row r="9">
      <c r="A9" s="16" t="inlineStr">
        <is>
          <t>7. L13 shows OK when gross = cut + your share, every sale has a listed shop and amounts, no shop is listed twice, rates and paid amounts are numbers, and nothing is typed below row 204 on the Sales tab. A shop paid more than it owes does not change L13; it is counted in L9.</t>
        </is>
      </c>
    </row>
    <row r="10">
      <c r="A10" s="16" t="inlineStr">
        <is>
          <t>8. This is arithmetic on the numbers you type. It does not say what your agreement with a shop requires, who owns unsold stock, or whether a shop collected sales tax.</t>
        </is>
      </c>
    </row>
    <row r="11">
      <c r="A11" s="16" t="inlineStr"/>
    </row>
    <row r="12">
      <c r="A12" s="16" t="inlineStr">
        <is>
          <t>Shops, items, dates and amounts are fictional. Checked in LibreOffice Calc only; not opened in Excel or Google Sheets.</t>
        </is>
      </c>
    </row>
    <row r="13">
      <c r="A13" s="16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2026-10-30T07:44:43Z</dcterms:created>
  <dcterms:modified xmlns:dcterms="http://purl.org/dc/terms/" xmlns:xsi="http://www.w3.org/2001/XMLSchema-instance" xsi:type="dcterms:W3CDTF">2026-10-30T07:44:43Z</dcterms:modified>
</cp:coreProperties>
</file>