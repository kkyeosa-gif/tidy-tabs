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0" fontId="0" fillId="3" borderId="0" pivotButton="0" quotePrefix="0" xfId="0"/>
    <xf numFmtId="166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</cols>
  <sheetData>
    <row r="1" ht="30" customHeight="1">
      <c r="A1" s="1" t="inlineStr">
        <is>
          <t>Order date</t>
        </is>
      </c>
      <c r="B1" s="1" t="inlineStr">
        <is>
          <t>Customer</t>
        </is>
      </c>
      <c r="C1" s="1" t="inlineStr">
        <is>
          <t>Amount</t>
        </is>
      </c>
    </row>
    <row r="2">
      <c r="A2" s="2" t="n">
        <v>46211</v>
      </c>
      <c r="B2" t="inlineStr">
        <is>
          <t>Harbor Coffee</t>
        </is>
      </c>
      <c r="C2" s="3" t="n">
        <v>120</v>
      </c>
    </row>
    <row r="3">
      <c r="A3" s="2" t="n">
        <v>46225</v>
      </c>
      <c r="B3" t="inlineStr">
        <is>
          <t>Maple Street Bakery</t>
        </is>
      </c>
      <c r="C3" s="3" t="n">
        <v>245.5</v>
      </c>
    </row>
    <row r="4">
      <c r="A4" s="2" t="n">
        <v>46239</v>
      </c>
      <c r="B4" t="inlineStr">
        <is>
          <t>Oak &amp; Ember Candles</t>
        </is>
      </c>
      <c r="C4" s="3" t="n">
        <v>89</v>
      </c>
    </row>
    <row r="5">
      <c r="A5" s="2" t="n">
        <v>46253</v>
      </c>
      <c r="B5" t="inlineStr">
        <is>
          <t>Lakeview Florist</t>
        </is>
      </c>
      <c r="C5" s="3" t="n">
        <v>310.25</v>
      </c>
    </row>
    <row r="6">
      <c r="A6" s="2" t="n">
        <v>46265</v>
      </c>
      <c r="B6" t="inlineStr">
        <is>
          <t>Harbor Coffee</t>
        </is>
      </c>
      <c r="C6" s="3" t="n">
        <v>150</v>
      </c>
    </row>
    <row r="7">
      <c r="A7" s="2" t="n">
        <v>46266</v>
      </c>
      <c r="B7" t="inlineStr">
        <is>
          <t>Maple Street Bakery</t>
        </is>
      </c>
      <c r="C7" s="3" t="n">
        <v>75</v>
      </c>
    </row>
    <row r="8">
      <c r="A8" s="2" t="n">
        <v>46279</v>
      </c>
      <c r="B8" t="inlineStr">
        <is>
          <t>Oak &amp; Ember Candles</t>
        </is>
      </c>
      <c r="C8" s="3" t="n">
        <v>420</v>
      </c>
    </row>
    <row r="9">
      <c r="A9" s="2" t="n">
        <v>46293</v>
      </c>
      <c r="B9" t="inlineStr">
        <is>
          <t>Lakeview Florist</t>
        </is>
      </c>
      <c r="C9" s="3" t="n">
        <v>198.75</v>
      </c>
    </row>
    <row r="10">
      <c r="A10" s="2" t="n">
        <v>46297</v>
      </c>
      <c r="B10" t="inlineStr">
        <is>
          <t>Harbor Coffee</t>
        </is>
      </c>
      <c r="C10" s="3" t="n">
        <v>260</v>
      </c>
    </row>
    <row r="11">
      <c r="A11" s="2" t="n">
        <v>46302</v>
      </c>
      <c r="B11" t="inlineStr">
        <is>
          <t>Maple Street Bakery</t>
        </is>
      </c>
      <c r="C11" s="3" t="n">
        <v>135.5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</cols>
  <sheetData>
    <row r="1" ht="30" customHeight="1">
      <c r="A1" s="1" t="inlineStr">
        <is>
          <t>Month start</t>
        </is>
      </c>
      <c r="B1" s="1" t="inlineStr">
        <is>
          <t>Orders</t>
        </is>
      </c>
      <c r="C1" s="1" t="inlineStr">
        <is>
          <t>Revenue</t>
        </is>
      </c>
    </row>
    <row r="2">
      <c r="A2" s="2" t="n">
        <v>46204</v>
      </c>
      <c r="B2" s="4">
        <f>COUNTIFS(Orders!$A$2:$A$200,"&gt;="&amp;A2,Orders!$A$2:$A$200,"&lt;"&amp;EDATE(A2,1))</f>
        <v/>
      </c>
      <c r="C2" s="5">
        <f>SUMIFS(Orders!$C$2:$C$200,Orders!$A$2:$A$200,"&gt;="&amp;A2,Orders!$A$2:$A$200,"&lt;"&amp;EDATE(A2,1))</f>
        <v/>
      </c>
    </row>
    <row r="3">
      <c r="A3" s="2" t="n">
        <v>46235</v>
      </c>
      <c r="B3" s="4">
        <f>COUNTIFS(Orders!$A$2:$A$200,"&gt;="&amp;A3,Orders!$A$2:$A$200,"&lt;"&amp;EDATE(A3,1))</f>
        <v/>
      </c>
      <c r="C3" s="5">
        <f>SUMIFS(Orders!$C$2:$C$200,Orders!$A$2:$A$200,"&gt;="&amp;A3,Orders!$A$2:$A$200,"&lt;"&amp;EDATE(A3,1))</f>
        <v/>
      </c>
    </row>
    <row r="4">
      <c r="A4" s="2" t="n">
        <v>46266</v>
      </c>
      <c r="B4" s="4">
        <f>COUNTIFS(Orders!$A$2:$A$200,"&gt;="&amp;A4,Orders!$A$2:$A$200,"&lt;"&amp;EDATE(A4,1))</f>
        <v/>
      </c>
      <c r="C4" s="5">
        <f>SUMIFS(Orders!$C$2:$C$200,Orders!$A$2:$A$200,"&gt;="&amp;A4,Orders!$A$2:$A$200,"&lt;"&amp;EDATE(A4,1))</f>
        <v/>
      </c>
    </row>
    <row r="5">
      <c r="A5" s="2" t="n">
        <v>46296</v>
      </c>
      <c r="B5" s="4">
        <f>COUNTIFS(Orders!$A$2:$A$200,"&gt;="&amp;A5,Orders!$A$2:$A$200,"&lt;"&amp;EDATE(A5,1))</f>
        <v/>
      </c>
      <c r="C5" s="5">
        <f>SUMIFS(Orders!$C$2:$C$200,Orders!$A$2:$A$200,"&gt;="&amp;A5,Orders!$A$2:$A$200,"&lt;"&amp;EDATE(A5,1))</f>
        <v/>
      </c>
    </row>
    <row r="6">
      <c r="A6" s="6" t="inlineStr">
        <is>
          <t>Total</t>
        </is>
      </c>
      <c r="B6">
        <f>SUM(B2:B5)</f>
        <v/>
      </c>
      <c r="C6" s="3">
        <f>SUM(C2:C5)</f>
        <v/>
      </c>
    </row>
    <row r="7">
      <c r="A7" s="6" t="inlineStr">
        <is>
          <t>Orders tab total</t>
        </is>
      </c>
      <c r="B7">
        <f>COUNT(Orders!A2:A200)</f>
        <v/>
      </c>
      <c r="C7" s="3">
        <f>SUM(Orders!C2:C200)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Tidy Tabs: Count Orders by Month With COUNTIFS</t>
        </is>
      </c>
    </row>
    <row r="2">
      <c r="A2" t="inlineStr"/>
    </row>
    <row r="3">
      <c r="A3" t="inlineStr">
        <is>
          <t>1. Orders tab: one row per order with a real date, the customer, and the amount. The formulas read rows 2 to 200.</t>
        </is>
      </c>
    </row>
    <row r="4">
      <c r="A4" t="inlineStr">
        <is>
          <t>2. Monthly tab, column A: type the first day of each month (07/01/2026). Format the cells as dates.</t>
        </is>
      </c>
    </row>
    <row r="5">
      <c r="A5" t="inlineStr">
        <is>
          <t>3. Orders: =COUNTIFS(Orders!$A$2:$A$200,"&gt;="&amp;A2,Orders!$A$2:$A$200,"&lt;"&amp;EDATE(A2,1)). It counts dates on or after the first of the month and before the first of the next month.</t>
        </is>
      </c>
    </row>
    <row r="6">
      <c r="A6" t="inlineStr">
        <is>
          <t>4. Revenue: the same two date tests inside SUMIFS, adding Orders!$C$2:$C$200.</t>
        </is>
      </c>
    </row>
    <row r="7">
      <c r="A7" t="inlineStr">
        <is>
          <t>5. Why "before the first of the next month" and not "on or before the last day": it also works if a date carries a time of day, such as 08/31/2026 3:30 PM.</t>
        </is>
      </c>
    </row>
    <row r="8">
      <c r="A8" t="inlineStr">
        <is>
          <t>6. Rows 6 and 7 compare the monthly totals with the whole Orders tab. If they differ, an order falls outside the months listed or its date is stored as text.</t>
        </is>
      </c>
    </row>
    <row r="9">
      <c r="A9" t="inlineStr">
        <is>
          <t>7. Sample edge: 08/31/2026 counts in August and 09/01/2026 counts in September.</t>
        </is>
      </c>
    </row>
    <row r="10">
      <c r="A10" t="inlineStr"/>
    </row>
    <row r="11">
      <c r="A11" t="inlineStr">
        <is>
          <t>Customers and amounts are fictional. Checked in LibreOffice Calc only; not opened in Excel or Google Sheets.</t>
        </is>
      </c>
    </row>
    <row r="12">
      <c r="A12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2026-10-08T07:27:17Z</dcterms:created>
  <dcterms:modified xmlns:dcterms="http://purl.org/dc/terms/" xmlns:xsi="http://www.w3.org/2001/XMLSchema-instance" xsi:type="dcterms:W3CDTF">2026-10-08T07:27:17Z</dcterms:modified>
</cp:coreProperties>
</file>