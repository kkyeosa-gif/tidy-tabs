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'Months'!$1:$1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0" fillId="4" borderId="0" pivotButton="0" quotePrefix="0" xfId="0"/>
    <xf numFmtId="166" fontId="0" fillId="4" borderId="0" pivotButton="0" quotePrefix="0" xfId="0"/>
    <xf numFmtId="166" fontId="0" fillId="3" borderId="0" pivotButton="0" quotePrefix="0" xfId="0"/>
    <xf numFmtId="0" fontId="0" fillId="3" borderId="0" pivotButton="0" quotePrefix="0" xfId="0"/>
    <xf numFmtId="49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7" customWidth="1" min="5" max="5"/>
    <col width="20" customWidth="1" min="6" max="6"/>
    <col width="4" customWidth="1" min="7" max="7"/>
    <col width="34" customWidth="1" min="8" max="8"/>
    <col width="14" customWidth="1" min="9" max="9"/>
    <col width="8" customWidth="1" min="11" max="11"/>
  </cols>
  <sheetData>
    <row r="1" ht="30" customHeight="1">
      <c r="A1" s="1" t="inlineStr">
        <is>
          <t>First day</t>
        </is>
      </c>
      <c r="B1" s="1" t="inlineStr">
        <is>
          <t>Last day</t>
        </is>
      </c>
      <c r="C1" s="1" t="inlineStr">
        <is>
          <t>Saturdays</t>
        </is>
      </c>
      <c r="D1" s="1" t="inlineStr">
        <is>
          <t>Sundays</t>
        </is>
      </c>
      <c r="E1" s="1" t="inlineStr">
        <is>
          <t>Day picked in I3</t>
        </is>
      </c>
      <c r="F1" s="1" t="inlineStr">
        <is>
          <t>Booth cost (Saturdays)</t>
        </is>
      </c>
      <c r="H1" s="2" t="inlineStr">
        <is>
          <t>Settings and totals</t>
        </is>
      </c>
      <c r="K1" s="2" t="inlineStr">
        <is>
          <t>Days</t>
        </is>
      </c>
    </row>
    <row r="2">
      <c r="A2" s="3" t="n">
        <v>46023</v>
      </c>
      <c r="B2" s="4">
        <f>IF(A2="","",EOMONTH(A2,0))</f>
        <v/>
      </c>
      <c r="C2" s="5">
        <f>IF(A2="","",NETWORKDAYS.INTL(A2,B2,"1111101"))</f>
        <v/>
      </c>
      <c r="D2" s="5">
        <f>IF(A2="","",NETWORKDAYS.INTL(A2,B2,"1111110"))</f>
        <v/>
      </c>
      <c r="E2" s="5">
        <f>IF(A2="","",NETWORKDAYS.INTL(A2,B2,$I$4))</f>
        <v/>
      </c>
      <c r="F2" s="6">
        <f>IF(A2="","",C2*$I$2)</f>
        <v/>
      </c>
      <c r="H2" t="inlineStr">
        <is>
          <t>Booth fee per market day</t>
        </is>
      </c>
      <c r="I2" s="7" t="n">
        <v>25</v>
      </c>
      <c r="K2" t="inlineStr">
        <is>
          <t>Mon</t>
        </is>
      </c>
    </row>
    <row r="3">
      <c r="A3" s="3" t="n">
        <v>46054</v>
      </c>
      <c r="B3" s="4">
        <f>IF(A3="","",EOMONTH(A3,0))</f>
        <v/>
      </c>
      <c r="C3" s="5">
        <f>IF(A3="","",NETWORKDAYS.INTL(A3,B3,"1111101"))</f>
        <v/>
      </c>
      <c r="D3" s="5">
        <f>IF(A3="","",NETWORKDAYS.INTL(A3,B3,"1111110"))</f>
        <v/>
      </c>
      <c r="E3" s="5">
        <f>IF(A3="","",NETWORKDAYS.INTL(A3,B3,$I$4))</f>
        <v/>
      </c>
      <c r="F3" s="6">
        <f>IF(A3="","",C3*$I$2)</f>
        <v/>
      </c>
      <c r="H3" t="inlineStr">
        <is>
          <t>Day to count in column E</t>
        </is>
      </c>
      <c r="I3" s="8" t="inlineStr">
        <is>
          <t>Fri</t>
        </is>
      </c>
      <c r="K3" t="inlineStr">
        <is>
          <t>Tue</t>
        </is>
      </c>
    </row>
    <row r="4">
      <c r="A4" s="3" t="n">
        <v>46082</v>
      </c>
      <c r="B4" s="4">
        <f>IF(A4="","",EOMONTH(A4,0))</f>
        <v/>
      </c>
      <c r="C4" s="5">
        <f>IF(A4="","",NETWORKDAYS.INTL(A4,B4,"1111101"))</f>
        <v/>
      </c>
      <c r="D4" s="5">
        <f>IF(A4="","",NETWORKDAYS.INTL(A4,B4,"1111110"))</f>
        <v/>
      </c>
      <c r="E4" s="5">
        <f>IF(A4="","",NETWORKDAYS.INTL(A4,B4,$I$4))</f>
        <v/>
      </c>
      <c r="F4" s="6">
        <f>IF(A4="","",C4*$I$2)</f>
        <v/>
      </c>
      <c r="H4" t="inlineStr">
        <is>
          <t>Weekend string for that day</t>
        </is>
      </c>
      <c r="I4" s="9">
        <f>REPT("1",MATCH(I3,$K$2:$K$8,0)-1)&amp;"0"&amp;REPT("1",7-MATCH(I3,$K$2:$K$8,0))</f>
        <v/>
      </c>
      <c r="K4" t="inlineStr">
        <is>
          <t>Wed</t>
        </is>
      </c>
    </row>
    <row r="5">
      <c r="A5" s="3" t="n">
        <v>46113</v>
      </c>
      <c r="B5" s="4">
        <f>IF(A5="","",EOMONTH(A5,0))</f>
        <v/>
      </c>
      <c r="C5" s="5">
        <f>IF(A5="","",NETWORKDAYS.INTL(A5,B5,"1111101"))</f>
        <v/>
      </c>
      <c r="D5" s="5">
        <f>IF(A5="","",NETWORKDAYS.INTL(A5,B5,"1111110"))</f>
        <v/>
      </c>
      <c r="E5" s="5">
        <f>IF(A5="","",NETWORKDAYS.INTL(A5,B5,$I$4))</f>
        <v/>
      </c>
      <c r="F5" s="6">
        <f>IF(A5="","",C5*$I$2)</f>
        <v/>
      </c>
      <c r="K5" t="inlineStr">
        <is>
          <t>Thu</t>
        </is>
      </c>
    </row>
    <row r="6">
      <c r="A6" s="3" t="n">
        <v>46143</v>
      </c>
      <c r="B6" s="4">
        <f>IF(A6="","",EOMONTH(A6,0))</f>
        <v/>
      </c>
      <c r="C6" s="5">
        <f>IF(A6="","",NETWORKDAYS.INTL(A6,B6,"1111101"))</f>
        <v/>
      </c>
      <c r="D6" s="5">
        <f>IF(A6="","",NETWORKDAYS.INTL(A6,B6,"1111110"))</f>
        <v/>
      </c>
      <c r="E6" s="5">
        <f>IF(A6="","",NETWORKDAYS.INTL(A6,B6,$I$4))</f>
        <v/>
      </c>
      <c r="F6" s="6">
        <f>IF(A6="","",C6*$I$2)</f>
        <v/>
      </c>
      <c r="H6" t="inlineStr">
        <is>
          <t>Saturdays in the year</t>
        </is>
      </c>
      <c r="I6" s="5">
        <f>SUM(C2:C25)</f>
        <v/>
      </c>
      <c r="K6" t="inlineStr">
        <is>
          <t>Fri</t>
        </is>
      </c>
    </row>
    <row r="7">
      <c r="A7" s="3" t="n">
        <v>46174</v>
      </c>
      <c r="B7" s="4">
        <f>IF(A7="","",EOMONTH(A7,0))</f>
        <v/>
      </c>
      <c r="C7" s="5">
        <f>IF(A7="","",NETWORKDAYS.INTL(A7,B7,"1111101"))</f>
        <v/>
      </c>
      <c r="D7" s="5">
        <f>IF(A7="","",NETWORKDAYS.INTL(A7,B7,"1111110"))</f>
        <v/>
      </c>
      <c r="E7" s="5">
        <f>IF(A7="","",NETWORKDAYS.INTL(A7,B7,$I$4))</f>
        <v/>
      </c>
      <c r="F7" s="6">
        <f>IF(A7="","",C7*$I$2)</f>
        <v/>
      </c>
      <c r="H7" t="inlineStr">
        <is>
          <t>Sundays in the year</t>
        </is>
      </c>
      <c r="I7" s="5">
        <f>SUM(D2:D25)</f>
        <v/>
      </c>
      <c r="K7" t="inlineStr">
        <is>
          <t>Sat</t>
        </is>
      </c>
    </row>
    <row r="8">
      <c r="A8" s="3" t="n">
        <v>46204</v>
      </c>
      <c r="B8" s="4">
        <f>IF(A8="","",EOMONTH(A8,0))</f>
        <v/>
      </c>
      <c r="C8" s="5">
        <f>IF(A8="","",NETWORKDAYS.INTL(A8,B8,"1111101"))</f>
        <v/>
      </c>
      <c r="D8" s="5">
        <f>IF(A8="","",NETWORKDAYS.INTL(A8,B8,"1111110"))</f>
        <v/>
      </c>
      <c r="E8" s="5">
        <f>IF(A8="","",NETWORKDAYS.INTL(A8,B8,$I$4))</f>
        <v/>
      </c>
      <c r="F8" s="6">
        <f>IF(A8="","",C8*$I$2)</f>
        <v/>
      </c>
      <c r="H8" t="inlineStr">
        <is>
          <t>Booth cost for the year</t>
        </is>
      </c>
      <c r="I8" s="6">
        <f>SUM(F2:F25)</f>
        <v/>
      </c>
      <c r="K8" t="inlineStr">
        <is>
          <t>Sun</t>
        </is>
      </c>
    </row>
    <row r="9">
      <c r="A9" s="3" t="n">
        <v>46235</v>
      </c>
      <c r="B9" s="4">
        <f>IF(A9="","",EOMONTH(A9,0))</f>
        <v/>
      </c>
      <c r="C9" s="5">
        <f>IF(A9="","",NETWORKDAYS.INTL(A9,B9,"1111101"))</f>
        <v/>
      </c>
      <c r="D9" s="5">
        <f>IF(A9="","",NETWORKDAYS.INTL(A9,B9,"1111110"))</f>
        <v/>
      </c>
      <c r="E9" s="5">
        <f>IF(A9="","",NETWORKDAYS.INTL(A9,B9,$I$4))</f>
        <v/>
      </c>
      <c r="F9" s="6">
        <f>IF(A9="","",C9*$I$2)</f>
        <v/>
      </c>
      <c r="H9" s="10" t="inlineStr">
        <is>
          <t>Check: Saturdays match one count over the whole span</t>
        </is>
      </c>
      <c r="I9" s="5">
        <f>IF(COUNT(A2:A25)=0,"",IF(I6=NETWORKDAYS.INTL(MIN(A2:A25),EOMONTH(MAX(A2:A25),0),"1111101"),"OK","CHECK"))</f>
        <v/>
      </c>
    </row>
    <row r="10">
      <c r="A10" s="3" t="n">
        <v>46266</v>
      </c>
      <c r="B10" s="4">
        <f>IF(A10="","",EOMONTH(A10,0))</f>
        <v/>
      </c>
      <c r="C10" s="5">
        <f>IF(A10="","",NETWORKDAYS.INTL(A10,B10,"1111101"))</f>
        <v/>
      </c>
      <c r="D10" s="5">
        <f>IF(A10="","",NETWORKDAYS.INTL(A10,B10,"1111110"))</f>
        <v/>
      </c>
      <c r="E10" s="5">
        <f>IF(A10="","",NETWORKDAYS.INTL(A10,B10,$I$4))</f>
        <v/>
      </c>
      <c r="F10" s="6">
        <f>IF(A10="","",C10*$I$2)</f>
        <v/>
      </c>
    </row>
    <row r="11">
      <c r="A11" s="3" t="n">
        <v>46296</v>
      </c>
      <c r="B11" s="4">
        <f>IF(A11="","",EOMONTH(A11,0))</f>
        <v/>
      </c>
      <c r="C11" s="5">
        <f>IF(A11="","",NETWORKDAYS.INTL(A11,B11,"1111101"))</f>
        <v/>
      </c>
      <c r="D11" s="5">
        <f>IF(A11="","",NETWORKDAYS.INTL(A11,B11,"1111110"))</f>
        <v/>
      </c>
      <c r="E11" s="5">
        <f>IF(A11="","",NETWORKDAYS.INTL(A11,B11,$I$4))</f>
        <v/>
      </c>
      <c r="F11" s="6">
        <f>IF(A11="","",C11*$I$2)</f>
        <v/>
      </c>
    </row>
    <row r="12">
      <c r="A12" s="3" t="n">
        <v>46327</v>
      </c>
      <c r="B12" s="4">
        <f>IF(A12="","",EOMONTH(A12,0))</f>
        <v/>
      </c>
      <c r="C12" s="5">
        <f>IF(A12="","",NETWORKDAYS.INTL(A12,B12,"1111101"))</f>
        <v/>
      </c>
      <c r="D12" s="5">
        <f>IF(A12="","",NETWORKDAYS.INTL(A12,B12,"1111110"))</f>
        <v/>
      </c>
      <c r="E12" s="5">
        <f>IF(A12="","",NETWORKDAYS.INTL(A12,B12,$I$4))</f>
        <v/>
      </c>
      <c r="F12" s="6">
        <f>IF(A12="","",C12*$I$2)</f>
        <v/>
      </c>
    </row>
    <row r="13">
      <c r="A13" s="3" t="n">
        <v>46357</v>
      </c>
      <c r="B13" s="4">
        <f>IF(A13="","",EOMONTH(A13,0))</f>
        <v/>
      </c>
      <c r="C13" s="5">
        <f>IF(A13="","",NETWORKDAYS.INTL(A13,B13,"1111101"))</f>
        <v/>
      </c>
      <c r="D13" s="5">
        <f>IF(A13="","",NETWORKDAYS.INTL(A13,B13,"1111110"))</f>
        <v/>
      </c>
      <c r="E13" s="5">
        <f>IF(A13="","",NETWORKDAYS.INTL(A13,B13,$I$4))</f>
        <v/>
      </c>
      <c r="F13" s="6">
        <f>IF(A13="","",C13*$I$2)</f>
        <v/>
      </c>
    </row>
    <row r="14">
      <c r="A14" s="3" t="n"/>
      <c r="B14" s="4">
        <f>IF(A14="","",EOMONTH(A14,0))</f>
        <v/>
      </c>
      <c r="C14" s="5">
        <f>IF(A14="","",NETWORKDAYS.INTL(A14,B14,"1111101"))</f>
        <v/>
      </c>
      <c r="D14" s="5">
        <f>IF(A14="","",NETWORKDAYS.INTL(A14,B14,"1111110"))</f>
        <v/>
      </c>
      <c r="E14" s="5">
        <f>IF(A14="","",NETWORKDAYS.INTL(A14,B14,$I$4))</f>
        <v/>
      </c>
      <c r="F14" s="6">
        <f>IF(A14="","",C14*$I$2)</f>
        <v/>
      </c>
    </row>
    <row r="15">
      <c r="A15" s="3" t="n"/>
      <c r="B15" s="4">
        <f>IF(A15="","",EOMONTH(A15,0))</f>
        <v/>
      </c>
      <c r="C15" s="5">
        <f>IF(A15="","",NETWORKDAYS.INTL(A15,B15,"1111101"))</f>
        <v/>
      </c>
      <c r="D15" s="5">
        <f>IF(A15="","",NETWORKDAYS.INTL(A15,B15,"1111110"))</f>
        <v/>
      </c>
      <c r="E15" s="5">
        <f>IF(A15="","",NETWORKDAYS.INTL(A15,B15,$I$4))</f>
        <v/>
      </c>
      <c r="F15" s="6">
        <f>IF(A15="","",C15*$I$2)</f>
        <v/>
      </c>
    </row>
    <row r="16">
      <c r="A16" s="3" t="n"/>
      <c r="B16" s="4">
        <f>IF(A16="","",EOMONTH(A16,0))</f>
        <v/>
      </c>
      <c r="C16" s="5">
        <f>IF(A16="","",NETWORKDAYS.INTL(A16,B16,"1111101"))</f>
        <v/>
      </c>
      <c r="D16" s="5">
        <f>IF(A16="","",NETWORKDAYS.INTL(A16,B16,"1111110"))</f>
        <v/>
      </c>
      <c r="E16" s="5">
        <f>IF(A16="","",NETWORKDAYS.INTL(A16,B16,$I$4))</f>
        <v/>
      </c>
      <c r="F16" s="6">
        <f>IF(A16="","",C16*$I$2)</f>
        <v/>
      </c>
    </row>
    <row r="17">
      <c r="A17" s="3" t="n"/>
      <c r="B17" s="4">
        <f>IF(A17="","",EOMONTH(A17,0))</f>
        <v/>
      </c>
      <c r="C17" s="5">
        <f>IF(A17="","",NETWORKDAYS.INTL(A17,B17,"1111101"))</f>
        <v/>
      </c>
      <c r="D17" s="5">
        <f>IF(A17="","",NETWORKDAYS.INTL(A17,B17,"1111110"))</f>
        <v/>
      </c>
      <c r="E17" s="5">
        <f>IF(A17="","",NETWORKDAYS.INTL(A17,B17,$I$4))</f>
        <v/>
      </c>
      <c r="F17" s="6">
        <f>IF(A17="","",C17*$I$2)</f>
        <v/>
      </c>
    </row>
    <row r="18">
      <c r="A18" s="3" t="n"/>
      <c r="B18" s="4">
        <f>IF(A18="","",EOMONTH(A18,0))</f>
        <v/>
      </c>
      <c r="C18" s="5">
        <f>IF(A18="","",NETWORKDAYS.INTL(A18,B18,"1111101"))</f>
        <v/>
      </c>
      <c r="D18" s="5">
        <f>IF(A18="","",NETWORKDAYS.INTL(A18,B18,"1111110"))</f>
        <v/>
      </c>
      <c r="E18" s="5">
        <f>IF(A18="","",NETWORKDAYS.INTL(A18,B18,$I$4))</f>
        <v/>
      </c>
      <c r="F18" s="6">
        <f>IF(A18="","",C18*$I$2)</f>
        <v/>
      </c>
    </row>
    <row r="19">
      <c r="A19" s="3" t="n"/>
      <c r="B19" s="4">
        <f>IF(A19="","",EOMONTH(A19,0))</f>
        <v/>
      </c>
      <c r="C19" s="5">
        <f>IF(A19="","",NETWORKDAYS.INTL(A19,B19,"1111101"))</f>
        <v/>
      </c>
      <c r="D19" s="5">
        <f>IF(A19="","",NETWORKDAYS.INTL(A19,B19,"1111110"))</f>
        <v/>
      </c>
      <c r="E19" s="5">
        <f>IF(A19="","",NETWORKDAYS.INTL(A19,B19,$I$4))</f>
        <v/>
      </c>
      <c r="F19" s="6">
        <f>IF(A19="","",C19*$I$2)</f>
        <v/>
      </c>
    </row>
    <row r="20">
      <c r="A20" s="3" t="n"/>
      <c r="B20" s="4">
        <f>IF(A20="","",EOMONTH(A20,0))</f>
        <v/>
      </c>
      <c r="C20" s="5">
        <f>IF(A20="","",NETWORKDAYS.INTL(A20,B20,"1111101"))</f>
        <v/>
      </c>
      <c r="D20" s="5">
        <f>IF(A20="","",NETWORKDAYS.INTL(A20,B20,"1111110"))</f>
        <v/>
      </c>
      <c r="E20" s="5">
        <f>IF(A20="","",NETWORKDAYS.INTL(A20,B20,$I$4))</f>
        <v/>
      </c>
      <c r="F20" s="6">
        <f>IF(A20="","",C20*$I$2)</f>
        <v/>
      </c>
    </row>
    <row r="21">
      <c r="A21" s="3" t="n"/>
      <c r="B21" s="4">
        <f>IF(A21="","",EOMONTH(A21,0))</f>
        <v/>
      </c>
      <c r="C21" s="5">
        <f>IF(A21="","",NETWORKDAYS.INTL(A21,B21,"1111101"))</f>
        <v/>
      </c>
      <c r="D21" s="5">
        <f>IF(A21="","",NETWORKDAYS.INTL(A21,B21,"1111110"))</f>
        <v/>
      </c>
      <c r="E21" s="5">
        <f>IF(A21="","",NETWORKDAYS.INTL(A21,B21,$I$4))</f>
        <v/>
      </c>
      <c r="F21" s="6">
        <f>IF(A21="","",C21*$I$2)</f>
        <v/>
      </c>
    </row>
    <row r="22">
      <c r="A22" s="3" t="n"/>
      <c r="B22" s="4">
        <f>IF(A22="","",EOMONTH(A22,0))</f>
        <v/>
      </c>
      <c r="C22" s="5">
        <f>IF(A22="","",NETWORKDAYS.INTL(A22,B22,"1111101"))</f>
        <v/>
      </c>
      <c r="D22" s="5">
        <f>IF(A22="","",NETWORKDAYS.INTL(A22,B22,"1111110"))</f>
        <v/>
      </c>
      <c r="E22" s="5">
        <f>IF(A22="","",NETWORKDAYS.INTL(A22,B22,$I$4))</f>
        <v/>
      </c>
      <c r="F22" s="6">
        <f>IF(A22="","",C22*$I$2)</f>
        <v/>
      </c>
    </row>
    <row r="23">
      <c r="A23" s="3" t="n"/>
      <c r="B23" s="4">
        <f>IF(A23="","",EOMONTH(A23,0))</f>
        <v/>
      </c>
      <c r="C23" s="5">
        <f>IF(A23="","",NETWORKDAYS.INTL(A23,B23,"1111101"))</f>
        <v/>
      </c>
      <c r="D23" s="5">
        <f>IF(A23="","",NETWORKDAYS.INTL(A23,B23,"1111110"))</f>
        <v/>
      </c>
      <c r="E23" s="5">
        <f>IF(A23="","",NETWORKDAYS.INTL(A23,B23,$I$4))</f>
        <v/>
      </c>
      <c r="F23" s="6">
        <f>IF(A23="","",C23*$I$2)</f>
        <v/>
      </c>
    </row>
    <row r="24">
      <c r="A24" s="3" t="n"/>
      <c r="B24" s="4">
        <f>IF(A24="","",EOMONTH(A24,0))</f>
        <v/>
      </c>
      <c r="C24" s="5">
        <f>IF(A24="","",NETWORKDAYS.INTL(A24,B24,"1111101"))</f>
        <v/>
      </c>
      <c r="D24" s="5">
        <f>IF(A24="","",NETWORKDAYS.INTL(A24,B24,"1111110"))</f>
        <v/>
      </c>
      <c r="E24" s="5">
        <f>IF(A24="","",NETWORKDAYS.INTL(A24,B24,$I$4))</f>
        <v/>
      </c>
      <c r="F24" s="6">
        <f>IF(A24="","",C24*$I$2)</f>
        <v/>
      </c>
    </row>
    <row r="25">
      <c r="A25" s="3" t="n"/>
      <c r="B25" s="4">
        <f>IF(A25="","",EOMONTH(A25,0))</f>
        <v/>
      </c>
      <c r="C25" s="5">
        <f>IF(A25="","",NETWORKDAYS.INTL(A25,B25,"1111101"))</f>
        <v/>
      </c>
      <c r="D25" s="5">
        <f>IF(A25="","",NETWORKDAYS.INTL(A25,B25,"1111110"))</f>
        <v/>
      </c>
      <c r="E25" s="5">
        <f>IF(A25="","",NETWORKDAYS.INTL(A25,B25,$I$4))</f>
        <v/>
      </c>
      <c r="F25" s="6">
        <f>IF(A25="","",C25*$I$2)</f>
        <v/>
      </c>
    </row>
  </sheetData>
  <dataValidations count="1">
    <dataValidation sqref="I3" showDropDown="0" showInputMessage="0" showErrorMessage="0" allowBlank="0" type="list">
      <formula1>=$K$2:$K$8</formula1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Count Market Saturdays in a Month With NETWORKDAYS.INTL</t>
        </is>
      </c>
    </row>
    <row r="2">
      <c r="A2" s="10" t="inlineStr"/>
    </row>
    <row r="3">
      <c r="A3" s="10" t="inlineStr">
        <is>
          <t>1. Months tab: column A holds the first day of each month (yellow = input). Rows 2 to 13 are January to December 2026. Rows 14 to 25 are ready for more months.</t>
        </is>
      </c>
    </row>
    <row r="4">
      <c r="A4" s="10" t="inlineStr">
        <is>
          <t>2. B2: =EOMONTH(A2,0) gives the last day of that month.</t>
        </is>
      </c>
    </row>
    <row r="5">
      <c r="A5" s="10" t="inlineStr">
        <is>
          <t>3. C2: =NETWORKDAYS.INTL(A2,B2,"1111101") counts Saturdays. The string has seven digits for Monday to Sunday. 1 means skip that day, 0 means count it. Only the sixth digit (Saturday) is 0.</t>
        </is>
      </c>
    </row>
    <row r="6">
      <c r="A6" s="10" t="inlineStr">
        <is>
          <t>4. D2 uses "1111110" to count Sundays instead.</t>
        </is>
      </c>
    </row>
    <row r="7">
      <c r="A7" s="10" t="inlineStr">
        <is>
          <t>5. I3 picks any weekday from a dropdown. I4 builds its string with REPT, and E2 uses it: =NETWORKDAYS.INTL(A2,B2,$I$4).</t>
        </is>
      </c>
    </row>
    <row r="8">
      <c r="A8" s="10" t="inlineStr">
        <is>
          <t>6. F2: =C2*$I$2 multiplies the Saturdays by the booth fee per market day in I2. It counts calendar Saturdays only. Your real market days, holidays and fees are set by the market.</t>
        </is>
      </c>
    </row>
    <row r="9">
      <c r="A9" s="10" t="inlineStr">
        <is>
          <t>7. The first date counts too. If the start date is after the end date, the result is negative. The dates must be real dates, not text.</t>
        </is>
      </c>
    </row>
    <row r="10">
      <c r="A10" s="10" t="inlineStr">
        <is>
          <t>8. I9 checks that the monthly Saturdays add up to one count over the whole span.</t>
        </is>
      </c>
    </row>
    <row r="11">
      <c r="A11" s="10" t="inlineStr"/>
    </row>
    <row r="12">
      <c r="A12" s="10" t="inlineStr">
        <is>
          <t>Dates and fees are fictional. Checked in LibreOffice Calc only; not opened in Excel or Google Sheets.</t>
        </is>
      </c>
    </row>
    <row r="13">
      <c r="A13" s="10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2026-10-13T07:28:16Z</dcterms:created>
  <dcterms:modified xmlns:dcterms="http://purl.org/dc/terms/" xmlns:xsi="http://www.w3.org/2001/XMLSchema-instance" xsi:type="dcterms:W3CDTF">2026-10-13T07:28:16Z</dcterms:modified>
</cp:coreProperties>
</file>