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Stock log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  <col width="9" customWidth="1" min="9" max="9"/>
    <col width="11" customWidth="1" min="10" max="10"/>
    <col width="13" customWidth="1" min="11" max="11"/>
    <col width="16" customWidth="1" min="12" max="12"/>
    <col width="18" customWidth="1" min="14" max="14"/>
    <col width="14" customWidth="1" min="15" max="15"/>
  </cols>
  <sheetData>
    <row r="1" ht="30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Unit cost</t>
        </is>
      </c>
      <c r="E1" s="1" t="inlineStr">
        <is>
          <t>Sale price</t>
        </is>
      </c>
      <c r="F1" s="1" t="inlineStr">
        <is>
          <t>Starting qty</t>
        </is>
      </c>
      <c r="G1" s="1" t="inlineStr">
        <is>
          <t>Qty in</t>
        </is>
      </c>
      <c r="H1" s="1" t="inlineStr">
        <is>
          <t>Qty out</t>
        </is>
      </c>
      <c r="I1" s="1" t="inlineStr">
        <is>
          <t>On hand</t>
        </is>
      </c>
      <c r="J1" s="1" t="inlineStr">
        <is>
          <t>Reorder at</t>
        </is>
      </c>
      <c r="K1" s="1" t="inlineStr">
        <is>
          <t>Status</t>
        </is>
      </c>
      <c r="L1" s="1" t="inlineStr">
        <is>
          <t>Stock value (cost)</t>
        </is>
      </c>
      <c r="N1" s="2" t="inlineStr">
        <is>
          <t>Total stock value</t>
        </is>
      </c>
      <c r="O1" s="3">
        <f>SUM(L2:L500)</f>
        <v/>
      </c>
    </row>
    <row r="2">
      <c r="A2" t="inlineStr">
        <is>
          <t>CND-LAV8</t>
        </is>
      </c>
      <c r="B2" t="inlineStr">
        <is>
          <t>Lavender soy candle, 8 oz</t>
        </is>
      </c>
      <c r="C2" t="inlineStr">
        <is>
          <t>Candles</t>
        </is>
      </c>
      <c r="D2" s="3" t="n">
        <v>4.1</v>
      </c>
      <c r="E2" s="3" t="n">
        <v>18</v>
      </c>
      <c r="F2" t="n">
        <v>40</v>
      </c>
      <c r="G2" s="4">
        <f>SUMIFS('Stock log'!$C:$C,'Stock log'!$B:$B,A2)</f>
        <v/>
      </c>
      <c r="H2" s="4">
        <f>SUMIFS('Stock log'!$D:$D,'Stock log'!$B:$B,A2)</f>
        <v/>
      </c>
      <c r="I2" s="4">
        <f>F2+G2-H2</f>
        <v/>
      </c>
      <c r="J2" t="n">
        <v>10</v>
      </c>
      <c r="K2" s="4">
        <f>IF(A2="","",IF(I2&lt;=J2,"REORDER","OK"))</f>
        <v/>
      </c>
      <c r="L2" s="5">
        <f>I2*D2</f>
        <v/>
      </c>
    </row>
    <row r="3">
      <c r="A3" t="inlineStr">
        <is>
          <t>CND-CED8</t>
        </is>
      </c>
      <c r="B3" t="inlineStr">
        <is>
          <t>Cedar soy candle, 8 oz</t>
        </is>
      </c>
      <c r="C3" t="inlineStr">
        <is>
          <t>Candles</t>
        </is>
      </c>
      <c r="D3" s="3" t="n">
        <v>4.25</v>
      </c>
      <c r="E3" s="3" t="n">
        <v>18</v>
      </c>
      <c r="F3" t="n">
        <v>25</v>
      </c>
      <c r="G3" s="4">
        <f>SUMIFS('Stock log'!$C:$C,'Stock log'!$B:$B,A3)</f>
        <v/>
      </c>
      <c r="H3" s="4">
        <f>SUMIFS('Stock log'!$D:$D,'Stock log'!$B:$B,A3)</f>
        <v/>
      </c>
      <c r="I3" s="4">
        <f>F3+G3-H3</f>
        <v/>
      </c>
      <c r="J3" t="n">
        <v>10</v>
      </c>
      <c r="K3" s="4">
        <f>IF(A3="","",IF(I3&lt;=J3,"REORDER","OK"))</f>
        <v/>
      </c>
      <c r="L3" s="5">
        <f>I3*D3</f>
        <v/>
      </c>
    </row>
    <row r="4">
      <c r="A4" t="inlineStr">
        <is>
          <t>SOP-OAT</t>
        </is>
      </c>
      <c r="B4" t="inlineStr">
        <is>
          <t>Oatmeal goat milk soap bar</t>
        </is>
      </c>
      <c r="C4" t="inlineStr">
        <is>
          <t>Soap</t>
        </is>
      </c>
      <c r="D4" s="3" t="n">
        <v>1.85</v>
      </c>
      <c r="E4" s="3" t="n">
        <v>8</v>
      </c>
      <c r="F4" t="n">
        <v>60</v>
      </c>
      <c r="G4" s="4">
        <f>SUMIFS('Stock log'!$C:$C,'Stock log'!$B:$B,A4)</f>
        <v/>
      </c>
      <c r="H4" s="4">
        <f>SUMIFS('Stock log'!$D:$D,'Stock log'!$B:$B,A4)</f>
        <v/>
      </c>
      <c r="I4" s="4">
        <f>F4+G4-H4</f>
        <v/>
      </c>
      <c r="J4" t="n">
        <v>20</v>
      </c>
      <c r="K4" s="4">
        <f>IF(A4="","",IF(I4&lt;=J4,"REORDER","OK"))</f>
        <v/>
      </c>
      <c r="L4" s="5">
        <f>I4*D4</f>
        <v/>
      </c>
    </row>
    <row r="5">
      <c r="A5" t="inlineStr">
        <is>
          <t>SOP-CHR</t>
        </is>
      </c>
      <c r="B5" t="inlineStr">
        <is>
          <t>Charcoal soap bar</t>
        </is>
      </c>
      <c r="C5" t="inlineStr">
        <is>
          <t>Soap</t>
        </is>
      </c>
      <c r="D5" s="3" t="n">
        <v>2.05</v>
      </c>
      <c r="E5" s="3" t="n">
        <v>8.5</v>
      </c>
      <c r="F5" t="n">
        <v>30</v>
      </c>
      <c r="G5" s="4">
        <f>SUMIFS('Stock log'!$C:$C,'Stock log'!$B:$B,A5)</f>
        <v/>
      </c>
      <c r="H5" s="4">
        <f>SUMIFS('Stock log'!$D:$D,'Stock log'!$B:$B,A5)</f>
        <v/>
      </c>
      <c r="I5" s="4">
        <f>F5+G5-H5</f>
        <v/>
      </c>
      <c r="J5" t="n">
        <v>20</v>
      </c>
      <c r="K5" s="4">
        <f>IF(A5="","",IF(I5&lt;=J5,"REORDER","OK"))</f>
        <v/>
      </c>
      <c r="L5" s="5">
        <f>I5*D5</f>
        <v/>
      </c>
    </row>
    <row r="6">
      <c r="A6" t="inlineStr">
        <is>
          <t>EAR-HOOP</t>
        </is>
      </c>
      <c r="B6" t="inlineStr">
        <is>
          <t>Brass hoop earrings</t>
        </is>
      </c>
      <c r="C6" t="inlineStr">
        <is>
          <t>Jewelry</t>
        </is>
      </c>
      <c r="D6" s="3" t="n">
        <v>3.4</v>
      </c>
      <c r="E6" s="3" t="n">
        <v>24</v>
      </c>
      <c r="F6" t="n">
        <v>15</v>
      </c>
      <c r="G6" s="4">
        <f>SUMIFS('Stock log'!$C:$C,'Stock log'!$B:$B,A6)</f>
        <v/>
      </c>
      <c r="H6" s="4">
        <f>SUMIFS('Stock log'!$D:$D,'Stock log'!$B:$B,A6)</f>
        <v/>
      </c>
      <c r="I6" s="4">
        <f>F6+G6-H6</f>
        <v/>
      </c>
      <c r="J6" t="n">
        <v>5</v>
      </c>
      <c r="K6" s="4">
        <f>IF(A6="","",IF(I6&lt;=J6,"REORDER","OK"))</f>
        <v/>
      </c>
      <c r="L6" s="5">
        <f>I6*D6</f>
        <v/>
      </c>
    </row>
    <row r="7">
      <c r="A7" t="inlineStr">
        <is>
          <t>CRD-BDAY</t>
        </is>
      </c>
      <c r="B7" t="inlineStr">
        <is>
          <t>Letterpress birthday card</t>
        </is>
      </c>
      <c r="C7" t="inlineStr">
        <is>
          <t>Cards</t>
        </is>
      </c>
      <c r="D7" s="3" t="n">
        <v>0.95</v>
      </c>
      <c r="E7" s="3" t="n">
        <v>6</v>
      </c>
      <c r="F7" t="n">
        <v>80</v>
      </c>
      <c r="G7" s="4">
        <f>SUMIFS('Stock log'!$C:$C,'Stock log'!$B:$B,A7)</f>
        <v/>
      </c>
      <c r="H7" s="4">
        <f>SUMIFS('Stock log'!$D:$D,'Stock log'!$B:$B,A7)</f>
        <v/>
      </c>
      <c r="I7" s="4">
        <f>F7+G7-H7</f>
        <v/>
      </c>
      <c r="J7" t="n">
        <v>25</v>
      </c>
      <c r="K7" s="4">
        <f>IF(A7="","",IF(I7&lt;=J7,"REORDER","OK"))</f>
        <v/>
      </c>
      <c r="L7" s="5">
        <f>I7*D7</f>
        <v/>
      </c>
    </row>
    <row r="8">
      <c r="A8" t="inlineStr">
        <is>
          <t>PKG-BOX6</t>
        </is>
      </c>
      <c r="B8" t="inlineStr">
        <is>
          <t>Kraft mailer box 6x6x4</t>
        </is>
      </c>
      <c r="C8" t="inlineStr">
        <is>
          <t>Supplies</t>
        </is>
      </c>
      <c r="D8" s="3" t="n">
        <v>0.62</v>
      </c>
      <c r="E8" s="3" t="n">
        <v>0</v>
      </c>
      <c r="F8" t="n">
        <v>100</v>
      </c>
      <c r="G8" s="4">
        <f>SUMIFS('Stock log'!$C:$C,'Stock log'!$B:$B,A8)</f>
        <v/>
      </c>
      <c r="H8" s="4">
        <f>SUMIFS('Stock log'!$D:$D,'Stock log'!$B:$B,A8)</f>
        <v/>
      </c>
      <c r="I8" s="4">
        <f>F8+G8-H8</f>
        <v/>
      </c>
      <c r="J8" t="n">
        <v>40</v>
      </c>
      <c r="K8" s="4">
        <f>IF(A8="","",IF(I8&lt;=J8,"REORDER","OK"))</f>
        <v/>
      </c>
      <c r="L8" s="5">
        <f>I8*D8</f>
        <v/>
      </c>
    </row>
  </sheetData>
  <conditionalFormatting sqref="K2:K500">
    <cfRule type="expression" priority="1" dxfId="0">
      <formula>$K2="REORDER"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40" customWidth="1" min="5" max="5"/>
  </cols>
  <sheetData>
    <row r="1" ht="30" customHeight="1">
      <c r="A1" s="1" t="inlineStr">
        <is>
          <t>Date</t>
        </is>
      </c>
      <c r="B1" s="1" t="inlineStr">
        <is>
          <t>SKU</t>
        </is>
      </c>
      <c r="C1" s="1" t="inlineStr">
        <is>
          <t>Qty in</t>
        </is>
      </c>
      <c r="D1" s="1" t="inlineStr">
        <is>
          <t>Qty out</t>
        </is>
      </c>
      <c r="E1" s="1" t="inlineStr">
        <is>
          <t>Note</t>
        </is>
      </c>
    </row>
    <row r="2">
      <c r="A2" s="6" t="n">
        <v>46266</v>
      </c>
      <c r="B2" t="inlineStr">
        <is>
          <t>CND-LAV8</t>
        </is>
      </c>
      <c r="C2" t="n">
        <v>24</v>
      </c>
      <c r="D2" t="n">
        <v>0</v>
      </c>
      <c r="E2" t="inlineStr">
        <is>
          <t>Poured batch #14</t>
        </is>
      </c>
    </row>
    <row r="3">
      <c r="A3" s="6" t="n">
        <v>46268</v>
      </c>
      <c r="B3" t="inlineStr">
        <is>
          <t>CND-LAV8</t>
        </is>
      </c>
      <c r="C3" t="n">
        <v>0</v>
      </c>
      <c r="D3" t="n">
        <v>12</v>
      </c>
      <c r="E3" t="inlineStr">
        <is>
          <t>Etsy orders 9/1-9/3</t>
        </is>
      </c>
    </row>
    <row r="4">
      <c r="A4" s="6" t="n">
        <v>46270</v>
      </c>
      <c r="B4" t="inlineStr">
        <is>
          <t>SOP-OAT</t>
        </is>
      </c>
      <c r="C4" t="n">
        <v>0</v>
      </c>
      <c r="D4" t="n">
        <v>18</v>
      </c>
      <c r="E4" t="inlineStr">
        <is>
          <t>Saturday farmers market</t>
        </is>
      </c>
    </row>
    <row r="5">
      <c r="A5" s="6" t="n">
        <v>46270</v>
      </c>
      <c r="B5" t="inlineStr">
        <is>
          <t>CND-CED8</t>
        </is>
      </c>
      <c r="C5" t="n">
        <v>0</v>
      </c>
      <c r="D5" t="n">
        <v>9</v>
      </c>
      <c r="E5" t="inlineStr">
        <is>
          <t>Saturday farmers market</t>
        </is>
      </c>
    </row>
    <row r="6">
      <c r="A6" s="6" t="n">
        <v>46273</v>
      </c>
      <c r="B6" t="inlineStr">
        <is>
          <t>SOP-CHR</t>
        </is>
      </c>
      <c r="C6" t="n">
        <v>0</v>
      </c>
      <c r="D6" t="n">
        <v>14</v>
      </c>
      <c r="E6" t="inlineStr">
        <is>
          <t>Wholesale order, Main St. Gift Shop</t>
        </is>
      </c>
    </row>
    <row r="7">
      <c r="A7" s="6" t="n">
        <v>46275</v>
      </c>
      <c r="B7" t="inlineStr">
        <is>
          <t>EAR-HOOP</t>
        </is>
      </c>
      <c r="C7" t="n">
        <v>0</v>
      </c>
      <c r="D7" t="n">
        <v>11</v>
      </c>
      <c r="E7" t="inlineStr">
        <is>
          <t>Etsy orders</t>
        </is>
      </c>
    </row>
    <row r="8">
      <c r="A8" s="6" t="n">
        <v>46277</v>
      </c>
      <c r="B8" t="inlineStr">
        <is>
          <t>PKG-BOX6</t>
        </is>
      </c>
      <c r="C8" t="n">
        <v>0</v>
      </c>
      <c r="D8" t="n">
        <v>64</v>
      </c>
      <c r="E8" t="inlineStr">
        <is>
          <t>Shipped Etsy orders</t>
        </is>
      </c>
    </row>
    <row r="9">
      <c r="A9" s="6" t="n">
        <v>46280</v>
      </c>
      <c r="B9" t="inlineStr">
        <is>
          <t>CRD-BDAY</t>
        </is>
      </c>
      <c r="C9" t="n">
        <v>0</v>
      </c>
      <c r="D9" t="n">
        <v>30</v>
      </c>
      <c r="E9" t="inlineStr">
        <is>
          <t>Craft fair</t>
        </is>
      </c>
    </row>
  </sheetData>
  <dataValidations count="1">
    <dataValidation sqref="B2:B1000" showDropDown="0" showInputMessage="0" showErrorMessage="0" allowBlank="1" type="list">
      <formula1>=Items!$A$2:$A$500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Small Craft Business Inventory Tracker</t>
        </is>
      </c>
    </row>
    <row r="2">
      <c r="A2" t="inlineStr"/>
    </row>
    <row r="3">
      <c r="A3" t="inlineStr">
        <is>
          <t>1. Items tab: one row per product or supply. Type your own SKU, cost, price, starting count, and reorder point.</t>
        </is>
      </c>
    </row>
    <row r="4">
      <c r="A4" t="inlineStr">
        <is>
          <t>2. Stock log tab: add a row every time stock comes in (Qty in) or goes out (Qty out). Pick the SKU from the dropdown.</t>
        </is>
      </c>
    </row>
    <row r="5">
      <c r="A5" t="inlineStr">
        <is>
          <t>3. On hand, Status, and Stock value update by themselves. Status turns red when On hand is at or below Reorder at.</t>
        </is>
      </c>
    </row>
    <row r="6">
      <c r="A6" t="inlineStr">
        <is>
          <t>4. Don't type over the gray formula columns (Qty in, Qty out, On hand, Status, Stock value).</t>
        </is>
      </c>
    </row>
    <row r="7">
      <c r="A7" t="inlineStr">
        <is>
          <t>5. To add a product, copy the last Items row down so the formulas come with it. Total stock value is in cell O1.</t>
        </is>
      </c>
    </row>
    <row r="8">
      <c r="A8" t="inlineStr"/>
    </row>
    <row r="9">
      <c r="A9" t="inlineStr">
        <is>
          <t>Sample data is fictional. Delete the Stock log rows and change the Items rows to start fresh.</t>
        </is>
      </c>
    </row>
    <row r="10">
      <c r="A10" t="inlineStr">
        <is>
          <t>Google Sheets: File &gt; Import &gt; Upload this .xlsx &gt; Insert new sheet(s) or Replace spreadsheet.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2026-09-25T14:38:13Z</dcterms:created>
  <dcterms:modified xsi:type="dcterms:W3CDTF">2026-09-25T14:38:13Z</dcterms:modified>
</cp:coreProperties>
</file>