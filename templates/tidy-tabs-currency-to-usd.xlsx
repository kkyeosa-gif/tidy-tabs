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Rates" sheetId="2" state="visible" r:id="rId2"/>
    <sheet xmlns:r="http://schemas.openxmlformats.org/officeDocument/2006/relationships" name="How to use" sheetId="3" state="visible" r:id="rId3"/>
  </sheets>
  <definedNames>
    <definedName name="_xlnm.Print_Titles" localSheetId="0">'Orders'!$1:$1</definedName>
    <definedName name="_xlnm.Print_Area" localSheetId="0">'Orders'!$A$1:$E$31</definedName>
    <definedName name="_xlnm.Print_Titles" localSheetId="1">'Rates'!$1:$1</definedName>
    <definedName name="_xlnm.Print_Area" localSheetId="1">'Rates'!$A$1:$H$12</definedName>
  </definedNames>
  <calcPr calcId="124519" fullCalcOnLoad="1"/>
</workbook>
</file>

<file path=xl/styles.xml><?xml version="1.0" encoding="utf-8"?>
<styleSheet xmlns="http://schemas.openxmlformats.org/spreadsheetml/2006/main">
  <numFmts count="4">
    <numFmt numFmtId="164" formatCode="yyyy-mm-dd"/>
    <numFmt numFmtId="165" formatCode="mm/dd/yyyy"/>
    <numFmt numFmtId="166" formatCode="&quot;$&quot;#,##0.00"/>
    <numFmt numFmtId="167" formatCode="0.0000"/>
  </numFmts>
  <fonts count="5">
    <font>
      <name val="Calibri"/>
      <family val="2"/>
      <color theme="1"/>
      <sz val="11"/>
      <scheme val="minor"/>
    </font>
    <font>
      <b val="1"/>
      <color rgb="00FFFFFF"/>
    </font>
    <font>
      <b val="1"/>
    </font>
    <font>
      <i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66" fontId="0" fillId="4" borderId="0" applyAlignment="1" pivotButton="0" quotePrefix="0" xfId="0">
      <alignment horizontal="right"/>
    </xf>
    <xf numFmtId="165" fontId="0" fillId="3" borderId="0" pivotButton="0" quotePrefix="0" xfId="0"/>
    <xf numFmtId="0" fontId="0" fillId="3" borderId="0" pivotButton="0" quotePrefix="0" xfId="0"/>
    <xf numFmtId="4" fontId="0" fillId="3" borderId="0" pivotButton="0" quotePrefix="0" xfId="0"/>
    <xf numFmtId="1" fontId="0" fillId="4" borderId="0" applyAlignment="1" pivotButton="0" quotePrefix="0" xfId="0">
      <alignment horizontal="right"/>
    </xf>
    <xf numFmtId="0" fontId="0" fillId="4" borderId="0" applyAlignment="1" pivotButton="0" quotePrefix="0" xfId="0">
      <alignment horizontal="right"/>
    </xf>
    <xf numFmtId="167" fontId="0" fillId="3" borderId="0" pivotButton="0" quotePrefix="0" xfId="0"/>
    <xf numFmtId="4" fontId="0" fillId="4" borderId="0" pivotButton="0" quotePrefix="0" xfId="0"/>
    <xf numFmtId="166" fontId="0" fillId="4"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0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1" customWidth="1" min="3" max="3"/>
    <col width="12" customWidth="1" min="4" max="4"/>
    <col width="14" customWidth="1" min="5" max="5"/>
    <col width="3" customWidth="1" min="6" max="6"/>
    <col width="40" customWidth="1" min="7" max="7"/>
    <col width="16" customWidth="1" min="8" max="8"/>
  </cols>
  <sheetData>
    <row r="1" ht="30" customHeight="1">
      <c r="A1" s="1" t="inlineStr">
        <is>
          <t>Date</t>
        </is>
      </c>
      <c r="B1" s="1" t="inlineStr">
        <is>
          <t>Order</t>
        </is>
      </c>
      <c r="C1" s="1" t="inlineStr">
        <is>
          <t>Currency</t>
        </is>
      </c>
      <c r="D1" s="1" t="inlineStr">
        <is>
          <t>Amount</t>
        </is>
      </c>
      <c r="E1" s="1" t="inlineStr">
        <is>
          <t>USD amount</t>
        </is>
      </c>
      <c r="G1" s="2" t="inlineStr">
        <is>
          <t>Total in US dollars</t>
        </is>
      </c>
      <c r="H1" s="3">
        <f>SUM(E2:E101)</f>
        <v/>
      </c>
    </row>
    <row r="2">
      <c r="A2" s="4" t="n">
        <v>46266</v>
      </c>
      <c r="B2" s="5" t="inlineStr">
        <is>
          <t>Candle set #1041</t>
        </is>
      </c>
      <c r="C2" s="5" t="inlineStr">
        <is>
          <t>CAD</t>
        </is>
      </c>
      <c r="D2" s="6" t="n">
        <v>48.5</v>
      </c>
      <c r="E2" s="3">
        <f>IF(AND(C2="",D2=""),"",IF(NOT(ISNUMBER(D2)),"Check amount",IFERROR(IF(ISNA(MATCH(C2,Rates!$A$2:$A$10,0)),"Check currency",IF(NOT(ISNUMBER(INDEX(Rates!$B$2:$B$10,MATCH(C2,Rates!$A$2:$A$10,0)))),"Check rate",IF(INDEX(Rates!$B$2:$B$10,MATCH(C2,Rates!$A$2:$A$10,0))&lt;=0,"Check rate",ROUND(D2*INDEX(Rates!$B$2:$B$10,MATCH(C2,Rates!$A$2:$A$10,0)),2)))),"Check currency")))</f>
        <v/>
      </c>
      <c r="G2" s="2" t="inlineStr">
        <is>
          <t>Orders converted</t>
        </is>
      </c>
      <c r="H2" s="7">
        <f>COUNT(E2:E101)</f>
        <v/>
      </c>
    </row>
    <row r="3">
      <c r="A3" s="4" t="n">
        <v>46267</v>
      </c>
      <c r="B3" s="5" t="inlineStr">
        <is>
          <t>Soap trio #1042</t>
        </is>
      </c>
      <c r="C3" s="5" t="inlineStr">
        <is>
          <t>GBP</t>
        </is>
      </c>
      <c r="D3" s="6" t="n">
        <v>36</v>
      </c>
      <c r="E3" s="3">
        <f>IF(AND(C3="",D3=""),"",IF(NOT(ISNUMBER(D3)),"Check amount",IFERROR(IF(ISNA(MATCH(C3,Rates!$A$2:$A$10,0)),"Check currency",IF(NOT(ISNUMBER(INDEX(Rates!$B$2:$B$10,MATCH(C3,Rates!$A$2:$A$10,0)))),"Check rate",IF(INDEX(Rates!$B$2:$B$10,MATCH(C3,Rates!$A$2:$A$10,0))&lt;=0,"Check rate",ROUND(D3*INDEX(Rates!$B$2:$B$10,MATCH(C3,Rates!$A$2:$A$10,0)),2)))),"Check currency")))</f>
        <v/>
      </c>
      <c r="G3" s="2" t="inlineStr">
        <is>
          <t>Rows saying Check currency, rate or amount</t>
        </is>
      </c>
      <c r="H3" s="7">
        <f>COUNTIF(E2:E101,"Check*")</f>
        <v/>
      </c>
    </row>
    <row r="4">
      <c r="A4" s="4" t="n">
        <v>46268</v>
      </c>
      <c r="B4" s="5" t="inlineStr">
        <is>
          <t>Tote bag #1043</t>
        </is>
      </c>
      <c r="C4" s="5" t="inlineStr">
        <is>
          <t>USD</t>
        </is>
      </c>
      <c r="D4" s="6" t="n">
        <v>24</v>
      </c>
      <c r="E4" s="3">
        <f>IF(AND(C4="",D4=""),"",IF(NOT(ISNUMBER(D4)),"Check amount",IFERROR(IF(ISNA(MATCH(C4,Rates!$A$2:$A$10,0)),"Check currency",IF(NOT(ISNUMBER(INDEX(Rates!$B$2:$B$10,MATCH(C4,Rates!$A$2:$A$10,0)))),"Check rate",IF(INDEX(Rates!$B$2:$B$10,MATCH(C4,Rates!$A$2:$A$10,0))&lt;=0,"Check rate",ROUND(D4*INDEX(Rates!$B$2:$B$10,MATCH(C4,Rates!$A$2:$A$10,0)),2)))),"Check currency")))</f>
        <v/>
      </c>
      <c r="G4" s="2" t="inlineStr">
        <is>
          <t>Dollars by currency on the Rates tab</t>
        </is>
      </c>
      <c r="H4" s="3">
        <f>SUM(Rates!G2:G10)</f>
        <v/>
      </c>
    </row>
    <row r="5">
      <c r="A5" s="4" t="n">
        <v>46269</v>
      </c>
      <c r="B5" s="5" t="inlineStr">
        <is>
          <t>Gift box #1044</t>
        </is>
      </c>
      <c r="C5" s="5" t="inlineStr">
        <is>
          <t>EUR</t>
        </is>
      </c>
      <c r="D5" s="6" t="n">
        <v>52</v>
      </c>
      <c r="E5" s="3">
        <f>IF(AND(C5="",D5=""),"",IF(NOT(ISNUMBER(D5)),"Check amount",IFERROR(IF(ISNA(MATCH(C5,Rates!$A$2:$A$10,0)),"Check currency",IF(NOT(ISNUMBER(INDEX(Rates!$B$2:$B$10,MATCH(C5,Rates!$A$2:$A$10,0)))),"Check rate",IF(INDEX(Rates!$B$2:$B$10,MATCH(C5,Rates!$A$2:$A$10,0))&lt;=0,"Check rate",ROUND(D5*INDEX(Rates!$B$2:$B$10,MATCH(C5,Rates!$A$2:$A$10,0)),2)))),"Check currency")))</f>
        <v/>
      </c>
      <c r="G5" s="2" t="inlineStr">
        <is>
          <t>Check: no flagged rows, all dollars accounted for</t>
        </is>
      </c>
      <c r="H5" s="8">
        <f>IF(AND(H3=0,ABS(H4-H1)&lt;0.005),"OK","CHECK")</f>
        <v/>
      </c>
    </row>
    <row r="6">
      <c r="A6" s="4" t="n">
        <v>46270</v>
      </c>
      <c r="B6" s="5" t="inlineStr">
        <is>
          <t>Candle set #1045</t>
        </is>
      </c>
      <c r="C6" s="5" t="inlineStr">
        <is>
          <t>CAD</t>
        </is>
      </c>
      <c r="D6" s="6" t="n">
        <v>64</v>
      </c>
      <c r="E6" s="3">
        <f>IF(AND(C6="",D6=""),"",IF(NOT(ISNUMBER(D6)),"Check amount",IFERROR(IF(ISNA(MATCH(C6,Rates!$A$2:$A$10,0)),"Check currency",IF(NOT(ISNUMBER(INDEX(Rates!$B$2:$B$10,MATCH(C6,Rates!$A$2:$A$10,0)))),"Check rate",IF(INDEX(Rates!$B$2:$B$10,MATCH(C6,Rates!$A$2:$A$10,0))&lt;=0,"Check rate",ROUND(D6*INDEX(Rates!$B$2:$B$10,MATCH(C6,Rates!$A$2:$A$10,0)),2)))),"Check currency")))</f>
        <v/>
      </c>
    </row>
    <row r="7">
      <c r="A7" s="4" t="n">
        <v>46272</v>
      </c>
      <c r="B7" s="5" t="inlineStr">
        <is>
          <t>Print #1046</t>
        </is>
      </c>
      <c r="C7" s="5" t="inlineStr">
        <is>
          <t>AUD</t>
        </is>
      </c>
      <c r="D7" s="6" t="n">
        <v>40</v>
      </c>
      <c r="E7" s="3">
        <f>IF(AND(C7="",D7=""),"",IF(NOT(ISNUMBER(D7)),"Check amount",IFERROR(IF(ISNA(MATCH(C7,Rates!$A$2:$A$10,0)),"Check currency",IF(NOT(ISNUMBER(INDEX(Rates!$B$2:$B$10,MATCH(C7,Rates!$A$2:$A$10,0)))),"Check rate",IF(INDEX(Rates!$B$2:$B$10,MATCH(C7,Rates!$A$2:$A$10,0))&lt;=0,"Check rate",ROUND(D7*INDEX(Rates!$B$2:$B$10,MATCH(C7,Rates!$A$2:$A$10,0)),2)))),"Check currency")))</f>
        <v/>
      </c>
    </row>
    <row r="8">
      <c r="A8" s="4" t="n">
        <v>46273</v>
      </c>
      <c r="B8" s="5" t="inlineStr">
        <is>
          <t>Earrings #1047</t>
        </is>
      </c>
      <c r="C8" s="5" t="inlineStr">
        <is>
          <t>GBP</t>
        </is>
      </c>
      <c r="D8" s="6" t="n">
        <v>28.5</v>
      </c>
      <c r="E8" s="3">
        <f>IF(AND(C8="",D8=""),"",IF(NOT(ISNUMBER(D8)),"Check amount",IFERROR(IF(ISNA(MATCH(C8,Rates!$A$2:$A$10,0)),"Check currency",IF(NOT(ISNUMBER(INDEX(Rates!$B$2:$B$10,MATCH(C8,Rates!$A$2:$A$10,0)))),"Check rate",IF(INDEX(Rates!$B$2:$B$10,MATCH(C8,Rates!$A$2:$A$10,0))&lt;=0,"Check rate",ROUND(D8*INDEX(Rates!$B$2:$B$10,MATCH(C8,Rates!$A$2:$A$10,0)),2)))),"Check currency")))</f>
        <v/>
      </c>
    </row>
    <row r="9">
      <c r="A9" s="4" t="n">
        <v>46274</v>
      </c>
      <c r="B9" s="5" t="inlineStr">
        <is>
          <t>Soap trio #1048</t>
        </is>
      </c>
      <c r="C9" s="5" t="inlineStr">
        <is>
          <t>CAD</t>
        </is>
      </c>
      <c r="D9" s="6" t="n">
        <v>36</v>
      </c>
      <c r="E9" s="3">
        <f>IF(AND(C9="",D9=""),"",IF(NOT(ISNUMBER(D9)),"Check amount",IFERROR(IF(ISNA(MATCH(C9,Rates!$A$2:$A$10,0)),"Check currency",IF(NOT(ISNUMBER(INDEX(Rates!$B$2:$B$10,MATCH(C9,Rates!$A$2:$A$10,0)))),"Check rate",IF(INDEX(Rates!$B$2:$B$10,MATCH(C9,Rates!$A$2:$A$10,0))&lt;=0,"Check rate",ROUND(D9*INDEX(Rates!$B$2:$B$10,MATCH(C9,Rates!$A$2:$A$10,0)),2)))),"Check currency")))</f>
        <v/>
      </c>
    </row>
    <row r="10">
      <c r="A10" s="4" t="n">
        <v>46275</v>
      </c>
      <c r="B10" s="5" t="inlineStr">
        <is>
          <t>Candle #1049</t>
        </is>
      </c>
      <c r="C10" s="5" t="inlineStr">
        <is>
          <t>USD</t>
        </is>
      </c>
      <c r="D10" s="6" t="n">
        <v>18</v>
      </c>
      <c r="E10" s="3">
        <f>IF(AND(C10="",D10=""),"",IF(NOT(ISNUMBER(D10)),"Check amount",IFERROR(IF(ISNA(MATCH(C10,Rates!$A$2:$A$10,0)),"Check currency",IF(NOT(ISNUMBER(INDEX(Rates!$B$2:$B$10,MATCH(C10,Rates!$A$2:$A$10,0)))),"Check rate",IF(INDEX(Rates!$B$2:$B$10,MATCH(C10,Rates!$A$2:$A$10,0))&lt;=0,"Check rate",ROUND(D10*INDEX(Rates!$B$2:$B$10,MATCH(C10,Rates!$A$2:$A$10,0)),2)))),"Check currency")))</f>
        <v/>
      </c>
    </row>
    <row r="11">
      <c r="A11" s="4" t="n">
        <v>46277</v>
      </c>
      <c r="B11" s="5" t="inlineStr">
        <is>
          <t>Tote bag #1050</t>
        </is>
      </c>
      <c r="C11" s="5" t="inlineStr">
        <is>
          <t>EUR</t>
        </is>
      </c>
      <c r="D11" s="6" t="n">
        <v>31</v>
      </c>
      <c r="E11" s="3">
        <f>IF(AND(C11="",D11=""),"",IF(NOT(ISNUMBER(D11)),"Check amount",IFERROR(IF(ISNA(MATCH(C11,Rates!$A$2:$A$10,0)),"Check currency",IF(NOT(ISNUMBER(INDEX(Rates!$B$2:$B$10,MATCH(C11,Rates!$A$2:$A$10,0)))),"Check rate",IF(INDEX(Rates!$B$2:$B$10,MATCH(C11,Rates!$A$2:$A$10,0))&lt;=0,"Check rate",ROUND(D11*INDEX(Rates!$B$2:$B$10,MATCH(C11,Rates!$A$2:$A$10,0)),2)))),"Check currency")))</f>
        <v/>
      </c>
    </row>
    <row r="12">
      <c r="A12" s="4" t="n">
        <v>46278</v>
      </c>
      <c r="B12" s="5" t="inlineStr">
        <is>
          <t>Gift box #1051</t>
        </is>
      </c>
      <c r="C12" s="5" t="inlineStr">
        <is>
          <t>GBP</t>
        </is>
      </c>
      <c r="D12" s="6" t="n">
        <v>61</v>
      </c>
      <c r="E12" s="3">
        <f>IF(AND(C12="",D12=""),"",IF(NOT(ISNUMBER(D12)),"Check amount",IFERROR(IF(ISNA(MATCH(C12,Rates!$A$2:$A$10,0)),"Check currency",IF(NOT(ISNUMBER(INDEX(Rates!$B$2:$B$10,MATCH(C12,Rates!$A$2:$A$10,0)))),"Check rate",IF(INDEX(Rates!$B$2:$B$10,MATCH(C12,Rates!$A$2:$A$10,0))&lt;=0,"Check rate",ROUND(D12*INDEX(Rates!$B$2:$B$10,MATCH(C12,Rates!$A$2:$A$10,0)),2)))),"Check currency")))</f>
        <v/>
      </c>
    </row>
    <row r="13">
      <c r="A13" s="4" t="n">
        <v>46279</v>
      </c>
      <c r="B13" s="5" t="inlineStr">
        <is>
          <t>Print #1052</t>
        </is>
      </c>
      <c r="C13" s="5" t="inlineStr">
        <is>
          <t>CAD</t>
        </is>
      </c>
      <c r="D13" s="6" t="n">
        <v>22.5</v>
      </c>
      <c r="E13" s="3">
        <f>IF(AND(C13="",D13=""),"",IF(NOT(ISNUMBER(D13)),"Check amount",IFERROR(IF(ISNA(MATCH(C13,Rates!$A$2:$A$10,0)),"Check currency",IF(NOT(ISNUMBER(INDEX(Rates!$B$2:$B$10,MATCH(C13,Rates!$A$2:$A$10,0)))),"Check rate",IF(INDEX(Rates!$B$2:$B$10,MATCH(C13,Rates!$A$2:$A$10,0))&lt;=0,"Check rate",ROUND(D13*INDEX(Rates!$B$2:$B$10,MATCH(C13,Rates!$A$2:$A$10,0)),2)))),"Check currency")))</f>
        <v/>
      </c>
    </row>
    <row r="14">
      <c r="A14" s="4" t="n">
        <v>46280</v>
      </c>
      <c r="B14" s="5" t="inlineStr">
        <is>
          <t>Earrings #1053</t>
        </is>
      </c>
      <c r="C14" s="5" t="inlineStr">
        <is>
          <t>AUD</t>
        </is>
      </c>
      <c r="D14" s="6" t="n">
        <v>55</v>
      </c>
      <c r="E14" s="3">
        <f>IF(AND(C14="",D14=""),"",IF(NOT(ISNUMBER(D14)),"Check amount",IFERROR(IF(ISNA(MATCH(C14,Rates!$A$2:$A$10,0)),"Check currency",IF(NOT(ISNUMBER(INDEX(Rates!$B$2:$B$10,MATCH(C14,Rates!$A$2:$A$10,0)))),"Check rate",IF(INDEX(Rates!$B$2:$B$10,MATCH(C14,Rates!$A$2:$A$10,0))&lt;=0,"Check rate",ROUND(D14*INDEX(Rates!$B$2:$B$10,MATCH(C14,Rates!$A$2:$A$10,0)),2)))),"Check currency")))</f>
        <v/>
      </c>
    </row>
    <row r="15">
      <c r="A15" s="4" t="n">
        <v>46282</v>
      </c>
      <c r="B15" s="5" t="inlineStr">
        <is>
          <t>Candle set #1054</t>
        </is>
      </c>
      <c r="C15" s="5" t="inlineStr">
        <is>
          <t>GBP</t>
        </is>
      </c>
      <c r="D15" s="6" t="n">
        <v>48.5</v>
      </c>
      <c r="E15" s="3">
        <f>IF(AND(C15="",D15=""),"",IF(NOT(ISNUMBER(D15)),"Check amount",IFERROR(IF(ISNA(MATCH(C15,Rates!$A$2:$A$10,0)),"Check currency",IF(NOT(ISNUMBER(INDEX(Rates!$B$2:$B$10,MATCH(C15,Rates!$A$2:$A$10,0)))),"Check rate",IF(INDEX(Rates!$B$2:$B$10,MATCH(C15,Rates!$A$2:$A$10,0))&lt;=0,"Check rate",ROUND(D15*INDEX(Rates!$B$2:$B$10,MATCH(C15,Rates!$A$2:$A$10,0)),2)))),"Check currency")))</f>
        <v/>
      </c>
    </row>
    <row r="16">
      <c r="A16" s="4" t="n">
        <v>46283</v>
      </c>
      <c r="B16" s="5" t="inlineStr">
        <is>
          <t>Soap trio #1055</t>
        </is>
      </c>
      <c r="C16" s="5" t="inlineStr">
        <is>
          <t>EUR</t>
        </is>
      </c>
      <c r="D16" s="6" t="n">
        <v>27</v>
      </c>
      <c r="E16" s="3">
        <f>IF(AND(C16="",D16=""),"",IF(NOT(ISNUMBER(D16)),"Check amount",IFERROR(IF(ISNA(MATCH(C16,Rates!$A$2:$A$10,0)),"Check currency",IF(NOT(ISNUMBER(INDEX(Rates!$B$2:$B$10,MATCH(C16,Rates!$A$2:$A$10,0)))),"Check rate",IF(INDEX(Rates!$B$2:$B$10,MATCH(C16,Rates!$A$2:$A$10,0))&lt;=0,"Check rate",ROUND(D16*INDEX(Rates!$B$2:$B$10,MATCH(C16,Rates!$A$2:$A$10,0)),2)))),"Check currency")))</f>
        <v/>
      </c>
    </row>
    <row r="17">
      <c r="A17" s="4" t="n">
        <v>46284</v>
      </c>
      <c r="B17" s="5" t="inlineStr">
        <is>
          <t>Tote bag #1056</t>
        </is>
      </c>
      <c r="C17" s="5" t="inlineStr">
        <is>
          <t>USD</t>
        </is>
      </c>
      <c r="D17" s="6" t="n">
        <v>30</v>
      </c>
      <c r="E17" s="3">
        <f>IF(AND(C17="",D17=""),"",IF(NOT(ISNUMBER(D17)),"Check amount",IFERROR(IF(ISNA(MATCH(C17,Rates!$A$2:$A$10,0)),"Check currency",IF(NOT(ISNUMBER(INDEX(Rates!$B$2:$B$10,MATCH(C17,Rates!$A$2:$A$10,0)))),"Check rate",IF(INDEX(Rates!$B$2:$B$10,MATCH(C17,Rates!$A$2:$A$10,0))&lt;=0,"Check rate",ROUND(D17*INDEX(Rates!$B$2:$B$10,MATCH(C17,Rates!$A$2:$A$10,0)),2)))),"Check currency")))</f>
        <v/>
      </c>
    </row>
    <row r="18">
      <c r="A18" s="4" t="n">
        <v>46286</v>
      </c>
      <c r="B18" s="5" t="inlineStr">
        <is>
          <t>Print #1057</t>
        </is>
      </c>
      <c r="C18" s="5" t="inlineStr">
        <is>
          <t>CAD</t>
        </is>
      </c>
      <c r="D18" s="6" t="n">
        <v>18</v>
      </c>
      <c r="E18" s="3">
        <f>IF(AND(C18="",D18=""),"",IF(NOT(ISNUMBER(D18)),"Check amount",IFERROR(IF(ISNA(MATCH(C18,Rates!$A$2:$A$10,0)),"Check currency",IF(NOT(ISNUMBER(INDEX(Rates!$B$2:$B$10,MATCH(C18,Rates!$A$2:$A$10,0)))),"Check rate",IF(INDEX(Rates!$B$2:$B$10,MATCH(C18,Rates!$A$2:$A$10,0))&lt;=0,"Check rate",ROUND(D18*INDEX(Rates!$B$2:$B$10,MATCH(C18,Rates!$A$2:$A$10,0)),2)))),"Check currency")))</f>
        <v/>
      </c>
    </row>
    <row r="19">
      <c r="A19" s="4" t="n">
        <v>46287</v>
      </c>
      <c r="B19" s="5" t="inlineStr">
        <is>
          <t>Gift box #1058</t>
        </is>
      </c>
      <c r="C19" s="5" t="inlineStr">
        <is>
          <t>CAD</t>
        </is>
      </c>
      <c r="D19" s="6" t="n">
        <v>74.25</v>
      </c>
      <c r="E19" s="3">
        <f>IF(AND(C19="",D19=""),"",IF(NOT(ISNUMBER(D19)),"Check amount",IFERROR(IF(ISNA(MATCH(C19,Rates!$A$2:$A$10,0)),"Check currency",IF(NOT(ISNUMBER(INDEX(Rates!$B$2:$B$10,MATCH(C19,Rates!$A$2:$A$10,0)))),"Check rate",IF(INDEX(Rates!$B$2:$B$10,MATCH(C19,Rates!$A$2:$A$10,0))&lt;=0,"Check rate",ROUND(D19*INDEX(Rates!$B$2:$B$10,MATCH(C19,Rates!$A$2:$A$10,0)),2)))),"Check currency")))</f>
        <v/>
      </c>
    </row>
    <row r="20">
      <c r="A20" s="4" t="n">
        <v>46288</v>
      </c>
      <c r="B20" s="5" t="inlineStr">
        <is>
          <t>Candle #1059</t>
        </is>
      </c>
      <c r="C20" s="5" t="inlineStr">
        <is>
          <t>GBP</t>
        </is>
      </c>
      <c r="D20" s="6" t="n">
        <v>15</v>
      </c>
      <c r="E20" s="3">
        <f>IF(AND(C20="",D20=""),"",IF(NOT(ISNUMBER(D20)),"Check amount",IFERROR(IF(ISNA(MATCH(C20,Rates!$A$2:$A$10,0)),"Check currency",IF(NOT(ISNUMBER(INDEX(Rates!$B$2:$B$10,MATCH(C20,Rates!$A$2:$A$10,0)))),"Check rate",IF(INDEX(Rates!$B$2:$B$10,MATCH(C20,Rates!$A$2:$A$10,0))&lt;=0,"Check rate",ROUND(D20*INDEX(Rates!$B$2:$B$10,MATCH(C20,Rates!$A$2:$A$10,0)),2)))),"Check currency")))</f>
        <v/>
      </c>
    </row>
    <row r="21">
      <c r="A21" s="4" t="n">
        <v>46289</v>
      </c>
      <c r="B21" s="5" t="inlineStr">
        <is>
          <t>Earrings #1060</t>
        </is>
      </c>
      <c r="C21" s="5" t="inlineStr">
        <is>
          <t>EUR</t>
        </is>
      </c>
      <c r="D21" s="6" t="n">
        <v>44</v>
      </c>
      <c r="E21" s="3">
        <f>IF(AND(C21="",D21=""),"",IF(NOT(ISNUMBER(D21)),"Check amount",IFERROR(IF(ISNA(MATCH(C21,Rates!$A$2:$A$10,0)),"Check currency",IF(NOT(ISNUMBER(INDEX(Rates!$B$2:$B$10,MATCH(C21,Rates!$A$2:$A$10,0)))),"Check rate",IF(INDEX(Rates!$B$2:$B$10,MATCH(C21,Rates!$A$2:$A$10,0))&lt;=0,"Check rate",ROUND(D21*INDEX(Rates!$B$2:$B$10,MATCH(C21,Rates!$A$2:$A$10,0)),2)))),"Check currency")))</f>
        <v/>
      </c>
    </row>
    <row r="22">
      <c r="A22" s="4" t="n">
        <v>46290</v>
      </c>
      <c r="B22" s="5" t="inlineStr">
        <is>
          <t>Soap trio #1061</t>
        </is>
      </c>
      <c r="C22" s="5" t="inlineStr">
        <is>
          <t>AUD</t>
        </is>
      </c>
      <c r="D22" s="6" t="n">
        <v>33</v>
      </c>
      <c r="E22" s="3">
        <f>IF(AND(C22="",D22=""),"",IF(NOT(ISNUMBER(D22)),"Check amount",IFERROR(IF(ISNA(MATCH(C22,Rates!$A$2:$A$10,0)),"Check currency",IF(NOT(ISNUMBER(INDEX(Rates!$B$2:$B$10,MATCH(C22,Rates!$A$2:$A$10,0)))),"Check rate",IF(INDEX(Rates!$B$2:$B$10,MATCH(C22,Rates!$A$2:$A$10,0))&lt;=0,"Check rate",ROUND(D22*INDEX(Rates!$B$2:$B$10,MATCH(C22,Rates!$A$2:$A$10,0)),2)))),"Check currency")))</f>
        <v/>
      </c>
    </row>
    <row r="23">
      <c r="A23" s="4" t="n">
        <v>46291</v>
      </c>
      <c r="B23" s="5" t="inlineStr">
        <is>
          <t>Candle set #1062</t>
        </is>
      </c>
      <c r="C23" s="5" t="inlineStr">
        <is>
          <t>USD</t>
        </is>
      </c>
      <c r="D23" s="6" t="n">
        <v>42</v>
      </c>
      <c r="E23" s="3">
        <f>IF(AND(C23="",D23=""),"",IF(NOT(ISNUMBER(D23)),"Check amount",IFERROR(IF(ISNA(MATCH(C23,Rates!$A$2:$A$10,0)),"Check currency",IF(NOT(ISNUMBER(INDEX(Rates!$B$2:$B$10,MATCH(C23,Rates!$A$2:$A$10,0)))),"Check rate",IF(INDEX(Rates!$B$2:$B$10,MATCH(C23,Rates!$A$2:$A$10,0))&lt;=0,"Check rate",ROUND(D23*INDEX(Rates!$B$2:$B$10,MATCH(C23,Rates!$A$2:$A$10,0)),2)))),"Check currency")))</f>
        <v/>
      </c>
    </row>
    <row r="24">
      <c r="A24" s="4" t="n">
        <v>46293</v>
      </c>
      <c r="B24" s="5" t="inlineStr">
        <is>
          <t>Print #1063</t>
        </is>
      </c>
      <c r="C24" s="5" t="inlineStr">
        <is>
          <t>GBP</t>
        </is>
      </c>
      <c r="D24" s="6" t="n">
        <v>19.5</v>
      </c>
      <c r="E24" s="3">
        <f>IF(AND(C24="",D24=""),"",IF(NOT(ISNUMBER(D24)),"Check amount",IFERROR(IF(ISNA(MATCH(C24,Rates!$A$2:$A$10,0)),"Check currency",IF(NOT(ISNUMBER(INDEX(Rates!$B$2:$B$10,MATCH(C24,Rates!$A$2:$A$10,0)))),"Check rate",IF(INDEX(Rates!$B$2:$B$10,MATCH(C24,Rates!$A$2:$A$10,0))&lt;=0,"Check rate",ROUND(D24*INDEX(Rates!$B$2:$B$10,MATCH(C24,Rates!$A$2:$A$10,0)),2)))),"Check currency")))</f>
        <v/>
      </c>
    </row>
    <row r="25">
      <c r="A25" s="4" t="n">
        <v>46294</v>
      </c>
      <c r="B25" s="5" t="inlineStr">
        <is>
          <t>Tote bag #1064</t>
        </is>
      </c>
      <c r="C25" s="5" t="inlineStr">
        <is>
          <t>CAD</t>
        </is>
      </c>
      <c r="D25" s="6" t="n">
        <v>29.99</v>
      </c>
      <c r="E25" s="3">
        <f>IF(AND(C25="",D25=""),"",IF(NOT(ISNUMBER(D25)),"Check amount",IFERROR(IF(ISNA(MATCH(C25,Rates!$A$2:$A$10,0)),"Check currency",IF(NOT(ISNUMBER(INDEX(Rates!$B$2:$B$10,MATCH(C25,Rates!$A$2:$A$10,0)))),"Check rate",IF(INDEX(Rates!$B$2:$B$10,MATCH(C25,Rates!$A$2:$A$10,0))&lt;=0,"Check rate",ROUND(D25*INDEX(Rates!$B$2:$B$10,MATCH(C25,Rates!$A$2:$A$10,0)),2)))),"Check currency")))</f>
        <v/>
      </c>
    </row>
    <row r="26">
      <c r="A26" s="4" t="n">
        <v>46295</v>
      </c>
      <c r="B26" s="5" t="inlineStr">
        <is>
          <t>Gift box #1065</t>
        </is>
      </c>
      <c r="C26" s="5" t="inlineStr">
        <is>
          <t>EUR</t>
        </is>
      </c>
      <c r="D26" s="6" t="n">
        <v>58</v>
      </c>
      <c r="E26" s="3">
        <f>IF(AND(C26="",D26=""),"",IF(NOT(ISNUMBER(D26)),"Check amount",IFERROR(IF(ISNA(MATCH(C26,Rates!$A$2:$A$10,0)),"Check currency",IF(NOT(ISNUMBER(INDEX(Rates!$B$2:$B$10,MATCH(C26,Rates!$A$2:$A$10,0)))),"Check rate",IF(INDEX(Rates!$B$2:$B$10,MATCH(C26,Rates!$A$2:$A$10,0))&lt;=0,"Check rate",ROUND(D26*INDEX(Rates!$B$2:$B$10,MATCH(C26,Rates!$A$2:$A$10,0)),2)))),"Check currency")))</f>
        <v/>
      </c>
    </row>
    <row r="27">
      <c r="A27" s="4" t="n">
        <v>46296</v>
      </c>
      <c r="B27" s="5" t="inlineStr">
        <is>
          <t>Candle #1066</t>
        </is>
      </c>
      <c r="C27" s="5" t="inlineStr">
        <is>
          <t>CAD</t>
        </is>
      </c>
      <c r="D27" s="6" t="n">
        <v>21</v>
      </c>
      <c r="E27" s="3">
        <f>IF(AND(C27="",D27=""),"",IF(NOT(ISNUMBER(D27)),"Check amount",IFERROR(IF(ISNA(MATCH(C27,Rates!$A$2:$A$10,0)),"Check currency",IF(NOT(ISNUMBER(INDEX(Rates!$B$2:$B$10,MATCH(C27,Rates!$A$2:$A$10,0)))),"Check rate",IF(INDEX(Rates!$B$2:$B$10,MATCH(C27,Rates!$A$2:$A$10,0))&lt;=0,"Check rate",ROUND(D27*INDEX(Rates!$B$2:$B$10,MATCH(C27,Rates!$A$2:$A$10,0)),2)))),"Check currency")))</f>
        <v/>
      </c>
    </row>
    <row r="28">
      <c r="A28" s="4" t="n">
        <v>46297</v>
      </c>
      <c r="B28" s="5" t="inlineStr">
        <is>
          <t>Earrings #1067</t>
        </is>
      </c>
      <c r="C28" s="5" t="inlineStr">
        <is>
          <t>GBP</t>
        </is>
      </c>
      <c r="D28" s="6" t="n">
        <v>33</v>
      </c>
      <c r="E28" s="3">
        <f>IF(AND(C28="",D28=""),"",IF(NOT(ISNUMBER(D28)),"Check amount",IFERROR(IF(ISNA(MATCH(C28,Rates!$A$2:$A$10,0)),"Check currency",IF(NOT(ISNUMBER(INDEX(Rates!$B$2:$B$10,MATCH(C28,Rates!$A$2:$A$10,0)))),"Check rate",IF(INDEX(Rates!$B$2:$B$10,MATCH(C28,Rates!$A$2:$A$10,0))&lt;=0,"Check rate",ROUND(D28*INDEX(Rates!$B$2:$B$10,MATCH(C28,Rates!$A$2:$A$10,0)),2)))),"Check currency")))</f>
        <v/>
      </c>
    </row>
    <row r="29">
      <c r="A29" s="4" t="n">
        <v>46298</v>
      </c>
      <c r="B29" s="5" t="inlineStr">
        <is>
          <t>Soap trio #1068</t>
        </is>
      </c>
      <c r="C29" s="5" t="inlineStr">
        <is>
          <t>USD</t>
        </is>
      </c>
      <c r="D29" s="6" t="n">
        <v>26</v>
      </c>
      <c r="E29" s="3">
        <f>IF(AND(C29="",D29=""),"",IF(NOT(ISNUMBER(D29)),"Check amount",IFERROR(IF(ISNA(MATCH(C29,Rates!$A$2:$A$10,0)),"Check currency",IF(NOT(ISNUMBER(INDEX(Rates!$B$2:$B$10,MATCH(C29,Rates!$A$2:$A$10,0)))),"Check rate",IF(INDEX(Rates!$B$2:$B$10,MATCH(C29,Rates!$A$2:$A$10,0))&lt;=0,"Check rate",ROUND(D29*INDEX(Rates!$B$2:$B$10,MATCH(C29,Rates!$A$2:$A$10,0)),2)))),"Check currency")))</f>
        <v/>
      </c>
    </row>
    <row r="30">
      <c r="A30" s="4" t="n">
        <v>46300</v>
      </c>
      <c r="B30" s="5" t="inlineStr">
        <is>
          <t>Print #1069</t>
        </is>
      </c>
      <c r="C30" s="5" t="inlineStr">
        <is>
          <t>EUR</t>
        </is>
      </c>
      <c r="D30" s="6" t="n">
        <v>16.5</v>
      </c>
      <c r="E30" s="3">
        <f>IF(AND(C30="",D30=""),"",IF(NOT(ISNUMBER(D30)),"Check amount",IFERROR(IF(ISNA(MATCH(C30,Rates!$A$2:$A$10,0)),"Check currency",IF(NOT(ISNUMBER(INDEX(Rates!$B$2:$B$10,MATCH(C30,Rates!$A$2:$A$10,0)))),"Check rate",IF(INDEX(Rates!$B$2:$B$10,MATCH(C30,Rates!$A$2:$A$10,0))&lt;=0,"Check rate",ROUND(D30*INDEX(Rates!$B$2:$B$10,MATCH(C30,Rates!$A$2:$A$10,0)),2)))),"Check currency")))</f>
        <v/>
      </c>
    </row>
    <row r="31">
      <c r="A31" s="4" t="n">
        <v>46301</v>
      </c>
      <c r="B31" s="5" t="inlineStr">
        <is>
          <t>Candle set #1070</t>
        </is>
      </c>
      <c r="C31" s="5" t="inlineStr">
        <is>
          <t>AUD</t>
        </is>
      </c>
      <c r="D31" s="6" t="n">
        <v>62</v>
      </c>
      <c r="E31" s="3">
        <f>IF(AND(C31="",D31=""),"",IF(NOT(ISNUMBER(D31)),"Check amount",IFERROR(IF(ISNA(MATCH(C31,Rates!$A$2:$A$10,0)),"Check currency",IF(NOT(ISNUMBER(INDEX(Rates!$B$2:$B$10,MATCH(C31,Rates!$A$2:$A$10,0)))),"Check rate",IF(INDEX(Rates!$B$2:$B$10,MATCH(C31,Rates!$A$2:$A$10,0))&lt;=0,"Check rate",ROUND(D31*INDEX(Rates!$B$2:$B$10,MATCH(C31,Rates!$A$2:$A$10,0)),2)))),"Check currency")))</f>
        <v/>
      </c>
    </row>
    <row r="32">
      <c r="A32" s="4" t="n"/>
      <c r="B32" s="5" t="n"/>
      <c r="C32" s="5" t="n"/>
      <c r="D32" s="6" t="n"/>
      <c r="E32" s="3">
        <f>IF(AND(C32="",D32=""),"",IF(NOT(ISNUMBER(D32)),"Check amount",IFERROR(IF(ISNA(MATCH(C32,Rates!$A$2:$A$10,0)),"Check currency",IF(NOT(ISNUMBER(INDEX(Rates!$B$2:$B$10,MATCH(C32,Rates!$A$2:$A$10,0)))),"Check rate",IF(INDEX(Rates!$B$2:$B$10,MATCH(C32,Rates!$A$2:$A$10,0))&lt;=0,"Check rate",ROUND(D32*INDEX(Rates!$B$2:$B$10,MATCH(C32,Rates!$A$2:$A$10,0)),2)))),"Check currency")))</f>
        <v/>
      </c>
    </row>
    <row r="33">
      <c r="A33" s="4" t="n"/>
      <c r="B33" s="5" t="n"/>
      <c r="C33" s="5" t="n"/>
      <c r="D33" s="6" t="n"/>
      <c r="E33" s="3">
        <f>IF(AND(C33="",D33=""),"",IF(NOT(ISNUMBER(D33)),"Check amount",IFERROR(IF(ISNA(MATCH(C33,Rates!$A$2:$A$10,0)),"Check currency",IF(NOT(ISNUMBER(INDEX(Rates!$B$2:$B$10,MATCH(C33,Rates!$A$2:$A$10,0)))),"Check rate",IF(INDEX(Rates!$B$2:$B$10,MATCH(C33,Rates!$A$2:$A$10,0))&lt;=0,"Check rate",ROUND(D33*INDEX(Rates!$B$2:$B$10,MATCH(C33,Rates!$A$2:$A$10,0)),2)))),"Check currency")))</f>
        <v/>
      </c>
    </row>
    <row r="34">
      <c r="A34" s="4" t="n"/>
      <c r="B34" s="5" t="n"/>
      <c r="C34" s="5" t="n"/>
      <c r="D34" s="6" t="n"/>
      <c r="E34" s="3">
        <f>IF(AND(C34="",D34=""),"",IF(NOT(ISNUMBER(D34)),"Check amount",IFERROR(IF(ISNA(MATCH(C34,Rates!$A$2:$A$10,0)),"Check currency",IF(NOT(ISNUMBER(INDEX(Rates!$B$2:$B$10,MATCH(C34,Rates!$A$2:$A$10,0)))),"Check rate",IF(INDEX(Rates!$B$2:$B$10,MATCH(C34,Rates!$A$2:$A$10,0))&lt;=0,"Check rate",ROUND(D34*INDEX(Rates!$B$2:$B$10,MATCH(C34,Rates!$A$2:$A$10,0)),2)))),"Check currency")))</f>
        <v/>
      </c>
    </row>
    <row r="35">
      <c r="A35" s="4" t="n"/>
      <c r="B35" s="5" t="n"/>
      <c r="C35" s="5" t="n"/>
      <c r="D35" s="6" t="n"/>
      <c r="E35" s="3">
        <f>IF(AND(C35="",D35=""),"",IF(NOT(ISNUMBER(D35)),"Check amount",IFERROR(IF(ISNA(MATCH(C35,Rates!$A$2:$A$10,0)),"Check currency",IF(NOT(ISNUMBER(INDEX(Rates!$B$2:$B$10,MATCH(C35,Rates!$A$2:$A$10,0)))),"Check rate",IF(INDEX(Rates!$B$2:$B$10,MATCH(C35,Rates!$A$2:$A$10,0))&lt;=0,"Check rate",ROUND(D35*INDEX(Rates!$B$2:$B$10,MATCH(C35,Rates!$A$2:$A$10,0)),2)))),"Check currency")))</f>
        <v/>
      </c>
    </row>
    <row r="36">
      <c r="A36" s="4" t="n"/>
      <c r="B36" s="5" t="n"/>
      <c r="C36" s="5" t="n"/>
      <c r="D36" s="6" t="n"/>
      <c r="E36" s="3">
        <f>IF(AND(C36="",D36=""),"",IF(NOT(ISNUMBER(D36)),"Check amount",IFERROR(IF(ISNA(MATCH(C36,Rates!$A$2:$A$10,0)),"Check currency",IF(NOT(ISNUMBER(INDEX(Rates!$B$2:$B$10,MATCH(C36,Rates!$A$2:$A$10,0)))),"Check rate",IF(INDEX(Rates!$B$2:$B$10,MATCH(C36,Rates!$A$2:$A$10,0))&lt;=0,"Check rate",ROUND(D36*INDEX(Rates!$B$2:$B$10,MATCH(C36,Rates!$A$2:$A$10,0)),2)))),"Check currency")))</f>
        <v/>
      </c>
    </row>
    <row r="37">
      <c r="A37" s="4" t="n"/>
      <c r="B37" s="5" t="n"/>
      <c r="C37" s="5" t="n"/>
      <c r="D37" s="6" t="n"/>
      <c r="E37" s="3">
        <f>IF(AND(C37="",D37=""),"",IF(NOT(ISNUMBER(D37)),"Check amount",IFERROR(IF(ISNA(MATCH(C37,Rates!$A$2:$A$10,0)),"Check currency",IF(NOT(ISNUMBER(INDEX(Rates!$B$2:$B$10,MATCH(C37,Rates!$A$2:$A$10,0)))),"Check rate",IF(INDEX(Rates!$B$2:$B$10,MATCH(C37,Rates!$A$2:$A$10,0))&lt;=0,"Check rate",ROUND(D37*INDEX(Rates!$B$2:$B$10,MATCH(C37,Rates!$A$2:$A$10,0)),2)))),"Check currency")))</f>
        <v/>
      </c>
    </row>
    <row r="38">
      <c r="A38" s="4" t="n"/>
      <c r="B38" s="5" t="n"/>
      <c r="C38" s="5" t="n"/>
      <c r="D38" s="6" t="n"/>
      <c r="E38" s="3">
        <f>IF(AND(C38="",D38=""),"",IF(NOT(ISNUMBER(D38)),"Check amount",IFERROR(IF(ISNA(MATCH(C38,Rates!$A$2:$A$10,0)),"Check currency",IF(NOT(ISNUMBER(INDEX(Rates!$B$2:$B$10,MATCH(C38,Rates!$A$2:$A$10,0)))),"Check rate",IF(INDEX(Rates!$B$2:$B$10,MATCH(C38,Rates!$A$2:$A$10,0))&lt;=0,"Check rate",ROUND(D38*INDEX(Rates!$B$2:$B$10,MATCH(C38,Rates!$A$2:$A$10,0)),2)))),"Check currency")))</f>
        <v/>
      </c>
    </row>
    <row r="39">
      <c r="A39" s="4" t="n"/>
      <c r="B39" s="5" t="n"/>
      <c r="C39" s="5" t="n"/>
      <c r="D39" s="6" t="n"/>
      <c r="E39" s="3">
        <f>IF(AND(C39="",D39=""),"",IF(NOT(ISNUMBER(D39)),"Check amount",IFERROR(IF(ISNA(MATCH(C39,Rates!$A$2:$A$10,0)),"Check currency",IF(NOT(ISNUMBER(INDEX(Rates!$B$2:$B$10,MATCH(C39,Rates!$A$2:$A$10,0)))),"Check rate",IF(INDEX(Rates!$B$2:$B$10,MATCH(C39,Rates!$A$2:$A$10,0))&lt;=0,"Check rate",ROUND(D39*INDEX(Rates!$B$2:$B$10,MATCH(C39,Rates!$A$2:$A$10,0)),2)))),"Check currency")))</f>
        <v/>
      </c>
    </row>
    <row r="40">
      <c r="A40" s="4" t="n"/>
      <c r="B40" s="5" t="n"/>
      <c r="C40" s="5" t="n"/>
      <c r="D40" s="6" t="n"/>
      <c r="E40" s="3">
        <f>IF(AND(C40="",D40=""),"",IF(NOT(ISNUMBER(D40)),"Check amount",IFERROR(IF(ISNA(MATCH(C40,Rates!$A$2:$A$10,0)),"Check currency",IF(NOT(ISNUMBER(INDEX(Rates!$B$2:$B$10,MATCH(C40,Rates!$A$2:$A$10,0)))),"Check rate",IF(INDEX(Rates!$B$2:$B$10,MATCH(C40,Rates!$A$2:$A$10,0))&lt;=0,"Check rate",ROUND(D40*INDEX(Rates!$B$2:$B$10,MATCH(C40,Rates!$A$2:$A$10,0)),2)))),"Check currency")))</f>
        <v/>
      </c>
    </row>
    <row r="41">
      <c r="A41" s="4" t="n"/>
      <c r="B41" s="5" t="n"/>
      <c r="C41" s="5" t="n"/>
      <c r="D41" s="6" t="n"/>
      <c r="E41" s="3">
        <f>IF(AND(C41="",D41=""),"",IF(NOT(ISNUMBER(D41)),"Check amount",IFERROR(IF(ISNA(MATCH(C41,Rates!$A$2:$A$10,0)),"Check currency",IF(NOT(ISNUMBER(INDEX(Rates!$B$2:$B$10,MATCH(C41,Rates!$A$2:$A$10,0)))),"Check rate",IF(INDEX(Rates!$B$2:$B$10,MATCH(C41,Rates!$A$2:$A$10,0))&lt;=0,"Check rate",ROUND(D41*INDEX(Rates!$B$2:$B$10,MATCH(C41,Rates!$A$2:$A$10,0)),2)))),"Check currency")))</f>
        <v/>
      </c>
    </row>
    <row r="42">
      <c r="A42" s="4" t="n"/>
      <c r="B42" s="5" t="n"/>
      <c r="C42" s="5" t="n"/>
      <c r="D42" s="6" t="n"/>
      <c r="E42" s="3">
        <f>IF(AND(C42="",D42=""),"",IF(NOT(ISNUMBER(D42)),"Check amount",IFERROR(IF(ISNA(MATCH(C42,Rates!$A$2:$A$10,0)),"Check currency",IF(NOT(ISNUMBER(INDEX(Rates!$B$2:$B$10,MATCH(C42,Rates!$A$2:$A$10,0)))),"Check rate",IF(INDEX(Rates!$B$2:$B$10,MATCH(C42,Rates!$A$2:$A$10,0))&lt;=0,"Check rate",ROUND(D42*INDEX(Rates!$B$2:$B$10,MATCH(C42,Rates!$A$2:$A$10,0)),2)))),"Check currency")))</f>
        <v/>
      </c>
    </row>
    <row r="43">
      <c r="A43" s="4" t="n"/>
      <c r="B43" s="5" t="n"/>
      <c r="C43" s="5" t="n"/>
      <c r="D43" s="6" t="n"/>
      <c r="E43" s="3">
        <f>IF(AND(C43="",D43=""),"",IF(NOT(ISNUMBER(D43)),"Check amount",IFERROR(IF(ISNA(MATCH(C43,Rates!$A$2:$A$10,0)),"Check currency",IF(NOT(ISNUMBER(INDEX(Rates!$B$2:$B$10,MATCH(C43,Rates!$A$2:$A$10,0)))),"Check rate",IF(INDEX(Rates!$B$2:$B$10,MATCH(C43,Rates!$A$2:$A$10,0))&lt;=0,"Check rate",ROUND(D43*INDEX(Rates!$B$2:$B$10,MATCH(C43,Rates!$A$2:$A$10,0)),2)))),"Check currency")))</f>
        <v/>
      </c>
    </row>
    <row r="44">
      <c r="A44" s="4" t="n"/>
      <c r="B44" s="5" t="n"/>
      <c r="C44" s="5" t="n"/>
      <c r="D44" s="6" t="n"/>
      <c r="E44" s="3">
        <f>IF(AND(C44="",D44=""),"",IF(NOT(ISNUMBER(D44)),"Check amount",IFERROR(IF(ISNA(MATCH(C44,Rates!$A$2:$A$10,0)),"Check currency",IF(NOT(ISNUMBER(INDEX(Rates!$B$2:$B$10,MATCH(C44,Rates!$A$2:$A$10,0)))),"Check rate",IF(INDEX(Rates!$B$2:$B$10,MATCH(C44,Rates!$A$2:$A$10,0))&lt;=0,"Check rate",ROUND(D44*INDEX(Rates!$B$2:$B$10,MATCH(C44,Rates!$A$2:$A$10,0)),2)))),"Check currency")))</f>
        <v/>
      </c>
    </row>
    <row r="45">
      <c r="A45" s="4" t="n"/>
      <c r="B45" s="5" t="n"/>
      <c r="C45" s="5" t="n"/>
      <c r="D45" s="6" t="n"/>
      <c r="E45" s="3">
        <f>IF(AND(C45="",D45=""),"",IF(NOT(ISNUMBER(D45)),"Check amount",IFERROR(IF(ISNA(MATCH(C45,Rates!$A$2:$A$10,0)),"Check currency",IF(NOT(ISNUMBER(INDEX(Rates!$B$2:$B$10,MATCH(C45,Rates!$A$2:$A$10,0)))),"Check rate",IF(INDEX(Rates!$B$2:$B$10,MATCH(C45,Rates!$A$2:$A$10,0))&lt;=0,"Check rate",ROUND(D45*INDEX(Rates!$B$2:$B$10,MATCH(C45,Rates!$A$2:$A$10,0)),2)))),"Check currency")))</f>
        <v/>
      </c>
    </row>
    <row r="46">
      <c r="A46" s="4" t="n"/>
      <c r="B46" s="5" t="n"/>
      <c r="C46" s="5" t="n"/>
      <c r="D46" s="6" t="n"/>
      <c r="E46" s="3">
        <f>IF(AND(C46="",D46=""),"",IF(NOT(ISNUMBER(D46)),"Check amount",IFERROR(IF(ISNA(MATCH(C46,Rates!$A$2:$A$10,0)),"Check currency",IF(NOT(ISNUMBER(INDEX(Rates!$B$2:$B$10,MATCH(C46,Rates!$A$2:$A$10,0)))),"Check rate",IF(INDEX(Rates!$B$2:$B$10,MATCH(C46,Rates!$A$2:$A$10,0))&lt;=0,"Check rate",ROUND(D46*INDEX(Rates!$B$2:$B$10,MATCH(C46,Rates!$A$2:$A$10,0)),2)))),"Check currency")))</f>
        <v/>
      </c>
    </row>
    <row r="47">
      <c r="A47" s="4" t="n"/>
      <c r="B47" s="5" t="n"/>
      <c r="C47" s="5" t="n"/>
      <c r="D47" s="6" t="n"/>
      <c r="E47" s="3">
        <f>IF(AND(C47="",D47=""),"",IF(NOT(ISNUMBER(D47)),"Check amount",IFERROR(IF(ISNA(MATCH(C47,Rates!$A$2:$A$10,0)),"Check currency",IF(NOT(ISNUMBER(INDEX(Rates!$B$2:$B$10,MATCH(C47,Rates!$A$2:$A$10,0)))),"Check rate",IF(INDEX(Rates!$B$2:$B$10,MATCH(C47,Rates!$A$2:$A$10,0))&lt;=0,"Check rate",ROUND(D47*INDEX(Rates!$B$2:$B$10,MATCH(C47,Rates!$A$2:$A$10,0)),2)))),"Check currency")))</f>
        <v/>
      </c>
    </row>
    <row r="48">
      <c r="A48" s="4" t="n"/>
      <c r="B48" s="5" t="n"/>
      <c r="C48" s="5" t="n"/>
      <c r="D48" s="6" t="n"/>
      <c r="E48" s="3">
        <f>IF(AND(C48="",D48=""),"",IF(NOT(ISNUMBER(D48)),"Check amount",IFERROR(IF(ISNA(MATCH(C48,Rates!$A$2:$A$10,0)),"Check currency",IF(NOT(ISNUMBER(INDEX(Rates!$B$2:$B$10,MATCH(C48,Rates!$A$2:$A$10,0)))),"Check rate",IF(INDEX(Rates!$B$2:$B$10,MATCH(C48,Rates!$A$2:$A$10,0))&lt;=0,"Check rate",ROUND(D48*INDEX(Rates!$B$2:$B$10,MATCH(C48,Rates!$A$2:$A$10,0)),2)))),"Check currency")))</f>
        <v/>
      </c>
    </row>
    <row r="49">
      <c r="A49" s="4" t="n"/>
      <c r="B49" s="5" t="n"/>
      <c r="C49" s="5" t="n"/>
      <c r="D49" s="6" t="n"/>
      <c r="E49" s="3">
        <f>IF(AND(C49="",D49=""),"",IF(NOT(ISNUMBER(D49)),"Check amount",IFERROR(IF(ISNA(MATCH(C49,Rates!$A$2:$A$10,0)),"Check currency",IF(NOT(ISNUMBER(INDEX(Rates!$B$2:$B$10,MATCH(C49,Rates!$A$2:$A$10,0)))),"Check rate",IF(INDEX(Rates!$B$2:$B$10,MATCH(C49,Rates!$A$2:$A$10,0))&lt;=0,"Check rate",ROUND(D49*INDEX(Rates!$B$2:$B$10,MATCH(C49,Rates!$A$2:$A$10,0)),2)))),"Check currency")))</f>
        <v/>
      </c>
    </row>
    <row r="50">
      <c r="A50" s="4" t="n"/>
      <c r="B50" s="5" t="n"/>
      <c r="C50" s="5" t="n"/>
      <c r="D50" s="6" t="n"/>
      <c r="E50" s="3">
        <f>IF(AND(C50="",D50=""),"",IF(NOT(ISNUMBER(D50)),"Check amount",IFERROR(IF(ISNA(MATCH(C50,Rates!$A$2:$A$10,0)),"Check currency",IF(NOT(ISNUMBER(INDEX(Rates!$B$2:$B$10,MATCH(C50,Rates!$A$2:$A$10,0)))),"Check rate",IF(INDEX(Rates!$B$2:$B$10,MATCH(C50,Rates!$A$2:$A$10,0))&lt;=0,"Check rate",ROUND(D50*INDEX(Rates!$B$2:$B$10,MATCH(C50,Rates!$A$2:$A$10,0)),2)))),"Check currency")))</f>
        <v/>
      </c>
    </row>
    <row r="51">
      <c r="A51" s="4" t="n"/>
      <c r="B51" s="5" t="n"/>
      <c r="C51" s="5" t="n"/>
      <c r="D51" s="6" t="n"/>
      <c r="E51" s="3">
        <f>IF(AND(C51="",D51=""),"",IF(NOT(ISNUMBER(D51)),"Check amount",IFERROR(IF(ISNA(MATCH(C51,Rates!$A$2:$A$10,0)),"Check currency",IF(NOT(ISNUMBER(INDEX(Rates!$B$2:$B$10,MATCH(C51,Rates!$A$2:$A$10,0)))),"Check rate",IF(INDEX(Rates!$B$2:$B$10,MATCH(C51,Rates!$A$2:$A$10,0))&lt;=0,"Check rate",ROUND(D51*INDEX(Rates!$B$2:$B$10,MATCH(C51,Rates!$A$2:$A$10,0)),2)))),"Check currency")))</f>
        <v/>
      </c>
    </row>
    <row r="52">
      <c r="A52" s="4" t="n"/>
      <c r="B52" s="5" t="n"/>
      <c r="C52" s="5" t="n"/>
      <c r="D52" s="6" t="n"/>
      <c r="E52" s="3">
        <f>IF(AND(C52="",D52=""),"",IF(NOT(ISNUMBER(D52)),"Check amount",IFERROR(IF(ISNA(MATCH(C52,Rates!$A$2:$A$10,0)),"Check currency",IF(NOT(ISNUMBER(INDEX(Rates!$B$2:$B$10,MATCH(C52,Rates!$A$2:$A$10,0)))),"Check rate",IF(INDEX(Rates!$B$2:$B$10,MATCH(C52,Rates!$A$2:$A$10,0))&lt;=0,"Check rate",ROUND(D52*INDEX(Rates!$B$2:$B$10,MATCH(C52,Rates!$A$2:$A$10,0)),2)))),"Check currency")))</f>
        <v/>
      </c>
    </row>
    <row r="53">
      <c r="A53" s="4" t="n"/>
      <c r="B53" s="5" t="n"/>
      <c r="C53" s="5" t="n"/>
      <c r="D53" s="6" t="n"/>
      <c r="E53" s="3">
        <f>IF(AND(C53="",D53=""),"",IF(NOT(ISNUMBER(D53)),"Check amount",IFERROR(IF(ISNA(MATCH(C53,Rates!$A$2:$A$10,0)),"Check currency",IF(NOT(ISNUMBER(INDEX(Rates!$B$2:$B$10,MATCH(C53,Rates!$A$2:$A$10,0)))),"Check rate",IF(INDEX(Rates!$B$2:$B$10,MATCH(C53,Rates!$A$2:$A$10,0))&lt;=0,"Check rate",ROUND(D53*INDEX(Rates!$B$2:$B$10,MATCH(C53,Rates!$A$2:$A$10,0)),2)))),"Check currency")))</f>
        <v/>
      </c>
    </row>
    <row r="54">
      <c r="A54" s="4" t="n"/>
      <c r="B54" s="5" t="n"/>
      <c r="C54" s="5" t="n"/>
      <c r="D54" s="6" t="n"/>
      <c r="E54" s="3">
        <f>IF(AND(C54="",D54=""),"",IF(NOT(ISNUMBER(D54)),"Check amount",IFERROR(IF(ISNA(MATCH(C54,Rates!$A$2:$A$10,0)),"Check currency",IF(NOT(ISNUMBER(INDEX(Rates!$B$2:$B$10,MATCH(C54,Rates!$A$2:$A$10,0)))),"Check rate",IF(INDEX(Rates!$B$2:$B$10,MATCH(C54,Rates!$A$2:$A$10,0))&lt;=0,"Check rate",ROUND(D54*INDEX(Rates!$B$2:$B$10,MATCH(C54,Rates!$A$2:$A$10,0)),2)))),"Check currency")))</f>
        <v/>
      </c>
    </row>
    <row r="55">
      <c r="A55" s="4" t="n"/>
      <c r="B55" s="5" t="n"/>
      <c r="C55" s="5" t="n"/>
      <c r="D55" s="6" t="n"/>
      <c r="E55" s="3">
        <f>IF(AND(C55="",D55=""),"",IF(NOT(ISNUMBER(D55)),"Check amount",IFERROR(IF(ISNA(MATCH(C55,Rates!$A$2:$A$10,0)),"Check currency",IF(NOT(ISNUMBER(INDEX(Rates!$B$2:$B$10,MATCH(C55,Rates!$A$2:$A$10,0)))),"Check rate",IF(INDEX(Rates!$B$2:$B$10,MATCH(C55,Rates!$A$2:$A$10,0))&lt;=0,"Check rate",ROUND(D55*INDEX(Rates!$B$2:$B$10,MATCH(C55,Rates!$A$2:$A$10,0)),2)))),"Check currency")))</f>
        <v/>
      </c>
    </row>
    <row r="56">
      <c r="A56" s="4" t="n"/>
      <c r="B56" s="5" t="n"/>
      <c r="C56" s="5" t="n"/>
      <c r="D56" s="6" t="n"/>
      <c r="E56" s="3">
        <f>IF(AND(C56="",D56=""),"",IF(NOT(ISNUMBER(D56)),"Check amount",IFERROR(IF(ISNA(MATCH(C56,Rates!$A$2:$A$10,0)),"Check currency",IF(NOT(ISNUMBER(INDEX(Rates!$B$2:$B$10,MATCH(C56,Rates!$A$2:$A$10,0)))),"Check rate",IF(INDEX(Rates!$B$2:$B$10,MATCH(C56,Rates!$A$2:$A$10,0))&lt;=0,"Check rate",ROUND(D56*INDEX(Rates!$B$2:$B$10,MATCH(C56,Rates!$A$2:$A$10,0)),2)))),"Check currency")))</f>
        <v/>
      </c>
    </row>
    <row r="57">
      <c r="A57" s="4" t="n"/>
      <c r="B57" s="5" t="n"/>
      <c r="C57" s="5" t="n"/>
      <c r="D57" s="6" t="n"/>
      <c r="E57" s="3">
        <f>IF(AND(C57="",D57=""),"",IF(NOT(ISNUMBER(D57)),"Check amount",IFERROR(IF(ISNA(MATCH(C57,Rates!$A$2:$A$10,0)),"Check currency",IF(NOT(ISNUMBER(INDEX(Rates!$B$2:$B$10,MATCH(C57,Rates!$A$2:$A$10,0)))),"Check rate",IF(INDEX(Rates!$B$2:$B$10,MATCH(C57,Rates!$A$2:$A$10,0))&lt;=0,"Check rate",ROUND(D57*INDEX(Rates!$B$2:$B$10,MATCH(C57,Rates!$A$2:$A$10,0)),2)))),"Check currency")))</f>
        <v/>
      </c>
    </row>
    <row r="58">
      <c r="A58" s="4" t="n"/>
      <c r="B58" s="5" t="n"/>
      <c r="C58" s="5" t="n"/>
      <c r="D58" s="6" t="n"/>
      <c r="E58" s="3">
        <f>IF(AND(C58="",D58=""),"",IF(NOT(ISNUMBER(D58)),"Check amount",IFERROR(IF(ISNA(MATCH(C58,Rates!$A$2:$A$10,0)),"Check currency",IF(NOT(ISNUMBER(INDEX(Rates!$B$2:$B$10,MATCH(C58,Rates!$A$2:$A$10,0)))),"Check rate",IF(INDEX(Rates!$B$2:$B$10,MATCH(C58,Rates!$A$2:$A$10,0))&lt;=0,"Check rate",ROUND(D58*INDEX(Rates!$B$2:$B$10,MATCH(C58,Rates!$A$2:$A$10,0)),2)))),"Check currency")))</f>
        <v/>
      </c>
    </row>
    <row r="59">
      <c r="A59" s="4" t="n"/>
      <c r="B59" s="5" t="n"/>
      <c r="C59" s="5" t="n"/>
      <c r="D59" s="6" t="n"/>
      <c r="E59" s="3">
        <f>IF(AND(C59="",D59=""),"",IF(NOT(ISNUMBER(D59)),"Check amount",IFERROR(IF(ISNA(MATCH(C59,Rates!$A$2:$A$10,0)),"Check currency",IF(NOT(ISNUMBER(INDEX(Rates!$B$2:$B$10,MATCH(C59,Rates!$A$2:$A$10,0)))),"Check rate",IF(INDEX(Rates!$B$2:$B$10,MATCH(C59,Rates!$A$2:$A$10,0))&lt;=0,"Check rate",ROUND(D59*INDEX(Rates!$B$2:$B$10,MATCH(C59,Rates!$A$2:$A$10,0)),2)))),"Check currency")))</f>
        <v/>
      </c>
    </row>
    <row r="60">
      <c r="A60" s="4" t="n"/>
      <c r="B60" s="5" t="n"/>
      <c r="C60" s="5" t="n"/>
      <c r="D60" s="6" t="n"/>
      <c r="E60" s="3">
        <f>IF(AND(C60="",D60=""),"",IF(NOT(ISNUMBER(D60)),"Check amount",IFERROR(IF(ISNA(MATCH(C60,Rates!$A$2:$A$10,0)),"Check currency",IF(NOT(ISNUMBER(INDEX(Rates!$B$2:$B$10,MATCH(C60,Rates!$A$2:$A$10,0)))),"Check rate",IF(INDEX(Rates!$B$2:$B$10,MATCH(C60,Rates!$A$2:$A$10,0))&lt;=0,"Check rate",ROUND(D60*INDEX(Rates!$B$2:$B$10,MATCH(C60,Rates!$A$2:$A$10,0)),2)))),"Check currency")))</f>
        <v/>
      </c>
    </row>
    <row r="61">
      <c r="A61" s="4" t="n"/>
      <c r="B61" s="5" t="n"/>
      <c r="C61" s="5" t="n"/>
      <c r="D61" s="6" t="n"/>
      <c r="E61" s="3">
        <f>IF(AND(C61="",D61=""),"",IF(NOT(ISNUMBER(D61)),"Check amount",IFERROR(IF(ISNA(MATCH(C61,Rates!$A$2:$A$10,0)),"Check currency",IF(NOT(ISNUMBER(INDEX(Rates!$B$2:$B$10,MATCH(C61,Rates!$A$2:$A$10,0)))),"Check rate",IF(INDEX(Rates!$B$2:$B$10,MATCH(C61,Rates!$A$2:$A$10,0))&lt;=0,"Check rate",ROUND(D61*INDEX(Rates!$B$2:$B$10,MATCH(C61,Rates!$A$2:$A$10,0)),2)))),"Check currency")))</f>
        <v/>
      </c>
    </row>
    <row r="62">
      <c r="A62" s="4" t="n"/>
      <c r="B62" s="5" t="n"/>
      <c r="C62" s="5" t="n"/>
      <c r="D62" s="6" t="n"/>
      <c r="E62" s="3">
        <f>IF(AND(C62="",D62=""),"",IF(NOT(ISNUMBER(D62)),"Check amount",IFERROR(IF(ISNA(MATCH(C62,Rates!$A$2:$A$10,0)),"Check currency",IF(NOT(ISNUMBER(INDEX(Rates!$B$2:$B$10,MATCH(C62,Rates!$A$2:$A$10,0)))),"Check rate",IF(INDEX(Rates!$B$2:$B$10,MATCH(C62,Rates!$A$2:$A$10,0))&lt;=0,"Check rate",ROUND(D62*INDEX(Rates!$B$2:$B$10,MATCH(C62,Rates!$A$2:$A$10,0)),2)))),"Check currency")))</f>
        <v/>
      </c>
    </row>
    <row r="63">
      <c r="A63" s="4" t="n"/>
      <c r="B63" s="5" t="n"/>
      <c r="C63" s="5" t="n"/>
      <c r="D63" s="6" t="n"/>
      <c r="E63" s="3">
        <f>IF(AND(C63="",D63=""),"",IF(NOT(ISNUMBER(D63)),"Check amount",IFERROR(IF(ISNA(MATCH(C63,Rates!$A$2:$A$10,0)),"Check currency",IF(NOT(ISNUMBER(INDEX(Rates!$B$2:$B$10,MATCH(C63,Rates!$A$2:$A$10,0)))),"Check rate",IF(INDEX(Rates!$B$2:$B$10,MATCH(C63,Rates!$A$2:$A$10,0))&lt;=0,"Check rate",ROUND(D63*INDEX(Rates!$B$2:$B$10,MATCH(C63,Rates!$A$2:$A$10,0)),2)))),"Check currency")))</f>
        <v/>
      </c>
    </row>
    <row r="64">
      <c r="A64" s="4" t="n"/>
      <c r="B64" s="5" t="n"/>
      <c r="C64" s="5" t="n"/>
      <c r="D64" s="6" t="n"/>
      <c r="E64" s="3">
        <f>IF(AND(C64="",D64=""),"",IF(NOT(ISNUMBER(D64)),"Check amount",IFERROR(IF(ISNA(MATCH(C64,Rates!$A$2:$A$10,0)),"Check currency",IF(NOT(ISNUMBER(INDEX(Rates!$B$2:$B$10,MATCH(C64,Rates!$A$2:$A$10,0)))),"Check rate",IF(INDEX(Rates!$B$2:$B$10,MATCH(C64,Rates!$A$2:$A$10,0))&lt;=0,"Check rate",ROUND(D64*INDEX(Rates!$B$2:$B$10,MATCH(C64,Rates!$A$2:$A$10,0)),2)))),"Check currency")))</f>
        <v/>
      </c>
    </row>
    <row r="65">
      <c r="A65" s="4" t="n"/>
      <c r="B65" s="5" t="n"/>
      <c r="C65" s="5" t="n"/>
      <c r="D65" s="6" t="n"/>
      <c r="E65" s="3">
        <f>IF(AND(C65="",D65=""),"",IF(NOT(ISNUMBER(D65)),"Check amount",IFERROR(IF(ISNA(MATCH(C65,Rates!$A$2:$A$10,0)),"Check currency",IF(NOT(ISNUMBER(INDEX(Rates!$B$2:$B$10,MATCH(C65,Rates!$A$2:$A$10,0)))),"Check rate",IF(INDEX(Rates!$B$2:$B$10,MATCH(C65,Rates!$A$2:$A$10,0))&lt;=0,"Check rate",ROUND(D65*INDEX(Rates!$B$2:$B$10,MATCH(C65,Rates!$A$2:$A$10,0)),2)))),"Check currency")))</f>
        <v/>
      </c>
    </row>
    <row r="66">
      <c r="A66" s="4" t="n"/>
      <c r="B66" s="5" t="n"/>
      <c r="C66" s="5" t="n"/>
      <c r="D66" s="6" t="n"/>
      <c r="E66" s="3">
        <f>IF(AND(C66="",D66=""),"",IF(NOT(ISNUMBER(D66)),"Check amount",IFERROR(IF(ISNA(MATCH(C66,Rates!$A$2:$A$10,0)),"Check currency",IF(NOT(ISNUMBER(INDEX(Rates!$B$2:$B$10,MATCH(C66,Rates!$A$2:$A$10,0)))),"Check rate",IF(INDEX(Rates!$B$2:$B$10,MATCH(C66,Rates!$A$2:$A$10,0))&lt;=0,"Check rate",ROUND(D66*INDEX(Rates!$B$2:$B$10,MATCH(C66,Rates!$A$2:$A$10,0)),2)))),"Check currency")))</f>
        <v/>
      </c>
    </row>
    <row r="67">
      <c r="A67" s="4" t="n"/>
      <c r="B67" s="5" t="n"/>
      <c r="C67" s="5" t="n"/>
      <c r="D67" s="6" t="n"/>
      <c r="E67" s="3">
        <f>IF(AND(C67="",D67=""),"",IF(NOT(ISNUMBER(D67)),"Check amount",IFERROR(IF(ISNA(MATCH(C67,Rates!$A$2:$A$10,0)),"Check currency",IF(NOT(ISNUMBER(INDEX(Rates!$B$2:$B$10,MATCH(C67,Rates!$A$2:$A$10,0)))),"Check rate",IF(INDEX(Rates!$B$2:$B$10,MATCH(C67,Rates!$A$2:$A$10,0))&lt;=0,"Check rate",ROUND(D67*INDEX(Rates!$B$2:$B$10,MATCH(C67,Rates!$A$2:$A$10,0)),2)))),"Check currency")))</f>
        <v/>
      </c>
    </row>
    <row r="68">
      <c r="A68" s="4" t="n"/>
      <c r="B68" s="5" t="n"/>
      <c r="C68" s="5" t="n"/>
      <c r="D68" s="6" t="n"/>
      <c r="E68" s="3">
        <f>IF(AND(C68="",D68=""),"",IF(NOT(ISNUMBER(D68)),"Check amount",IFERROR(IF(ISNA(MATCH(C68,Rates!$A$2:$A$10,0)),"Check currency",IF(NOT(ISNUMBER(INDEX(Rates!$B$2:$B$10,MATCH(C68,Rates!$A$2:$A$10,0)))),"Check rate",IF(INDEX(Rates!$B$2:$B$10,MATCH(C68,Rates!$A$2:$A$10,0))&lt;=0,"Check rate",ROUND(D68*INDEX(Rates!$B$2:$B$10,MATCH(C68,Rates!$A$2:$A$10,0)),2)))),"Check currency")))</f>
        <v/>
      </c>
    </row>
    <row r="69">
      <c r="A69" s="4" t="n"/>
      <c r="B69" s="5" t="n"/>
      <c r="C69" s="5" t="n"/>
      <c r="D69" s="6" t="n"/>
      <c r="E69" s="3">
        <f>IF(AND(C69="",D69=""),"",IF(NOT(ISNUMBER(D69)),"Check amount",IFERROR(IF(ISNA(MATCH(C69,Rates!$A$2:$A$10,0)),"Check currency",IF(NOT(ISNUMBER(INDEX(Rates!$B$2:$B$10,MATCH(C69,Rates!$A$2:$A$10,0)))),"Check rate",IF(INDEX(Rates!$B$2:$B$10,MATCH(C69,Rates!$A$2:$A$10,0))&lt;=0,"Check rate",ROUND(D69*INDEX(Rates!$B$2:$B$10,MATCH(C69,Rates!$A$2:$A$10,0)),2)))),"Check currency")))</f>
        <v/>
      </c>
    </row>
    <row r="70">
      <c r="A70" s="4" t="n"/>
      <c r="B70" s="5" t="n"/>
      <c r="C70" s="5" t="n"/>
      <c r="D70" s="6" t="n"/>
      <c r="E70" s="3">
        <f>IF(AND(C70="",D70=""),"",IF(NOT(ISNUMBER(D70)),"Check amount",IFERROR(IF(ISNA(MATCH(C70,Rates!$A$2:$A$10,0)),"Check currency",IF(NOT(ISNUMBER(INDEX(Rates!$B$2:$B$10,MATCH(C70,Rates!$A$2:$A$10,0)))),"Check rate",IF(INDEX(Rates!$B$2:$B$10,MATCH(C70,Rates!$A$2:$A$10,0))&lt;=0,"Check rate",ROUND(D70*INDEX(Rates!$B$2:$B$10,MATCH(C70,Rates!$A$2:$A$10,0)),2)))),"Check currency")))</f>
        <v/>
      </c>
    </row>
    <row r="71">
      <c r="A71" s="4" t="n"/>
      <c r="B71" s="5" t="n"/>
      <c r="C71" s="5" t="n"/>
      <c r="D71" s="6" t="n"/>
      <c r="E71" s="3">
        <f>IF(AND(C71="",D71=""),"",IF(NOT(ISNUMBER(D71)),"Check amount",IFERROR(IF(ISNA(MATCH(C71,Rates!$A$2:$A$10,0)),"Check currency",IF(NOT(ISNUMBER(INDEX(Rates!$B$2:$B$10,MATCH(C71,Rates!$A$2:$A$10,0)))),"Check rate",IF(INDEX(Rates!$B$2:$B$10,MATCH(C71,Rates!$A$2:$A$10,0))&lt;=0,"Check rate",ROUND(D71*INDEX(Rates!$B$2:$B$10,MATCH(C71,Rates!$A$2:$A$10,0)),2)))),"Check currency")))</f>
        <v/>
      </c>
    </row>
    <row r="72">
      <c r="A72" s="4" t="n"/>
      <c r="B72" s="5" t="n"/>
      <c r="C72" s="5" t="n"/>
      <c r="D72" s="6" t="n"/>
      <c r="E72" s="3">
        <f>IF(AND(C72="",D72=""),"",IF(NOT(ISNUMBER(D72)),"Check amount",IFERROR(IF(ISNA(MATCH(C72,Rates!$A$2:$A$10,0)),"Check currency",IF(NOT(ISNUMBER(INDEX(Rates!$B$2:$B$10,MATCH(C72,Rates!$A$2:$A$10,0)))),"Check rate",IF(INDEX(Rates!$B$2:$B$10,MATCH(C72,Rates!$A$2:$A$10,0))&lt;=0,"Check rate",ROUND(D72*INDEX(Rates!$B$2:$B$10,MATCH(C72,Rates!$A$2:$A$10,0)),2)))),"Check currency")))</f>
        <v/>
      </c>
    </row>
    <row r="73">
      <c r="A73" s="4" t="n"/>
      <c r="B73" s="5" t="n"/>
      <c r="C73" s="5" t="n"/>
      <c r="D73" s="6" t="n"/>
      <c r="E73" s="3">
        <f>IF(AND(C73="",D73=""),"",IF(NOT(ISNUMBER(D73)),"Check amount",IFERROR(IF(ISNA(MATCH(C73,Rates!$A$2:$A$10,0)),"Check currency",IF(NOT(ISNUMBER(INDEX(Rates!$B$2:$B$10,MATCH(C73,Rates!$A$2:$A$10,0)))),"Check rate",IF(INDEX(Rates!$B$2:$B$10,MATCH(C73,Rates!$A$2:$A$10,0))&lt;=0,"Check rate",ROUND(D73*INDEX(Rates!$B$2:$B$10,MATCH(C73,Rates!$A$2:$A$10,0)),2)))),"Check currency")))</f>
        <v/>
      </c>
    </row>
    <row r="74">
      <c r="A74" s="4" t="n"/>
      <c r="B74" s="5" t="n"/>
      <c r="C74" s="5" t="n"/>
      <c r="D74" s="6" t="n"/>
      <c r="E74" s="3">
        <f>IF(AND(C74="",D74=""),"",IF(NOT(ISNUMBER(D74)),"Check amount",IFERROR(IF(ISNA(MATCH(C74,Rates!$A$2:$A$10,0)),"Check currency",IF(NOT(ISNUMBER(INDEX(Rates!$B$2:$B$10,MATCH(C74,Rates!$A$2:$A$10,0)))),"Check rate",IF(INDEX(Rates!$B$2:$B$10,MATCH(C74,Rates!$A$2:$A$10,0))&lt;=0,"Check rate",ROUND(D74*INDEX(Rates!$B$2:$B$10,MATCH(C74,Rates!$A$2:$A$10,0)),2)))),"Check currency")))</f>
        <v/>
      </c>
    </row>
    <row r="75">
      <c r="A75" s="4" t="n"/>
      <c r="B75" s="5" t="n"/>
      <c r="C75" s="5" t="n"/>
      <c r="D75" s="6" t="n"/>
      <c r="E75" s="3">
        <f>IF(AND(C75="",D75=""),"",IF(NOT(ISNUMBER(D75)),"Check amount",IFERROR(IF(ISNA(MATCH(C75,Rates!$A$2:$A$10,0)),"Check currency",IF(NOT(ISNUMBER(INDEX(Rates!$B$2:$B$10,MATCH(C75,Rates!$A$2:$A$10,0)))),"Check rate",IF(INDEX(Rates!$B$2:$B$10,MATCH(C75,Rates!$A$2:$A$10,0))&lt;=0,"Check rate",ROUND(D75*INDEX(Rates!$B$2:$B$10,MATCH(C75,Rates!$A$2:$A$10,0)),2)))),"Check currency")))</f>
        <v/>
      </c>
    </row>
    <row r="76">
      <c r="A76" s="4" t="n"/>
      <c r="B76" s="5" t="n"/>
      <c r="C76" s="5" t="n"/>
      <c r="D76" s="6" t="n"/>
      <c r="E76" s="3">
        <f>IF(AND(C76="",D76=""),"",IF(NOT(ISNUMBER(D76)),"Check amount",IFERROR(IF(ISNA(MATCH(C76,Rates!$A$2:$A$10,0)),"Check currency",IF(NOT(ISNUMBER(INDEX(Rates!$B$2:$B$10,MATCH(C76,Rates!$A$2:$A$10,0)))),"Check rate",IF(INDEX(Rates!$B$2:$B$10,MATCH(C76,Rates!$A$2:$A$10,0))&lt;=0,"Check rate",ROUND(D76*INDEX(Rates!$B$2:$B$10,MATCH(C76,Rates!$A$2:$A$10,0)),2)))),"Check currency")))</f>
        <v/>
      </c>
    </row>
    <row r="77">
      <c r="A77" s="4" t="n"/>
      <c r="B77" s="5" t="n"/>
      <c r="C77" s="5" t="n"/>
      <c r="D77" s="6" t="n"/>
      <c r="E77" s="3">
        <f>IF(AND(C77="",D77=""),"",IF(NOT(ISNUMBER(D77)),"Check amount",IFERROR(IF(ISNA(MATCH(C77,Rates!$A$2:$A$10,0)),"Check currency",IF(NOT(ISNUMBER(INDEX(Rates!$B$2:$B$10,MATCH(C77,Rates!$A$2:$A$10,0)))),"Check rate",IF(INDEX(Rates!$B$2:$B$10,MATCH(C77,Rates!$A$2:$A$10,0))&lt;=0,"Check rate",ROUND(D77*INDEX(Rates!$B$2:$B$10,MATCH(C77,Rates!$A$2:$A$10,0)),2)))),"Check currency")))</f>
        <v/>
      </c>
    </row>
    <row r="78">
      <c r="A78" s="4" t="n"/>
      <c r="B78" s="5" t="n"/>
      <c r="C78" s="5" t="n"/>
      <c r="D78" s="6" t="n"/>
      <c r="E78" s="3">
        <f>IF(AND(C78="",D78=""),"",IF(NOT(ISNUMBER(D78)),"Check amount",IFERROR(IF(ISNA(MATCH(C78,Rates!$A$2:$A$10,0)),"Check currency",IF(NOT(ISNUMBER(INDEX(Rates!$B$2:$B$10,MATCH(C78,Rates!$A$2:$A$10,0)))),"Check rate",IF(INDEX(Rates!$B$2:$B$10,MATCH(C78,Rates!$A$2:$A$10,0))&lt;=0,"Check rate",ROUND(D78*INDEX(Rates!$B$2:$B$10,MATCH(C78,Rates!$A$2:$A$10,0)),2)))),"Check currency")))</f>
        <v/>
      </c>
    </row>
    <row r="79">
      <c r="A79" s="4" t="n"/>
      <c r="B79" s="5" t="n"/>
      <c r="C79" s="5" t="n"/>
      <c r="D79" s="6" t="n"/>
      <c r="E79" s="3">
        <f>IF(AND(C79="",D79=""),"",IF(NOT(ISNUMBER(D79)),"Check amount",IFERROR(IF(ISNA(MATCH(C79,Rates!$A$2:$A$10,0)),"Check currency",IF(NOT(ISNUMBER(INDEX(Rates!$B$2:$B$10,MATCH(C79,Rates!$A$2:$A$10,0)))),"Check rate",IF(INDEX(Rates!$B$2:$B$10,MATCH(C79,Rates!$A$2:$A$10,0))&lt;=0,"Check rate",ROUND(D79*INDEX(Rates!$B$2:$B$10,MATCH(C79,Rates!$A$2:$A$10,0)),2)))),"Check currency")))</f>
        <v/>
      </c>
    </row>
    <row r="80">
      <c r="A80" s="4" t="n"/>
      <c r="B80" s="5" t="n"/>
      <c r="C80" s="5" t="n"/>
      <c r="D80" s="6" t="n"/>
      <c r="E80" s="3">
        <f>IF(AND(C80="",D80=""),"",IF(NOT(ISNUMBER(D80)),"Check amount",IFERROR(IF(ISNA(MATCH(C80,Rates!$A$2:$A$10,0)),"Check currency",IF(NOT(ISNUMBER(INDEX(Rates!$B$2:$B$10,MATCH(C80,Rates!$A$2:$A$10,0)))),"Check rate",IF(INDEX(Rates!$B$2:$B$10,MATCH(C80,Rates!$A$2:$A$10,0))&lt;=0,"Check rate",ROUND(D80*INDEX(Rates!$B$2:$B$10,MATCH(C80,Rates!$A$2:$A$10,0)),2)))),"Check currency")))</f>
        <v/>
      </c>
    </row>
    <row r="81">
      <c r="A81" s="4" t="n"/>
      <c r="B81" s="5" t="n"/>
      <c r="C81" s="5" t="n"/>
      <c r="D81" s="6" t="n"/>
      <c r="E81" s="3">
        <f>IF(AND(C81="",D81=""),"",IF(NOT(ISNUMBER(D81)),"Check amount",IFERROR(IF(ISNA(MATCH(C81,Rates!$A$2:$A$10,0)),"Check currency",IF(NOT(ISNUMBER(INDEX(Rates!$B$2:$B$10,MATCH(C81,Rates!$A$2:$A$10,0)))),"Check rate",IF(INDEX(Rates!$B$2:$B$10,MATCH(C81,Rates!$A$2:$A$10,0))&lt;=0,"Check rate",ROUND(D81*INDEX(Rates!$B$2:$B$10,MATCH(C81,Rates!$A$2:$A$10,0)),2)))),"Check currency")))</f>
        <v/>
      </c>
    </row>
    <row r="82">
      <c r="A82" s="4" t="n"/>
      <c r="B82" s="5" t="n"/>
      <c r="C82" s="5" t="n"/>
      <c r="D82" s="6" t="n"/>
      <c r="E82" s="3">
        <f>IF(AND(C82="",D82=""),"",IF(NOT(ISNUMBER(D82)),"Check amount",IFERROR(IF(ISNA(MATCH(C82,Rates!$A$2:$A$10,0)),"Check currency",IF(NOT(ISNUMBER(INDEX(Rates!$B$2:$B$10,MATCH(C82,Rates!$A$2:$A$10,0)))),"Check rate",IF(INDEX(Rates!$B$2:$B$10,MATCH(C82,Rates!$A$2:$A$10,0))&lt;=0,"Check rate",ROUND(D82*INDEX(Rates!$B$2:$B$10,MATCH(C82,Rates!$A$2:$A$10,0)),2)))),"Check currency")))</f>
        <v/>
      </c>
    </row>
    <row r="83">
      <c r="A83" s="4" t="n"/>
      <c r="B83" s="5" t="n"/>
      <c r="C83" s="5" t="n"/>
      <c r="D83" s="6" t="n"/>
      <c r="E83" s="3">
        <f>IF(AND(C83="",D83=""),"",IF(NOT(ISNUMBER(D83)),"Check amount",IFERROR(IF(ISNA(MATCH(C83,Rates!$A$2:$A$10,0)),"Check currency",IF(NOT(ISNUMBER(INDEX(Rates!$B$2:$B$10,MATCH(C83,Rates!$A$2:$A$10,0)))),"Check rate",IF(INDEX(Rates!$B$2:$B$10,MATCH(C83,Rates!$A$2:$A$10,0))&lt;=0,"Check rate",ROUND(D83*INDEX(Rates!$B$2:$B$10,MATCH(C83,Rates!$A$2:$A$10,0)),2)))),"Check currency")))</f>
        <v/>
      </c>
    </row>
    <row r="84">
      <c r="A84" s="4" t="n"/>
      <c r="B84" s="5" t="n"/>
      <c r="C84" s="5" t="n"/>
      <c r="D84" s="6" t="n"/>
      <c r="E84" s="3">
        <f>IF(AND(C84="",D84=""),"",IF(NOT(ISNUMBER(D84)),"Check amount",IFERROR(IF(ISNA(MATCH(C84,Rates!$A$2:$A$10,0)),"Check currency",IF(NOT(ISNUMBER(INDEX(Rates!$B$2:$B$10,MATCH(C84,Rates!$A$2:$A$10,0)))),"Check rate",IF(INDEX(Rates!$B$2:$B$10,MATCH(C84,Rates!$A$2:$A$10,0))&lt;=0,"Check rate",ROUND(D84*INDEX(Rates!$B$2:$B$10,MATCH(C84,Rates!$A$2:$A$10,0)),2)))),"Check currency")))</f>
        <v/>
      </c>
    </row>
    <row r="85">
      <c r="A85" s="4" t="n"/>
      <c r="B85" s="5" t="n"/>
      <c r="C85" s="5" t="n"/>
      <c r="D85" s="6" t="n"/>
      <c r="E85" s="3">
        <f>IF(AND(C85="",D85=""),"",IF(NOT(ISNUMBER(D85)),"Check amount",IFERROR(IF(ISNA(MATCH(C85,Rates!$A$2:$A$10,0)),"Check currency",IF(NOT(ISNUMBER(INDEX(Rates!$B$2:$B$10,MATCH(C85,Rates!$A$2:$A$10,0)))),"Check rate",IF(INDEX(Rates!$B$2:$B$10,MATCH(C85,Rates!$A$2:$A$10,0))&lt;=0,"Check rate",ROUND(D85*INDEX(Rates!$B$2:$B$10,MATCH(C85,Rates!$A$2:$A$10,0)),2)))),"Check currency")))</f>
        <v/>
      </c>
    </row>
    <row r="86">
      <c r="A86" s="4" t="n"/>
      <c r="B86" s="5" t="n"/>
      <c r="C86" s="5" t="n"/>
      <c r="D86" s="6" t="n"/>
      <c r="E86" s="3">
        <f>IF(AND(C86="",D86=""),"",IF(NOT(ISNUMBER(D86)),"Check amount",IFERROR(IF(ISNA(MATCH(C86,Rates!$A$2:$A$10,0)),"Check currency",IF(NOT(ISNUMBER(INDEX(Rates!$B$2:$B$10,MATCH(C86,Rates!$A$2:$A$10,0)))),"Check rate",IF(INDEX(Rates!$B$2:$B$10,MATCH(C86,Rates!$A$2:$A$10,0))&lt;=0,"Check rate",ROUND(D86*INDEX(Rates!$B$2:$B$10,MATCH(C86,Rates!$A$2:$A$10,0)),2)))),"Check currency")))</f>
        <v/>
      </c>
    </row>
    <row r="87">
      <c r="A87" s="4" t="n"/>
      <c r="B87" s="5" t="n"/>
      <c r="C87" s="5" t="n"/>
      <c r="D87" s="6" t="n"/>
      <c r="E87" s="3">
        <f>IF(AND(C87="",D87=""),"",IF(NOT(ISNUMBER(D87)),"Check amount",IFERROR(IF(ISNA(MATCH(C87,Rates!$A$2:$A$10,0)),"Check currency",IF(NOT(ISNUMBER(INDEX(Rates!$B$2:$B$10,MATCH(C87,Rates!$A$2:$A$10,0)))),"Check rate",IF(INDEX(Rates!$B$2:$B$10,MATCH(C87,Rates!$A$2:$A$10,0))&lt;=0,"Check rate",ROUND(D87*INDEX(Rates!$B$2:$B$10,MATCH(C87,Rates!$A$2:$A$10,0)),2)))),"Check currency")))</f>
        <v/>
      </c>
    </row>
    <row r="88">
      <c r="A88" s="4" t="n"/>
      <c r="B88" s="5" t="n"/>
      <c r="C88" s="5" t="n"/>
      <c r="D88" s="6" t="n"/>
      <c r="E88" s="3">
        <f>IF(AND(C88="",D88=""),"",IF(NOT(ISNUMBER(D88)),"Check amount",IFERROR(IF(ISNA(MATCH(C88,Rates!$A$2:$A$10,0)),"Check currency",IF(NOT(ISNUMBER(INDEX(Rates!$B$2:$B$10,MATCH(C88,Rates!$A$2:$A$10,0)))),"Check rate",IF(INDEX(Rates!$B$2:$B$10,MATCH(C88,Rates!$A$2:$A$10,0))&lt;=0,"Check rate",ROUND(D88*INDEX(Rates!$B$2:$B$10,MATCH(C88,Rates!$A$2:$A$10,0)),2)))),"Check currency")))</f>
        <v/>
      </c>
    </row>
    <row r="89">
      <c r="A89" s="4" t="n"/>
      <c r="B89" s="5" t="n"/>
      <c r="C89" s="5" t="n"/>
      <c r="D89" s="6" t="n"/>
      <c r="E89" s="3">
        <f>IF(AND(C89="",D89=""),"",IF(NOT(ISNUMBER(D89)),"Check amount",IFERROR(IF(ISNA(MATCH(C89,Rates!$A$2:$A$10,0)),"Check currency",IF(NOT(ISNUMBER(INDEX(Rates!$B$2:$B$10,MATCH(C89,Rates!$A$2:$A$10,0)))),"Check rate",IF(INDEX(Rates!$B$2:$B$10,MATCH(C89,Rates!$A$2:$A$10,0))&lt;=0,"Check rate",ROUND(D89*INDEX(Rates!$B$2:$B$10,MATCH(C89,Rates!$A$2:$A$10,0)),2)))),"Check currency")))</f>
        <v/>
      </c>
    </row>
    <row r="90">
      <c r="A90" s="4" t="n"/>
      <c r="B90" s="5" t="n"/>
      <c r="C90" s="5" t="n"/>
      <c r="D90" s="6" t="n"/>
      <c r="E90" s="3">
        <f>IF(AND(C90="",D90=""),"",IF(NOT(ISNUMBER(D90)),"Check amount",IFERROR(IF(ISNA(MATCH(C90,Rates!$A$2:$A$10,0)),"Check currency",IF(NOT(ISNUMBER(INDEX(Rates!$B$2:$B$10,MATCH(C90,Rates!$A$2:$A$10,0)))),"Check rate",IF(INDEX(Rates!$B$2:$B$10,MATCH(C90,Rates!$A$2:$A$10,0))&lt;=0,"Check rate",ROUND(D90*INDEX(Rates!$B$2:$B$10,MATCH(C90,Rates!$A$2:$A$10,0)),2)))),"Check currency")))</f>
        <v/>
      </c>
    </row>
    <row r="91">
      <c r="A91" s="4" t="n"/>
      <c r="B91" s="5" t="n"/>
      <c r="C91" s="5" t="n"/>
      <c r="D91" s="6" t="n"/>
      <c r="E91" s="3">
        <f>IF(AND(C91="",D91=""),"",IF(NOT(ISNUMBER(D91)),"Check amount",IFERROR(IF(ISNA(MATCH(C91,Rates!$A$2:$A$10,0)),"Check currency",IF(NOT(ISNUMBER(INDEX(Rates!$B$2:$B$10,MATCH(C91,Rates!$A$2:$A$10,0)))),"Check rate",IF(INDEX(Rates!$B$2:$B$10,MATCH(C91,Rates!$A$2:$A$10,0))&lt;=0,"Check rate",ROUND(D91*INDEX(Rates!$B$2:$B$10,MATCH(C91,Rates!$A$2:$A$10,0)),2)))),"Check currency")))</f>
        <v/>
      </c>
    </row>
    <row r="92">
      <c r="A92" s="4" t="n"/>
      <c r="B92" s="5" t="n"/>
      <c r="C92" s="5" t="n"/>
      <c r="D92" s="6" t="n"/>
      <c r="E92" s="3">
        <f>IF(AND(C92="",D92=""),"",IF(NOT(ISNUMBER(D92)),"Check amount",IFERROR(IF(ISNA(MATCH(C92,Rates!$A$2:$A$10,0)),"Check currency",IF(NOT(ISNUMBER(INDEX(Rates!$B$2:$B$10,MATCH(C92,Rates!$A$2:$A$10,0)))),"Check rate",IF(INDEX(Rates!$B$2:$B$10,MATCH(C92,Rates!$A$2:$A$10,0))&lt;=0,"Check rate",ROUND(D92*INDEX(Rates!$B$2:$B$10,MATCH(C92,Rates!$A$2:$A$10,0)),2)))),"Check currency")))</f>
        <v/>
      </c>
    </row>
    <row r="93">
      <c r="A93" s="4" t="n"/>
      <c r="B93" s="5" t="n"/>
      <c r="C93" s="5" t="n"/>
      <c r="D93" s="6" t="n"/>
      <c r="E93" s="3">
        <f>IF(AND(C93="",D93=""),"",IF(NOT(ISNUMBER(D93)),"Check amount",IFERROR(IF(ISNA(MATCH(C93,Rates!$A$2:$A$10,0)),"Check currency",IF(NOT(ISNUMBER(INDEX(Rates!$B$2:$B$10,MATCH(C93,Rates!$A$2:$A$10,0)))),"Check rate",IF(INDEX(Rates!$B$2:$B$10,MATCH(C93,Rates!$A$2:$A$10,0))&lt;=0,"Check rate",ROUND(D93*INDEX(Rates!$B$2:$B$10,MATCH(C93,Rates!$A$2:$A$10,0)),2)))),"Check currency")))</f>
        <v/>
      </c>
    </row>
    <row r="94">
      <c r="A94" s="4" t="n"/>
      <c r="B94" s="5" t="n"/>
      <c r="C94" s="5" t="n"/>
      <c r="D94" s="6" t="n"/>
      <c r="E94" s="3">
        <f>IF(AND(C94="",D94=""),"",IF(NOT(ISNUMBER(D94)),"Check amount",IFERROR(IF(ISNA(MATCH(C94,Rates!$A$2:$A$10,0)),"Check currency",IF(NOT(ISNUMBER(INDEX(Rates!$B$2:$B$10,MATCH(C94,Rates!$A$2:$A$10,0)))),"Check rate",IF(INDEX(Rates!$B$2:$B$10,MATCH(C94,Rates!$A$2:$A$10,0))&lt;=0,"Check rate",ROUND(D94*INDEX(Rates!$B$2:$B$10,MATCH(C94,Rates!$A$2:$A$10,0)),2)))),"Check currency")))</f>
        <v/>
      </c>
    </row>
    <row r="95">
      <c r="A95" s="4" t="n"/>
      <c r="B95" s="5" t="n"/>
      <c r="C95" s="5" t="n"/>
      <c r="D95" s="6" t="n"/>
      <c r="E95" s="3">
        <f>IF(AND(C95="",D95=""),"",IF(NOT(ISNUMBER(D95)),"Check amount",IFERROR(IF(ISNA(MATCH(C95,Rates!$A$2:$A$10,0)),"Check currency",IF(NOT(ISNUMBER(INDEX(Rates!$B$2:$B$10,MATCH(C95,Rates!$A$2:$A$10,0)))),"Check rate",IF(INDEX(Rates!$B$2:$B$10,MATCH(C95,Rates!$A$2:$A$10,0))&lt;=0,"Check rate",ROUND(D95*INDEX(Rates!$B$2:$B$10,MATCH(C95,Rates!$A$2:$A$10,0)),2)))),"Check currency")))</f>
        <v/>
      </c>
    </row>
    <row r="96">
      <c r="A96" s="4" t="n"/>
      <c r="B96" s="5" t="n"/>
      <c r="C96" s="5" t="n"/>
      <c r="D96" s="6" t="n"/>
      <c r="E96" s="3">
        <f>IF(AND(C96="",D96=""),"",IF(NOT(ISNUMBER(D96)),"Check amount",IFERROR(IF(ISNA(MATCH(C96,Rates!$A$2:$A$10,0)),"Check currency",IF(NOT(ISNUMBER(INDEX(Rates!$B$2:$B$10,MATCH(C96,Rates!$A$2:$A$10,0)))),"Check rate",IF(INDEX(Rates!$B$2:$B$10,MATCH(C96,Rates!$A$2:$A$10,0))&lt;=0,"Check rate",ROUND(D96*INDEX(Rates!$B$2:$B$10,MATCH(C96,Rates!$A$2:$A$10,0)),2)))),"Check currency")))</f>
        <v/>
      </c>
    </row>
    <row r="97">
      <c r="A97" s="4" t="n"/>
      <c r="B97" s="5" t="n"/>
      <c r="C97" s="5" t="n"/>
      <c r="D97" s="6" t="n"/>
      <c r="E97" s="3">
        <f>IF(AND(C97="",D97=""),"",IF(NOT(ISNUMBER(D97)),"Check amount",IFERROR(IF(ISNA(MATCH(C97,Rates!$A$2:$A$10,0)),"Check currency",IF(NOT(ISNUMBER(INDEX(Rates!$B$2:$B$10,MATCH(C97,Rates!$A$2:$A$10,0)))),"Check rate",IF(INDEX(Rates!$B$2:$B$10,MATCH(C97,Rates!$A$2:$A$10,0))&lt;=0,"Check rate",ROUND(D97*INDEX(Rates!$B$2:$B$10,MATCH(C97,Rates!$A$2:$A$10,0)),2)))),"Check currency")))</f>
        <v/>
      </c>
    </row>
    <row r="98">
      <c r="A98" s="4" t="n"/>
      <c r="B98" s="5" t="n"/>
      <c r="C98" s="5" t="n"/>
      <c r="D98" s="6" t="n"/>
      <c r="E98" s="3">
        <f>IF(AND(C98="",D98=""),"",IF(NOT(ISNUMBER(D98)),"Check amount",IFERROR(IF(ISNA(MATCH(C98,Rates!$A$2:$A$10,0)),"Check currency",IF(NOT(ISNUMBER(INDEX(Rates!$B$2:$B$10,MATCH(C98,Rates!$A$2:$A$10,0)))),"Check rate",IF(INDEX(Rates!$B$2:$B$10,MATCH(C98,Rates!$A$2:$A$10,0))&lt;=0,"Check rate",ROUND(D98*INDEX(Rates!$B$2:$B$10,MATCH(C98,Rates!$A$2:$A$10,0)),2)))),"Check currency")))</f>
        <v/>
      </c>
    </row>
    <row r="99">
      <c r="A99" s="4" t="n"/>
      <c r="B99" s="5" t="n"/>
      <c r="C99" s="5" t="n"/>
      <c r="D99" s="6" t="n"/>
      <c r="E99" s="3">
        <f>IF(AND(C99="",D99=""),"",IF(NOT(ISNUMBER(D99)),"Check amount",IFERROR(IF(ISNA(MATCH(C99,Rates!$A$2:$A$10,0)),"Check currency",IF(NOT(ISNUMBER(INDEX(Rates!$B$2:$B$10,MATCH(C99,Rates!$A$2:$A$10,0)))),"Check rate",IF(INDEX(Rates!$B$2:$B$10,MATCH(C99,Rates!$A$2:$A$10,0))&lt;=0,"Check rate",ROUND(D99*INDEX(Rates!$B$2:$B$10,MATCH(C99,Rates!$A$2:$A$10,0)),2)))),"Check currency")))</f>
        <v/>
      </c>
    </row>
    <row r="100">
      <c r="A100" s="4" t="n"/>
      <c r="B100" s="5" t="n"/>
      <c r="C100" s="5" t="n"/>
      <c r="D100" s="6" t="n"/>
      <c r="E100" s="3">
        <f>IF(AND(C100="",D100=""),"",IF(NOT(ISNUMBER(D100)),"Check amount",IFERROR(IF(ISNA(MATCH(C100,Rates!$A$2:$A$10,0)),"Check currency",IF(NOT(ISNUMBER(INDEX(Rates!$B$2:$B$10,MATCH(C100,Rates!$A$2:$A$10,0)))),"Check rate",IF(INDEX(Rates!$B$2:$B$10,MATCH(C100,Rates!$A$2:$A$10,0))&lt;=0,"Check rate",ROUND(D100*INDEX(Rates!$B$2:$B$10,MATCH(C100,Rates!$A$2:$A$10,0)),2)))),"Check currency")))</f>
        <v/>
      </c>
    </row>
    <row r="101">
      <c r="A101" s="4" t="n"/>
      <c r="B101" s="5" t="n"/>
      <c r="C101" s="5" t="n"/>
      <c r="D101" s="6" t="n"/>
      <c r="E101" s="3">
        <f>IF(AND(C101="",D101=""),"",IF(NOT(ISNUMBER(D101)),"Check amount",IFERROR(IF(ISNA(MATCH(C101,Rates!$A$2:$A$10,0)),"Check currency",IF(NOT(ISNUMBER(INDEX(Rates!$B$2:$B$10,MATCH(C101,Rates!$A$2:$A$10,0)))),"Check rate",IF(INDEX(Rates!$B$2:$B$10,MATCH(C101,Rates!$A$2:$A$10,0))&lt;=0,"Check rate",ROUND(D101*INDEX(Rates!$B$2:$B$10,MATCH(C101,Rates!$A$2:$A$10,0)),2)))),"Check currency")))</f>
        <v/>
      </c>
    </row>
  </sheetData>
  <conditionalFormatting sqref="E2:E101">
    <cfRule type="expression" priority="1" dxfId="0">
      <formula>LEFT(E2,5)="Check"</formula>
    </cfRule>
  </conditionalFormatting>
  <conditionalFormatting sqref="H5">
    <cfRule type="expression" priority="2" dxfId="0">
      <formula>AND(H5&lt;&gt;"OK",H5&lt;&gt;"")</formula>
    </cfRule>
  </conditionalFormatting>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H12"/>
  <sheetViews>
    <sheetView workbookViewId="0">
      <selection activeCell="A1" sqref="A1"/>
    </sheetView>
  </sheetViews>
  <sheetFormatPr baseColWidth="8" defaultRowHeight="15"/>
  <cols>
    <col width="11" customWidth="1" min="1" max="1"/>
    <col width="14" customWidth="1" min="2" max="2"/>
    <col width="18" customWidth="1" min="3" max="3"/>
    <col width="13" customWidth="1" min="4" max="4"/>
    <col width="16" customWidth="1" min="5" max="5"/>
    <col width="15" customWidth="1" min="6" max="6"/>
    <col width="14" customWidth="1" min="7" max="7"/>
    <col width="13" customWidth="1" min="8" max="8"/>
  </cols>
  <sheetData>
    <row r="1" ht="46" customHeight="1">
      <c r="A1" s="1" t="inlineStr">
        <is>
          <t>Currency code</t>
        </is>
      </c>
      <c r="B1" s="1" t="inlineStr">
        <is>
          <t>US dollars per 1 unit</t>
        </is>
      </c>
      <c r="C1" s="1" t="inlineStr">
        <is>
          <t>Currency name</t>
        </is>
      </c>
      <c r="D1" s="1" t="inlineStr">
        <is>
          <t>Rate as of</t>
        </is>
      </c>
      <c r="E1" s="1" t="inlineStr">
        <is>
          <t>Typed amounts in that currency</t>
        </is>
      </c>
      <c r="F1" s="1" t="inlineStr">
        <is>
          <t>Total converted at once</t>
        </is>
      </c>
      <c r="G1" s="1" t="inlineStr">
        <is>
          <t>Sum of the rows</t>
        </is>
      </c>
      <c r="H1" s="1" t="inlineStr">
        <is>
          <t>Rows minus total</t>
        </is>
      </c>
    </row>
    <row r="2">
      <c r="A2" s="5" t="inlineStr">
        <is>
          <t>USD</t>
        </is>
      </c>
      <c r="B2" s="9" t="n">
        <v>1</v>
      </c>
      <c r="C2" s="5" t="inlineStr">
        <is>
          <t>US dollar</t>
        </is>
      </c>
      <c r="D2" s="4" t="n">
        <v>46266</v>
      </c>
      <c r="E2" s="10">
        <f>IF(A2="","",SUMIFS(Orders!$D$2:$D$101,Orders!$C$2:$C$101,A2))</f>
        <v/>
      </c>
      <c r="F2" s="11">
        <f>IF(AND(A2&lt;&gt;"",ISNUMBER(B2)),ROUND(E2*B2,2),"")</f>
        <v/>
      </c>
      <c r="G2" s="11">
        <f>IF(A2="","",SUMIFS(Orders!$E$2:$E$101,Orders!$C$2:$C$101,A2))</f>
        <v/>
      </c>
      <c r="H2" s="11">
        <f>IF(ISNUMBER(F2),ROUND(G2-F2,2),"")</f>
        <v/>
      </c>
    </row>
    <row r="3">
      <c r="A3" s="5" t="inlineStr">
        <is>
          <t>CAD</t>
        </is>
      </c>
      <c r="B3" s="9" t="n">
        <v>0.73</v>
      </c>
      <c r="C3" s="5" t="inlineStr">
        <is>
          <t>Canadian dollar</t>
        </is>
      </c>
      <c r="D3" s="4" t="n">
        <v>46266</v>
      </c>
      <c r="E3" s="10">
        <f>IF(A3="","",SUMIFS(Orders!$D$2:$D$101,Orders!$C$2:$C$101,A3))</f>
        <v/>
      </c>
      <c r="F3" s="11">
        <f>IF(AND(A3&lt;&gt;"",ISNUMBER(B3)),ROUND(E3*B3,2),"")</f>
        <v/>
      </c>
      <c r="G3" s="11">
        <f>IF(A3="","",SUMIFS(Orders!$E$2:$E$101,Orders!$C$2:$C$101,A3))</f>
        <v/>
      </c>
      <c r="H3" s="11">
        <f>IF(ISNUMBER(F3),ROUND(G3-F3,2),"")</f>
        <v/>
      </c>
    </row>
    <row r="4">
      <c r="A4" s="5" t="inlineStr">
        <is>
          <t>GBP</t>
        </is>
      </c>
      <c r="B4" s="9" t="n">
        <v>1.27</v>
      </c>
      <c r="C4" s="5" t="inlineStr">
        <is>
          <t>British pound</t>
        </is>
      </c>
      <c r="D4" s="4" t="n">
        <v>46266</v>
      </c>
      <c r="E4" s="10">
        <f>IF(A4="","",SUMIFS(Orders!$D$2:$D$101,Orders!$C$2:$C$101,A4))</f>
        <v/>
      </c>
      <c r="F4" s="11">
        <f>IF(AND(A4&lt;&gt;"",ISNUMBER(B4)),ROUND(E4*B4,2),"")</f>
        <v/>
      </c>
      <c r="G4" s="11">
        <f>IF(A4="","",SUMIFS(Orders!$E$2:$E$101,Orders!$C$2:$C$101,A4))</f>
        <v/>
      </c>
      <c r="H4" s="11">
        <f>IF(ISNUMBER(F4),ROUND(G4-F4,2),"")</f>
        <v/>
      </c>
    </row>
    <row r="5">
      <c r="A5" s="5" t="inlineStr">
        <is>
          <t>EUR</t>
        </is>
      </c>
      <c r="B5" s="9" t="n">
        <v>1.08</v>
      </c>
      <c r="C5" s="5" t="inlineStr">
        <is>
          <t>Euro</t>
        </is>
      </c>
      <c r="D5" s="4" t="n">
        <v>46266</v>
      </c>
      <c r="E5" s="10">
        <f>IF(A5="","",SUMIFS(Orders!$D$2:$D$101,Orders!$C$2:$C$101,A5))</f>
        <v/>
      </c>
      <c r="F5" s="11">
        <f>IF(AND(A5&lt;&gt;"",ISNUMBER(B5)),ROUND(E5*B5,2),"")</f>
        <v/>
      </c>
      <c r="G5" s="11">
        <f>IF(A5="","",SUMIFS(Orders!$E$2:$E$101,Orders!$C$2:$C$101,A5))</f>
        <v/>
      </c>
      <c r="H5" s="11">
        <f>IF(ISNUMBER(F5),ROUND(G5-F5,2),"")</f>
        <v/>
      </c>
    </row>
    <row r="6">
      <c r="A6" s="5" t="inlineStr">
        <is>
          <t>AUD</t>
        </is>
      </c>
      <c r="B6" s="9" t="n">
        <v>0.65</v>
      </c>
      <c r="C6" s="5" t="inlineStr">
        <is>
          <t>Australian dollar</t>
        </is>
      </c>
      <c r="D6" s="4" t="n">
        <v>46266</v>
      </c>
      <c r="E6" s="10">
        <f>IF(A6="","",SUMIFS(Orders!$D$2:$D$101,Orders!$C$2:$C$101,A6))</f>
        <v/>
      </c>
      <c r="F6" s="11">
        <f>IF(AND(A6&lt;&gt;"",ISNUMBER(B6)),ROUND(E6*B6,2),"")</f>
        <v/>
      </c>
      <c r="G6" s="11">
        <f>IF(A6="","",SUMIFS(Orders!$E$2:$E$101,Orders!$C$2:$C$101,A6))</f>
        <v/>
      </c>
      <c r="H6" s="11">
        <f>IF(ISNUMBER(F6),ROUND(G6-F6,2),"")</f>
        <v/>
      </c>
    </row>
    <row r="7">
      <c r="A7" s="5" t="n"/>
      <c r="B7" s="9" t="n"/>
      <c r="C7" s="5" t="n"/>
      <c r="D7" s="4" t="n"/>
      <c r="E7" s="10">
        <f>IF(A7="","",SUMIFS(Orders!$D$2:$D$101,Orders!$C$2:$C$101,A7))</f>
        <v/>
      </c>
      <c r="F7" s="11">
        <f>IF(AND(A7&lt;&gt;"",ISNUMBER(B7)),ROUND(E7*B7,2),"")</f>
        <v/>
      </c>
      <c r="G7" s="11">
        <f>IF(A7="","",SUMIFS(Orders!$E$2:$E$101,Orders!$C$2:$C$101,A7))</f>
        <v/>
      </c>
      <c r="H7" s="11">
        <f>IF(ISNUMBER(F7),ROUND(G7-F7,2),"")</f>
        <v/>
      </c>
    </row>
    <row r="8">
      <c r="A8" s="5" t="n"/>
      <c r="B8" s="9" t="n"/>
      <c r="C8" s="5" t="n"/>
      <c r="D8" s="4" t="n"/>
      <c r="E8" s="10">
        <f>IF(A8="","",SUMIFS(Orders!$D$2:$D$101,Orders!$C$2:$C$101,A8))</f>
        <v/>
      </c>
      <c r="F8" s="11">
        <f>IF(AND(A8&lt;&gt;"",ISNUMBER(B8)),ROUND(E8*B8,2),"")</f>
        <v/>
      </c>
      <c r="G8" s="11">
        <f>IF(A8="","",SUMIFS(Orders!$E$2:$E$101,Orders!$C$2:$C$101,A8))</f>
        <v/>
      </c>
      <c r="H8" s="11">
        <f>IF(ISNUMBER(F8),ROUND(G8-F8,2),"")</f>
        <v/>
      </c>
    </row>
    <row r="9">
      <c r="A9" s="5" t="n"/>
      <c r="B9" s="9" t="n"/>
      <c r="C9" s="5" t="n"/>
      <c r="D9" s="4" t="n"/>
      <c r="E9" s="10">
        <f>IF(A9="","",SUMIFS(Orders!$D$2:$D$101,Orders!$C$2:$C$101,A9))</f>
        <v/>
      </c>
      <c r="F9" s="11">
        <f>IF(AND(A9&lt;&gt;"",ISNUMBER(B9)),ROUND(E9*B9,2),"")</f>
        <v/>
      </c>
      <c r="G9" s="11">
        <f>IF(A9="","",SUMIFS(Orders!$E$2:$E$101,Orders!$C$2:$C$101,A9))</f>
        <v/>
      </c>
      <c r="H9" s="11">
        <f>IF(ISNUMBER(F9),ROUND(G9-F9,2),"")</f>
        <v/>
      </c>
    </row>
    <row r="10">
      <c r="A10" s="5" t="n"/>
      <c r="B10" s="9" t="n"/>
      <c r="C10" s="5" t="n"/>
      <c r="D10" s="4" t="n"/>
      <c r="E10" s="10">
        <f>IF(A10="","",SUMIFS(Orders!$D$2:$D$101,Orders!$C$2:$C$101,A10))</f>
        <v/>
      </c>
      <c r="F10" s="11">
        <f>IF(AND(A10&lt;&gt;"",ISNUMBER(B10)),ROUND(E10*B10,2),"")</f>
        <v/>
      </c>
      <c r="G10" s="11">
        <f>IF(A10="","",SUMIFS(Orders!$E$2:$E$101,Orders!$C$2:$C$101,A10))</f>
        <v/>
      </c>
      <c r="H10" s="11">
        <f>IF(ISNUMBER(F10),ROUND(G10-F10,2),"")</f>
        <v/>
      </c>
    </row>
    <row r="12">
      <c r="A12" s="12" t="inlineStr">
        <is>
          <t>The rates above are sample numbers for this fictional shop. They are not real quotes. Type your own from your payment or bank statement, and type the date you took them.</t>
        </is>
      </c>
    </row>
  </sheetData>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3" t="inlineStr">
        <is>
          <t>Tidy Tabs: Convert Foreign Currency Orders to US Dollars With a Rate Table</t>
        </is>
      </c>
    </row>
    <row r="2">
      <c r="A2" s="14" t="inlineStr"/>
    </row>
    <row r="3">
      <c r="A3" s="14" t="inlineStr">
        <is>
          <t>1. Rates tab, rows 2 to 10: type the currency code (A), US dollars per 1 unit of that currency (B), a name (C) and the date of the rate (D). Yellow. Keep a USD row at rate 1 so dollar orders pass through. The sample rates are made up for this fictional shop and are not real exchange rates.</t>
        </is>
      </c>
    </row>
    <row r="4">
      <c r="A4" s="14" t="inlineStr">
        <is>
          <t>2. Where to get a rate: from your own payment processor or bank statement, for the day you want to use. The file does not fetch rates. Google Sheets has a GOOGLEFINANCE function for live rates; it is not used in this file and was not tested.</t>
        </is>
      </c>
    </row>
    <row r="5">
      <c r="A5" s="14" t="inlineStr">
        <is>
          <t>3. Orders tab, rows 2 to 101: date (A), a label (B), the currency code (C) and the amount in that currency (D). Yellow.</t>
        </is>
      </c>
    </row>
    <row r="6">
      <c r="A6" s="14" t="inlineStr">
        <is>
          <t>4. USD amount, E2: =IFERROR(ROUND(D2*INDEX(Rates!$B$2:$B$10,MATCH(C2,Rates!$A$2:$A$10,0)),2),"Check currency"), with two extra tests in the file: Check amount when D2 is text or blank, and Check rate when the rate is blank, text, 0 or negative. MATCH is not case sensitive, so gbp finds GBP. A code with a trailing space does not match and shows Check currency.</t>
        </is>
      </c>
    </row>
    <row r="7">
      <c r="A7" s="14" t="inlineStr">
        <is>
          <t>5. Each row is rounded to cents. Rounding every row and rounding the total once can differ by a cent. The Rates tab shows both for each currency: column F converts the typed total at once, column G adds the rounded rows, column H is the difference.</t>
        </is>
      </c>
    </row>
    <row r="8">
      <c r="A8" s="14" t="inlineStr">
        <is>
          <t>6. H1 is the total in US dollars (text rows are skipped). H5 shows OK when no row says Check and the dollars grouped by currency on the Rates tab add up to H1. A duplicate code in the Rates list makes H4 too high and gives CHECK.</t>
        </is>
      </c>
    </row>
    <row r="9">
      <c r="A9" s="14" t="inlineStr">
        <is>
          <t>7. A refund can be typed as a negative amount; it converts to a negative dollar amount.</t>
        </is>
      </c>
    </row>
    <row r="10">
      <c r="A10" s="14" t="inlineStr">
        <is>
          <t>8. Arithmetic only. This file does not give tax, reporting or accounting advice. If you need foreign currency rules for a return, ask an accountant or read the official IRS page.</t>
        </is>
      </c>
    </row>
    <row r="11">
      <c r="A11" s="14" t="inlineStr"/>
    </row>
    <row r="12">
      <c r="A12" s="14" t="inlineStr">
        <is>
          <t>Orders and rates are fictional. Checked in LibreOffice Calc only; not opened in Excel or Google Sheets.</t>
        </is>
      </c>
    </row>
    <row r="13">
      <c r="A13" s="14"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2026-10-21T07:37:13Z</dcterms:created>
  <dcterms:modified xmlns:dcterms="http://purl.org/dc/terms/" xmlns:xsi="http://www.w3.org/2001/XMLSchema-instance" xsi:type="dcterms:W3CDTF">2026-10-21T07:37:13Z</dcterms:modified>
</cp:coreProperties>
</file>