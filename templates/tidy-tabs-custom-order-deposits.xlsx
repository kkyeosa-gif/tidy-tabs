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ayment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How to use" sheetId="4" state="visible" r:id="rId4"/>
  </sheets>
  <definedNames>
    <definedName name="_xlnm.Print_Titles" localSheetId="0">'Orders'!$4:$4</definedName>
    <definedName name="_xlnm.Print_Area" localSheetId="0">'Orders'!$A$1:$L$64</definedName>
    <definedName name="_xlnm.Print_Titles" localSheetId="1">'Payments'!$4:$4</definedName>
    <definedName name="_xlnm.Print_Area" localSheetId="1">'Payments'!$A$1:$E$104</definedName>
    <definedName name="_xlnm.Print_Titles" localSheetId="2">'Settings'!$1:$1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mm/dd/yyyy"/>
    <numFmt numFmtId="166" formatCode="yyyy-mm-dd"/>
  </numFmts>
  <fonts count="5">
    <font>
      <name val="Calibri"/>
      <family val="2"/>
      <color theme="1"/>
      <sz val="11"/>
      <scheme val="minor"/>
    </font>
    <font>
      <i val="1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" fontId="0" fillId="4" borderId="0" applyAlignment="1" pivotButton="0" quotePrefix="0" xfId="0">
      <alignment horizontal="right"/>
    </xf>
    <xf numFmtId="164" fontId="0" fillId="4" borderId="0" applyAlignment="1" pivotButton="0" quotePrefix="0" xfId="0">
      <alignment horizontal="right"/>
    </xf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0" fillId="4" borderId="0" applyAlignment="1" pivotButton="0" quotePrefix="0" xfId="0">
      <alignment horizontal="right"/>
    </xf>
    <xf numFmtId="9" fontId="0" fillId="4" borderId="0" applyAlignment="1" pivotButton="0" quotePrefix="0" xfId="0">
      <alignment horizontal="right"/>
    </xf>
    <xf numFmtId="0" fontId="3" fillId="0" borderId="0" applyAlignment="1" pivotButton="0" quotePrefix="0" xfId="0">
      <alignment vertical="center" wrapText="1"/>
    </xf>
    <xf numFmtId="0" fontId="0" fillId="4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D7DA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6" customWidth="1" min="3" max="3"/>
    <col width="13" customWidth="1" min="4" max="4"/>
    <col width="12" customWidth="1" min="5" max="5"/>
    <col width="13" customWidth="1" min="6" max="6"/>
    <col width="13" customWidth="1" min="7" max="7"/>
    <col width="17" customWidth="1" min="8" max="8"/>
    <col width="12" customWidth="1" min="9" max="9"/>
    <col width="3" customWidth="1" min="10" max="10"/>
    <col width="42" customWidth="1" min="11" max="11"/>
    <col width="14" customWidth="1" min="12" max="12"/>
  </cols>
  <sheetData>
    <row r="1">
      <c r="A1" s="1" t="inlineStr">
        <is>
          <t>Fictional custom orders. Payments are on the Payments tab; the as-of date is on the Settings tab. Yellow cells are inputs, gray cells are formulas.</t>
        </is>
      </c>
      <c r="K1" s="2" t="inlineStr">
        <is>
          <t>Summary</t>
        </is>
      </c>
    </row>
    <row r="2">
      <c r="K2" s="2" t="inlineStr">
        <is>
          <t>Orders listed</t>
        </is>
      </c>
      <c r="L2" s="3">
        <f>COUNTA(A5:A64)</f>
        <v/>
      </c>
    </row>
    <row r="3">
      <c r="K3" s="2" t="inlineStr">
        <is>
          <t>Total ordered</t>
        </is>
      </c>
      <c r="L3" s="4">
        <f>SUM(D5:D64)</f>
        <v/>
      </c>
    </row>
    <row r="4" ht="32" customHeight="1">
      <c r="A4" s="5" t="inlineStr">
        <is>
          <t>Order #</t>
        </is>
      </c>
      <c r="B4" s="5" t="inlineStr">
        <is>
          <t>Customer</t>
        </is>
      </c>
      <c r="C4" s="5" t="inlineStr">
        <is>
          <t>Item</t>
        </is>
      </c>
      <c r="D4" s="5" t="inlineStr">
        <is>
          <t>Order total</t>
        </is>
      </c>
      <c r="E4" s="5" t="inlineStr">
        <is>
          <t>Due date</t>
        </is>
      </c>
      <c r="F4" s="5" t="inlineStr">
        <is>
          <t>Paid so far</t>
        </is>
      </c>
      <c r="G4" s="5" t="inlineStr">
        <is>
          <t>Balance due</t>
        </is>
      </c>
      <c r="H4" s="5" t="inlineStr">
        <is>
          <t>Status</t>
        </is>
      </c>
      <c r="I4" s="5" t="inlineStr">
        <is>
          <t>Deposit percent</t>
        </is>
      </c>
      <c r="K4" s="2" t="inlineStr">
        <is>
          <t>Total received</t>
        </is>
      </c>
      <c r="L4" s="4">
        <f>SUM(F5:F64)</f>
        <v/>
      </c>
    </row>
    <row r="5" ht="32" customHeight="1">
      <c r="A5" s="6" t="inlineStr">
        <is>
          <t>CO-1001</t>
        </is>
      </c>
      <c r="B5" s="6" t="inlineStr">
        <is>
          <t>Hana Ortiz</t>
        </is>
      </c>
      <c r="C5" s="6" t="inlineStr">
        <is>
          <t>Wedding sign, cedar</t>
        </is>
      </c>
      <c r="D5" s="7" t="n">
        <v>480</v>
      </c>
      <c r="E5" s="8" t="n">
        <v>46346</v>
      </c>
      <c r="F5" s="4">
        <f>IF(A5="","",SUMIF(Payments!$A$5:$A$104,A5,Payments!$C$5:$C$104))</f>
        <v/>
      </c>
      <c r="G5" s="4">
        <f>IF(A5="","",IF(ISNUMBER(D5),ROUND(D5-F5,2),""))</f>
        <v/>
      </c>
      <c r="H5" s="9">
        <f>IF(A5="","",IF(Settings!$B$2&lt;&gt;"OK","Check settings",IF(NOT(ISNUMBER(D5)),"Check total",IF(G5&lt;0,"Overpaid",IF(G5=0,"Paid in full",IF(F5=0,IF(AND(ISNUMBER(E5),E5&lt;Settings!$B$1),"Past due","Awaiting deposit"),IF(AND(ISNUMBER(E5),E5&lt;Settings!$B$1),"Past due","Deposit received")))))))</f>
        <v/>
      </c>
      <c r="I5" s="10">
        <f>IF(A5="","",IF(ISNUMBER(D5),IF(D5=0,"",ROUND(F5/D5,4)),""))</f>
        <v/>
      </c>
      <c r="K5" s="11" t="inlineStr">
        <is>
          <t>Total balance due (overpaid orders count as negative)</t>
        </is>
      </c>
      <c r="L5" s="4">
        <f>ROUND(SUM(G5:G64),2)</f>
        <v/>
      </c>
    </row>
    <row r="6">
      <c r="A6" s="6" t="inlineStr">
        <is>
          <t>CO-1002</t>
        </is>
      </c>
      <c r="B6" s="6" t="inlineStr">
        <is>
          <t>Marcus Bell</t>
        </is>
      </c>
      <c r="C6" s="6" t="inlineStr">
        <is>
          <t>Cake topper set</t>
        </is>
      </c>
      <c r="D6" s="7" t="n">
        <v>85</v>
      </c>
      <c r="E6" s="8" t="n">
        <v>46319</v>
      </c>
      <c r="F6" s="4">
        <f>IF(A6="","",SUMIF(Payments!$A$5:$A$104,A6,Payments!$C$5:$C$104))</f>
        <v/>
      </c>
      <c r="G6" s="4">
        <f>IF(A6="","",IF(ISNUMBER(D6),ROUND(D6-F6,2),""))</f>
        <v/>
      </c>
      <c r="H6" s="9">
        <f>IF(A6="","",IF(Settings!$B$2&lt;&gt;"OK","Check settings",IF(NOT(ISNUMBER(D6)),"Check total",IF(G6&lt;0,"Overpaid",IF(G6=0,"Paid in full",IF(F6=0,IF(AND(ISNUMBER(E6),E6&lt;Settings!$B$1),"Past due","Awaiting deposit"),IF(AND(ISNUMBER(E6),E6&lt;Settings!$B$1),"Past due","Deposit received")))))))</f>
        <v/>
      </c>
      <c r="I6" s="10">
        <f>IF(A6="","",IF(ISNUMBER(D6),IF(D6=0,"",ROUND(F6/D6,4)),""))</f>
        <v/>
      </c>
      <c r="K6" s="2" t="inlineStr">
        <is>
          <t>Past due orders</t>
        </is>
      </c>
      <c r="L6" s="3">
        <f>COUNTIF(H5:H64,"Past due")</f>
        <v/>
      </c>
    </row>
    <row r="7">
      <c r="A7" s="6" t="inlineStr">
        <is>
          <t>CO-1003</t>
        </is>
      </c>
      <c r="B7" s="6" t="inlineStr">
        <is>
          <t>Priya Nair</t>
        </is>
      </c>
      <c r="C7" s="6" t="inlineStr">
        <is>
          <t>Embroidered tote x 12</t>
        </is>
      </c>
      <c r="D7" s="7" t="n">
        <v>200</v>
      </c>
      <c r="E7" s="8" t="n">
        <v>46324</v>
      </c>
      <c r="F7" s="4">
        <f>IF(A7="","",SUMIF(Payments!$A$5:$A$104,A7,Payments!$C$5:$C$104))</f>
        <v/>
      </c>
      <c r="G7" s="4">
        <f>IF(A7="","",IF(ISNUMBER(D7),ROUND(D7-F7,2),""))</f>
        <v/>
      </c>
      <c r="H7" s="9">
        <f>IF(A7="","",IF(Settings!$B$2&lt;&gt;"OK","Check settings",IF(NOT(ISNUMBER(D7)),"Check total",IF(G7&lt;0,"Overpaid",IF(G7=0,"Paid in full",IF(F7=0,IF(AND(ISNUMBER(E7),E7&lt;Settings!$B$1),"Past due","Awaiting deposit"),IF(AND(ISNUMBER(E7),E7&lt;Settings!$B$1),"Past due","Deposit received")))))))</f>
        <v/>
      </c>
      <c r="I7" s="10">
        <f>IF(A7="","",IF(ISNUMBER(D7),IF(D7=0,"",ROUND(F7/D7,4)),""))</f>
        <v/>
      </c>
      <c r="K7" s="2" t="inlineStr">
        <is>
          <t>Past due balance</t>
        </is>
      </c>
      <c r="L7" s="4">
        <f>SUMIF(H5:H64,"Past due",G5:G64)</f>
        <v/>
      </c>
    </row>
    <row r="8">
      <c r="A8" s="6" t="inlineStr">
        <is>
          <t>CO-1004</t>
        </is>
      </c>
      <c r="B8" s="6" t="inlineStr">
        <is>
          <t>Lena Fischer</t>
        </is>
      </c>
      <c r="C8" s="6" t="inlineStr">
        <is>
          <t>Custom pet portrait</t>
        </is>
      </c>
      <c r="D8" s="7" t="n">
        <v>120</v>
      </c>
      <c r="E8" s="8" t="n">
        <v>46334</v>
      </c>
      <c r="F8" s="4">
        <f>IF(A8="","",SUMIF(Payments!$A$5:$A$104,A8,Payments!$C$5:$C$104))</f>
        <v/>
      </c>
      <c r="G8" s="4">
        <f>IF(A8="","",IF(ISNUMBER(D8),ROUND(D8-F8,2),""))</f>
        <v/>
      </c>
      <c r="H8" s="9">
        <f>IF(A8="","",IF(Settings!$B$2&lt;&gt;"OK","Check settings",IF(NOT(ISNUMBER(D8)),"Check total",IF(G8&lt;0,"Overpaid",IF(G8=0,"Paid in full",IF(F8=0,IF(AND(ISNUMBER(E8),E8&lt;Settings!$B$1),"Past due","Awaiting deposit"),IF(AND(ISNUMBER(E8),E8&lt;Settings!$B$1),"Past due","Deposit received")))))))</f>
        <v/>
      </c>
      <c r="I8" s="10">
        <f>IF(A8="","",IF(ISNUMBER(D8),IF(D8=0,"",ROUND(F8/D8,4)),""))</f>
        <v/>
      </c>
      <c r="K8" s="2" t="inlineStr">
        <is>
          <t>Payments with no matching order or a text amount</t>
        </is>
      </c>
      <c r="L8" s="3">
        <f>COUNTIF(Payments!$E$5:$E$104,"No order")+COUNTIF(Payments!$E$5:$E$104,"Check amount")</f>
        <v/>
      </c>
    </row>
    <row r="9">
      <c r="A9" s="6" t="inlineStr">
        <is>
          <t>CO-1005</t>
        </is>
      </c>
      <c r="B9" s="6" t="inlineStr">
        <is>
          <t>Tom Reyes</t>
        </is>
      </c>
      <c r="C9" s="6" t="inlineStr">
        <is>
          <t>Monogram blanket</t>
        </is>
      </c>
      <c r="D9" s="7" t="n">
        <v>95</v>
      </c>
      <c r="E9" s="8" t="n">
        <v>46326</v>
      </c>
      <c r="F9" s="4">
        <f>IF(A9="","",SUMIF(Payments!$A$5:$A$104,A9,Payments!$C$5:$C$104))</f>
        <v/>
      </c>
      <c r="G9" s="4">
        <f>IF(A9="","",IF(ISNUMBER(D9),ROUND(D9-F9,2),""))</f>
        <v/>
      </c>
      <c r="H9" s="9">
        <f>IF(A9="","",IF(Settings!$B$2&lt;&gt;"OK","Check settings",IF(NOT(ISNUMBER(D9)),"Check total",IF(G9&lt;0,"Overpaid",IF(G9=0,"Paid in full",IF(F9=0,IF(AND(ISNUMBER(E9),E9&lt;Settings!$B$1),"Past due","Awaiting deposit"),IF(AND(ISNUMBER(E9),E9&lt;Settings!$B$1),"Past due","Deposit received")))))))</f>
        <v/>
      </c>
      <c r="I9" s="10">
        <f>IF(A9="","",IF(ISNUMBER(D9),IF(D9=0,"",ROUND(F9/D9,4)),""))</f>
        <v/>
      </c>
      <c r="K9" s="2" t="inlineStr">
        <is>
          <t>Orders whose order # is listed twice</t>
        </is>
      </c>
      <c r="L9" s="3">
        <f>SUMPRODUCT((A5:A64&lt;&gt;"")*(COUNTIF(A5:A64,A5:A64)&gt;1))</f>
        <v/>
      </c>
    </row>
    <row r="10">
      <c r="A10" s="6" t="inlineStr">
        <is>
          <t>CO-1006</t>
        </is>
      </c>
      <c r="B10" s="6" t="inlineStr">
        <is>
          <t>Dana Kim</t>
        </is>
      </c>
      <c r="C10" s="6" t="inlineStr">
        <is>
          <t>Engraved cutting board</t>
        </is>
      </c>
      <c r="D10" s="7" t="n">
        <v>75</v>
      </c>
      <c r="E10" s="8" t="n">
        <v>46315</v>
      </c>
      <c r="F10" s="4">
        <f>IF(A10="","",SUMIF(Payments!$A$5:$A$104,A10,Payments!$C$5:$C$104))</f>
        <v/>
      </c>
      <c r="G10" s="4">
        <f>IF(A10="","",IF(ISNUMBER(D10),ROUND(D10-F10,2),""))</f>
        <v/>
      </c>
      <c r="H10" s="9">
        <f>IF(A10="","",IF(Settings!$B$2&lt;&gt;"OK","Check settings",IF(NOT(ISNUMBER(D10)),"Check total",IF(G10&lt;0,"Overpaid",IF(G10=0,"Paid in full",IF(F10=0,IF(AND(ISNUMBER(E10),E10&lt;Settings!$B$1),"Past due","Awaiting deposit"),IF(AND(ISNUMBER(E10),E10&lt;Settings!$B$1),"Past due","Deposit received")))))))</f>
        <v/>
      </c>
      <c r="I10" s="10">
        <f>IF(A10="","",IF(ISNUMBER(D10),IF(D10=0,"",ROUND(F10/D10,4)),""))</f>
        <v/>
      </c>
      <c r="K10" s="2" t="inlineStr">
        <is>
          <t>Orders with a missing or text total</t>
        </is>
      </c>
      <c r="L10" s="3">
        <f>COUNTIF(H5:H64,"Check total")</f>
        <v/>
      </c>
    </row>
    <row r="11" ht="32" customHeight="1">
      <c r="A11" s="6" t="inlineStr">
        <is>
          <t>CO-1007</t>
        </is>
      </c>
      <c r="B11" s="6" t="inlineStr">
        <is>
          <t>Chloe Burns</t>
        </is>
      </c>
      <c r="C11" s="6" t="inlineStr">
        <is>
          <t>Birthday banner set</t>
        </is>
      </c>
      <c r="D11" s="7" t="n">
        <v>45</v>
      </c>
      <c r="E11" s="8" t="n">
        <v>46323</v>
      </c>
      <c r="F11" s="4">
        <f>IF(A11="","",SUMIF(Payments!$A$5:$A$104,A11,Payments!$C$5:$C$104))</f>
        <v/>
      </c>
      <c r="G11" s="4">
        <f>IF(A11="","",IF(ISNUMBER(D11),ROUND(D11-F11,2),""))</f>
        <v/>
      </c>
      <c r="H11" s="9">
        <f>IF(A11="","",IF(Settings!$B$2&lt;&gt;"OK","Check settings",IF(NOT(ISNUMBER(D11)),"Check total",IF(G11&lt;0,"Overpaid",IF(G11=0,"Paid in full",IF(F11=0,IF(AND(ISNUMBER(E11),E11&lt;Settings!$B$1),"Past due","Awaiting deposit"),IF(AND(ISNUMBER(E11),E11&lt;Settings!$B$1),"Past due","Deposit received")))))))</f>
        <v/>
      </c>
      <c r="I11" s="10">
        <f>IF(A11="","",IF(ISNUMBER(D11),IF(D11=0,"",ROUND(F11/D11,4)),""))</f>
        <v/>
      </c>
      <c r="K11" s="11" t="inlineStr">
        <is>
          <t>Check: ordered - received = balance due, every payment has an order</t>
        </is>
      </c>
      <c r="L11" s="9">
        <f>IF(AND(Settings!B2="OK",ROUND(L3-L4-L5,2)=0,L8=0,L9=0,L10=0),"OK","CHECK")</f>
        <v/>
      </c>
    </row>
    <row r="12">
      <c r="A12" s="6" t="inlineStr">
        <is>
          <t>CO-1008</t>
        </is>
      </c>
      <c r="B12" s="6" t="inlineStr">
        <is>
          <t>Omar Haddad</t>
        </is>
      </c>
      <c r="C12" s="6" t="inlineStr">
        <is>
          <t>Ceramic mug set x 6</t>
        </is>
      </c>
      <c r="D12" s="7" t="n">
        <v>180</v>
      </c>
      <c r="E12" s="8" t="n">
        <v>46338</v>
      </c>
      <c r="F12" s="4">
        <f>IF(A12="","",SUMIF(Payments!$A$5:$A$104,A12,Payments!$C$5:$C$104))</f>
        <v/>
      </c>
      <c r="G12" s="4">
        <f>IF(A12="","",IF(ISNUMBER(D12),ROUND(D12-F12,2),""))</f>
        <v/>
      </c>
      <c r="H12" s="9">
        <f>IF(A12="","",IF(Settings!$B$2&lt;&gt;"OK","Check settings",IF(NOT(ISNUMBER(D12)),"Check total",IF(G12&lt;0,"Overpaid",IF(G12=0,"Paid in full",IF(F12=0,IF(AND(ISNUMBER(E12),E12&lt;Settings!$B$1),"Past due","Awaiting deposit"),IF(AND(ISNUMBER(E12),E12&lt;Settings!$B$1),"Past due","Deposit received")))))))</f>
        <v/>
      </c>
      <c r="I12" s="10">
        <f>IF(A12="","",IF(ISNUMBER(D12),IF(D12=0,"",ROUND(F12/D12,4)),""))</f>
        <v/>
      </c>
    </row>
    <row r="13">
      <c r="A13" s="6" t="inlineStr">
        <is>
          <t>CO-1009</t>
        </is>
      </c>
      <c r="B13" s="6" t="inlineStr">
        <is>
          <t>Ruth Gold</t>
        </is>
      </c>
      <c r="C13" s="6" t="inlineStr">
        <is>
          <t>Table runner, linen</t>
        </is>
      </c>
      <c r="D13" s="7" t="n">
        <v>130</v>
      </c>
      <c r="E13" s="8" t="n">
        <v>46329</v>
      </c>
      <c r="F13" s="4">
        <f>IF(A13="","",SUMIF(Payments!$A$5:$A$104,A13,Payments!$C$5:$C$104))</f>
        <v/>
      </c>
      <c r="G13" s="4">
        <f>IF(A13="","",IF(ISNUMBER(D13),ROUND(D13-F13,2),""))</f>
        <v/>
      </c>
      <c r="H13" s="9">
        <f>IF(A13="","",IF(Settings!$B$2&lt;&gt;"OK","Check settings",IF(NOT(ISNUMBER(D13)),"Check total",IF(G13&lt;0,"Overpaid",IF(G13=0,"Paid in full",IF(F13=0,IF(AND(ISNUMBER(E13),E13&lt;Settings!$B$1),"Past due","Awaiting deposit"),IF(AND(ISNUMBER(E13),E13&lt;Settings!$B$1),"Past due","Deposit received")))))))</f>
        <v/>
      </c>
      <c r="I13" s="10">
        <f>IF(A13="","",IF(ISNUMBER(D13),IF(D13=0,"",ROUND(F13/D13,4)),""))</f>
        <v/>
      </c>
    </row>
    <row r="14">
      <c r="A14" s="6" t="inlineStr">
        <is>
          <t>CO-1010</t>
        </is>
      </c>
      <c r="B14" s="6" t="inlineStr">
        <is>
          <t>Jenna Wu</t>
        </is>
      </c>
      <c r="C14" s="6" t="inlineStr">
        <is>
          <t>Crochet baby blanket</t>
        </is>
      </c>
      <c r="D14" s="7" t="n">
        <v>160</v>
      </c>
      <c r="E14" s="8" t="n">
        <v>46357</v>
      </c>
      <c r="F14" s="4">
        <f>IF(A14="","",SUMIF(Payments!$A$5:$A$104,A14,Payments!$C$5:$C$104))</f>
        <v/>
      </c>
      <c r="G14" s="4">
        <f>IF(A14="","",IF(ISNUMBER(D14),ROUND(D14-F14,2),""))</f>
        <v/>
      </c>
      <c r="H14" s="9">
        <f>IF(A14="","",IF(Settings!$B$2&lt;&gt;"OK","Check settings",IF(NOT(ISNUMBER(D14)),"Check total",IF(G14&lt;0,"Overpaid",IF(G14=0,"Paid in full",IF(F14=0,IF(AND(ISNUMBER(E14),E14&lt;Settings!$B$1),"Past due","Awaiting deposit"),IF(AND(ISNUMBER(E14),E14&lt;Settings!$B$1),"Past due","Deposit received")))))))</f>
        <v/>
      </c>
      <c r="I14" s="10">
        <f>IF(A14="","",IF(ISNUMBER(D14),IF(D14=0,"",ROUND(F14/D14,4)),""))</f>
        <v/>
      </c>
    </row>
    <row r="15">
      <c r="A15" s="6" t="inlineStr">
        <is>
          <t>CO-1011</t>
        </is>
      </c>
      <c r="B15" s="6" t="inlineStr">
        <is>
          <t>Sam Alvarez</t>
        </is>
      </c>
      <c r="C15" s="6" t="inlineStr">
        <is>
          <t>Hand-lettered menu board</t>
        </is>
      </c>
      <c r="D15" s="7" t="n">
        <v>220</v>
      </c>
      <c r="E15" s="8" t="n">
        <v>46310</v>
      </c>
      <c r="F15" s="4">
        <f>IF(A15="","",SUMIF(Payments!$A$5:$A$104,A15,Payments!$C$5:$C$104))</f>
        <v/>
      </c>
      <c r="G15" s="4">
        <f>IF(A15="","",IF(ISNUMBER(D15),ROUND(D15-F15,2),""))</f>
        <v/>
      </c>
      <c r="H15" s="9">
        <f>IF(A15="","",IF(Settings!$B$2&lt;&gt;"OK","Check settings",IF(NOT(ISNUMBER(D15)),"Check total",IF(G15&lt;0,"Overpaid",IF(G15=0,"Paid in full",IF(F15=0,IF(AND(ISNUMBER(E15),E15&lt;Settings!$B$1),"Past due","Awaiting deposit"),IF(AND(ISNUMBER(E15),E15&lt;Settings!$B$1),"Past due","Deposit received")))))))</f>
        <v/>
      </c>
      <c r="I15" s="10">
        <f>IF(A15="","",IF(ISNUMBER(D15),IF(D15=0,"",ROUND(F15/D15,4)),""))</f>
        <v/>
      </c>
    </row>
    <row r="16">
      <c r="A16" s="6" t="inlineStr">
        <is>
          <t>CO-1012</t>
        </is>
      </c>
      <c r="B16" s="6" t="inlineStr">
        <is>
          <t>Nia Brooks</t>
        </is>
      </c>
      <c r="C16" s="6" t="inlineStr">
        <is>
          <t>Leather key fobs x 10</t>
        </is>
      </c>
      <c r="D16" s="7" t="n">
        <v>90</v>
      </c>
      <c r="E16" s="8" t="n">
        <v>46331</v>
      </c>
      <c r="F16" s="4">
        <f>IF(A16="","",SUMIF(Payments!$A$5:$A$104,A16,Payments!$C$5:$C$104))</f>
        <v/>
      </c>
      <c r="G16" s="4">
        <f>IF(A16="","",IF(ISNUMBER(D16),ROUND(D16-F16,2),""))</f>
        <v/>
      </c>
      <c r="H16" s="9">
        <f>IF(A16="","",IF(Settings!$B$2&lt;&gt;"OK","Check settings",IF(NOT(ISNUMBER(D16)),"Check total",IF(G16&lt;0,"Overpaid",IF(G16=0,"Paid in full",IF(F16=0,IF(AND(ISNUMBER(E16),E16&lt;Settings!$B$1),"Past due","Awaiting deposit"),IF(AND(ISNUMBER(E16),E16&lt;Settings!$B$1),"Past due","Deposit received")))))))</f>
        <v/>
      </c>
      <c r="I16" s="10">
        <f>IF(A16="","",IF(ISNUMBER(D16),IF(D16=0,"",ROUND(F16/D16,4)),""))</f>
        <v/>
      </c>
    </row>
    <row r="17">
      <c r="A17" s="6" t="n"/>
      <c r="B17" s="6" t="n"/>
      <c r="C17" s="6" t="n"/>
      <c r="D17" s="7" t="n"/>
      <c r="E17" s="8" t="n"/>
      <c r="F17" s="4">
        <f>IF(A17="","",SUMIF(Payments!$A$5:$A$104,A17,Payments!$C$5:$C$104))</f>
        <v/>
      </c>
      <c r="G17" s="4">
        <f>IF(A17="","",IF(ISNUMBER(D17),ROUND(D17-F17,2),""))</f>
        <v/>
      </c>
      <c r="H17" s="9">
        <f>IF(A17="","",IF(Settings!$B$2&lt;&gt;"OK","Check settings",IF(NOT(ISNUMBER(D17)),"Check total",IF(G17&lt;0,"Overpaid",IF(G17=0,"Paid in full",IF(F17=0,IF(AND(ISNUMBER(E17),E17&lt;Settings!$B$1),"Past due","Awaiting deposit"),IF(AND(ISNUMBER(E17),E17&lt;Settings!$B$1),"Past due","Deposit received")))))))</f>
        <v/>
      </c>
      <c r="I17" s="10">
        <f>IF(A17="","",IF(ISNUMBER(D17),IF(D17=0,"",ROUND(F17/D17,4)),""))</f>
        <v/>
      </c>
    </row>
    <row r="18">
      <c r="A18" s="6" t="n"/>
      <c r="B18" s="6" t="n"/>
      <c r="C18" s="6" t="n"/>
      <c r="D18" s="7" t="n"/>
      <c r="E18" s="8" t="n"/>
      <c r="F18" s="4">
        <f>IF(A18="","",SUMIF(Payments!$A$5:$A$104,A18,Payments!$C$5:$C$104))</f>
        <v/>
      </c>
      <c r="G18" s="4">
        <f>IF(A18="","",IF(ISNUMBER(D18),ROUND(D18-F18,2),""))</f>
        <v/>
      </c>
      <c r="H18" s="9">
        <f>IF(A18="","",IF(Settings!$B$2&lt;&gt;"OK","Check settings",IF(NOT(ISNUMBER(D18)),"Check total",IF(G18&lt;0,"Overpaid",IF(G18=0,"Paid in full",IF(F18=0,IF(AND(ISNUMBER(E18),E18&lt;Settings!$B$1),"Past due","Awaiting deposit"),IF(AND(ISNUMBER(E18),E18&lt;Settings!$B$1),"Past due","Deposit received")))))))</f>
        <v/>
      </c>
      <c r="I18" s="10">
        <f>IF(A18="","",IF(ISNUMBER(D18),IF(D18=0,"",ROUND(F18/D18,4)),""))</f>
        <v/>
      </c>
    </row>
    <row r="19">
      <c r="A19" s="6" t="n"/>
      <c r="B19" s="6" t="n"/>
      <c r="C19" s="6" t="n"/>
      <c r="D19" s="7" t="n"/>
      <c r="E19" s="8" t="n"/>
      <c r="F19" s="4">
        <f>IF(A19="","",SUMIF(Payments!$A$5:$A$104,A19,Payments!$C$5:$C$104))</f>
        <v/>
      </c>
      <c r="G19" s="4">
        <f>IF(A19="","",IF(ISNUMBER(D19),ROUND(D19-F19,2),""))</f>
        <v/>
      </c>
      <c r="H19" s="9">
        <f>IF(A19="","",IF(Settings!$B$2&lt;&gt;"OK","Check settings",IF(NOT(ISNUMBER(D19)),"Check total",IF(G19&lt;0,"Overpaid",IF(G19=0,"Paid in full",IF(F19=0,IF(AND(ISNUMBER(E19),E19&lt;Settings!$B$1),"Past due","Awaiting deposit"),IF(AND(ISNUMBER(E19),E19&lt;Settings!$B$1),"Past due","Deposit received")))))))</f>
        <v/>
      </c>
      <c r="I19" s="10">
        <f>IF(A19="","",IF(ISNUMBER(D19),IF(D19=0,"",ROUND(F19/D19,4)),""))</f>
        <v/>
      </c>
    </row>
    <row r="20">
      <c r="A20" s="6" t="n"/>
      <c r="B20" s="6" t="n"/>
      <c r="C20" s="6" t="n"/>
      <c r="D20" s="7" t="n"/>
      <c r="E20" s="8" t="n"/>
      <c r="F20" s="4">
        <f>IF(A20="","",SUMIF(Payments!$A$5:$A$104,A20,Payments!$C$5:$C$104))</f>
        <v/>
      </c>
      <c r="G20" s="4">
        <f>IF(A20="","",IF(ISNUMBER(D20),ROUND(D20-F20,2),""))</f>
        <v/>
      </c>
      <c r="H20" s="9">
        <f>IF(A20="","",IF(Settings!$B$2&lt;&gt;"OK","Check settings",IF(NOT(ISNUMBER(D20)),"Check total",IF(G20&lt;0,"Overpaid",IF(G20=0,"Paid in full",IF(F20=0,IF(AND(ISNUMBER(E20),E20&lt;Settings!$B$1),"Past due","Awaiting deposit"),IF(AND(ISNUMBER(E20),E20&lt;Settings!$B$1),"Past due","Deposit received")))))))</f>
        <v/>
      </c>
      <c r="I20" s="10">
        <f>IF(A20="","",IF(ISNUMBER(D20),IF(D20=0,"",ROUND(F20/D20,4)),""))</f>
        <v/>
      </c>
    </row>
    <row r="21">
      <c r="A21" s="6" t="n"/>
      <c r="B21" s="6" t="n"/>
      <c r="C21" s="6" t="n"/>
      <c r="D21" s="7" t="n"/>
      <c r="E21" s="8" t="n"/>
      <c r="F21" s="4">
        <f>IF(A21="","",SUMIF(Payments!$A$5:$A$104,A21,Payments!$C$5:$C$104))</f>
        <v/>
      </c>
      <c r="G21" s="4">
        <f>IF(A21="","",IF(ISNUMBER(D21),ROUND(D21-F21,2),""))</f>
        <v/>
      </c>
      <c r="H21" s="9">
        <f>IF(A21="","",IF(Settings!$B$2&lt;&gt;"OK","Check settings",IF(NOT(ISNUMBER(D21)),"Check total",IF(G21&lt;0,"Overpaid",IF(G21=0,"Paid in full",IF(F21=0,IF(AND(ISNUMBER(E21),E21&lt;Settings!$B$1),"Past due","Awaiting deposit"),IF(AND(ISNUMBER(E21),E21&lt;Settings!$B$1),"Past due","Deposit received")))))))</f>
        <v/>
      </c>
      <c r="I21" s="10">
        <f>IF(A21="","",IF(ISNUMBER(D21),IF(D21=0,"",ROUND(F21/D21,4)),""))</f>
        <v/>
      </c>
    </row>
    <row r="22">
      <c r="A22" s="6" t="n"/>
      <c r="B22" s="6" t="n"/>
      <c r="C22" s="6" t="n"/>
      <c r="D22" s="7" t="n"/>
      <c r="E22" s="8" t="n"/>
      <c r="F22" s="4">
        <f>IF(A22="","",SUMIF(Payments!$A$5:$A$104,A22,Payments!$C$5:$C$104))</f>
        <v/>
      </c>
      <c r="G22" s="4">
        <f>IF(A22="","",IF(ISNUMBER(D22),ROUND(D22-F22,2),""))</f>
        <v/>
      </c>
      <c r="H22" s="9">
        <f>IF(A22="","",IF(Settings!$B$2&lt;&gt;"OK","Check settings",IF(NOT(ISNUMBER(D22)),"Check total",IF(G22&lt;0,"Overpaid",IF(G22=0,"Paid in full",IF(F22=0,IF(AND(ISNUMBER(E22),E22&lt;Settings!$B$1),"Past due","Awaiting deposit"),IF(AND(ISNUMBER(E22),E22&lt;Settings!$B$1),"Past due","Deposit received")))))))</f>
        <v/>
      </c>
      <c r="I22" s="10">
        <f>IF(A22="","",IF(ISNUMBER(D22),IF(D22=0,"",ROUND(F22/D22,4)),""))</f>
        <v/>
      </c>
    </row>
    <row r="23">
      <c r="A23" s="6" t="n"/>
      <c r="B23" s="6" t="n"/>
      <c r="C23" s="6" t="n"/>
      <c r="D23" s="7" t="n"/>
      <c r="E23" s="8" t="n"/>
      <c r="F23" s="4">
        <f>IF(A23="","",SUMIF(Payments!$A$5:$A$104,A23,Payments!$C$5:$C$104))</f>
        <v/>
      </c>
      <c r="G23" s="4">
        <f>IF(A23="","",IF(ISNUMBER(D23),ROUND(D23-F23,2),""))</f>
        <v/>
      </c>
      <c r="H23" s="9">
        <f>IF(A23="","",IF(Settings!$B$2&lt;&gt;"OK","Check settings",IF(NOT(ISNUMBER(D23)),"Check total",IF(G23&lt;0,"Overpaid",IF(G23=0,"Paid in full",IF(F23=0,IF(AND(ISNUMBER(E23),E23&lt;Settings!$B$1),"Past due","Awaiting deposit"),IF(AND(ISNUMBER(E23),E23&lt;Settings!$B$1),"Past due","Deposit received")))))))</f>
        <v/>
      </c>
      <c r="I23" s="10">
        <f>IF(A23="","",IF(ISNUMBER(D23),IF(D23=0,"",ROUND(F23/D23,4)),""))</f>
        <v/>
      </c>
    </row>
    <row r="24">
      <c r="A24" s="6" t="n"/>
      <c r="B24" s="6" t="n"/>
      <c r="C24" s="6" t="n"/>
      <c r="D24" s="7" t="n"/>
      <c r="E24" s="8" t="n"/>
      <c r="F24" s="4">
        <f>IF(A24="","",SUMIF(Payments!$A$5:$A$104,A24,Payments!$C$5:$C$104))</f>
        <v/>
      </c>
      <c r="G24" s="4">
        <f>IF(A24="","",IF(ISNUMBER(D24),ROUND(D24-F24,2),""))</f>
        <v/>
      </c>
      <c r="H24" s="9">
        <f>IF(A24="","",IF(Settings!$B$2&lt;&gt;"OK","Check settings",IF(NOT(ISNUMBER(D24)),"Check total",IF(G24&lt;0,"Overpaid",IF(G24=0,"Paid in full",IF(F24=0,IF(AND(ISNUMBER(E24),E24&lt;Settings!$B$1),"Past due","Awaiting deposit"),IF(AND(ISNUMBER(E24),E24&lt;Settings!$B$1),"Past due","Deposit received")))))))</f>
        <v/>
      </c>
      <c r="I24" s="10">
        <f>IF(A24="","",IF(ISNUMBER(D24),IF(D24=0,"",ROUND(F24/D24,4)),""))</f>
        <v/>
      </c>
    </row>
    <row r="25">
      <c r="A25" s="6" t="n"/>
      <c r="B25" s="6" t="n"/>
      <c r="C25" s="6" t="n"/>
      <c r="D25" s="7" t="n"/>
      <c r="E25" s="8" t="n"/>
      <c r="F25" s="4">
        <f>IF(A25="","",SUMIF(Payments!$A$5:$A$104,A25,Payments!$C$5:$C$104))</f>
        <v/>
      </c>
      <c r="G25" s="4">
        <f>IF(A25="","",IF(ISNUMBER(D25),ROUND(D25-F25,2),""))</f>
        <v/>
      </c>
      <c r="H25" s="9">
        <f>IF(A25="","",IF(Settings!$B$2&lt;&gt;"OK","Check settings",IF(NOT(ISNUMBER(D25)),"Check total",IF(G25&lt;0,"Overpaid",IF(G25=0,"Paid in full",IF(F25=0,IF(AND(ISNUMBER(E25),E25&lt;Settings!$B$1),"Past due","Awaiting deposit"),IF(AND(ISNUMBER(E25),E25&lt;Settings!$B$1),"Past due","Deposit received")))))))</f>
        <v/>
      </c>
      <c r="I25" s="10">
        <f>IF(A25="","",IF(ISNUMBER(D25),IF(D25=0,"",ROUND(F25/D25,4)),""))</f>
        <v/>
      </c>
    </row>
    <row r="26">
      <c r="A26" s="6" t="n"/>
      <c r="B26" s="6" t="n"/>
      <c r="C26" s="6" t="n"/>
      <c r="D26" s="7" t="n"/>
      <c r="E26" s="8" t="n"/>
      <c r="F26" s="4">
        <f>IF(A26="","",SUMIF(Payments!$A$5:$A$104,A26,Payments!$C$5:$C$104))</f>
        <v/>
      </c>
      <c r="G26" s="4">
        <f>IF(A26="","",IF(ISNUMBER(D26),ROUND(D26-F26,2),""))</f>
        <v/>
      </c>
      <c r="H26" s="9">
        <f>IF(A26="","",IF(Settings!$B$2&lt;&gt;"OK","Check settings",IF(NOT(ISNUMBER(D26)),"Check total",IF(G26&lt;0,"Overpaid",IF(G26=0,"Paid in full",IF(F26=0,IF(AND(ISNUMBER(E26),E26&lt;Settings!$B$1),"Past due","Awaiting deposit"),IF(AND(ISNUMBER(E26),E26&lt;Settings!$B$1),"Past due","Deposit received")))))))</f>
        <v/>
      </c>
      <c r="I26" s="10">
        <f>IF(A26="","",IF(ISNUMBER(D26),IF(D26=0,"",ROUND(F26/D26,4)),""))</f>
        <v/>
      </c>
    </row>
    <row r="27">
      <c r="A27" s="6" t="n"/>
      <c r="B27" s="6" t="n"/>
      <c r="C27" s="6" t="n"/>
      <c r="D27" s="7" t="n"/>
      <c r="E27" s="8" t="n"/>
      <c r="F27" s="4">
        <f>IF(A27="","",SUMIF(Payments!$A$5:$A$104,A27,Payments!$C$5:$C$104))</f>
        <v/>
      </c>
      <c r="G27" s="4">
        <f>IF(A27="","",IF(ISNUMBER(D27),ROUND(D27-F27,2),""))</f>
        <v/>
      </c>
      <c r="H27" s="9">
        <f>IF(A27="","",IF(Settings!$B$2&lt;&gt;"OK","Check settings",IF(NOT(ISNUMBER(D27)),"Check total",IF(G27&lt;0,"Overpaid",IF(G27=0,"Paid in full",IF(F27=0,IF(AND(ISNUMBER(E27),E27&lt;Settings!$B$1),"Past due","Awaiting deposit"),IF(AND(ISNUMBER(E27),E27&lt;Settings!$B$1),"Past due","Deposit received")))))))</f>
        <v/>
      </c>
      <c r="I27" s="10">
        <f>IF(A27="","",IF(ISNUMBER(D27),IF(D27=0,"",ROUND(F27/D27,4)),""))</f>
        <v/>
      </c>
    </row>
    <row r="28">
      <c r="A28" s="6" t="n"/>
      <c r="B28" s="6" t="n"/>
      <c r="C28" s="6" t="n"/>
      <c r="D28" s="7" t="n"/>
      <c r="E28" s="8" t="n"/>
      <c r="F28" s="4">
        <f>IF(A28="","",SUMIF(Payments!$A$5:$A$104,A28,Payments!$C$5:$C$104))</f>
        <v/>
      </c>
      <c r="G28" s="4">
        <f>IF(A28="","",IF(ISNUMBER(D28),ROUND(D28-F28,2),""))</f>
        <v/>
      </c>
      <c r="H28" s="9">
        <f>IF(A28="","",IF(Settings!$B$2&lt;&gt;"OK","Check settings",IF(NOT(ISNUMBER(D28)),"Check total",IF(G28&lt;0,"Overpaid",IF(G28=0,"Paid in full",IF(F28=0,IF(AND(ISNUMBER(E28),E28&lt;Settings!$B$1),"Past due","Awaiting deposit"),IF(AND(ISNUMBER(E28),E28&lt;Settings!$B$1),"Past due","Deposit received")))))))</f>
        <v/>
      </c>
      <c r="I28" s="10">
        <f>IF(A28="","",IF(ISNUMBER(D28),IF(D28=0,"",ROUND(F28/D28,4)),""))</f>
        <v/>
      </c>
    </row>
    <row r="29">
      <c r="A29" s="6" t="n"/>
      <c r="B29" s="6" t="n"/>
      <c r="C29" s="6" t="n"/>
      <c r="D29" s="7" t="n"/>
      <c r="E29" s="8" t="n"/>
      <c r="F29" s="4">
        <f>IF(A29="","",SUMIF(Payments!$A$5:$A$104,A29,Payments!$C$5:$C$104))</f>
        <v/>
      </c>
      <c r="G29" s="4">
        <f>IF(A29="","",IF(ISNUMBER(D29),ROUND(D29-F29,2),""))</f>
        <v/>
      </c>
      <c r="H29" s="9">
        <f>IF(A29="","",IF(Settings!$B$2&lt;&gt;"OK","Check settings",IF(NOT(ISNUMBER(D29)),"Check total",IF(G29&lt;0,"Overpaid",IF(G29=0,"Paid in full",IF(F29=0,IF(AND(ISNUMBER(E29),E29&lt;Settings!$B$1),"Past due","Awaiting deposit"),IF(AND(ISNUMBER(E29),E29&lt;Settings!$B$1),"Past due","Deposit received")))))))</f>
        <v/>
      </c>
      <c r="I29" s="10">
        <f>IF(A29="","",IF(ISNUMBER(D29),IF(D29=0,"",ROUND(F29/D29,4)),""))</f>
        <v/>
      </c>
    </row>
    <row r="30">
      <c r="A30" s="6" t="n"/>
      <c r="B30" s="6" t="n"/>
      <c r="C30" s="6" t="n"/>
      <c r="D30" s="7" t="n"/>
      <c r="E30" s="8" t="n"/>
      <c r="F30" s="4">
        <f>IF(A30="","",SUMIF(Payments!$A$5:$A$104,A30,Payments!$C$5:$C$104))</f>
        <v/>
      </c>
      <c r="G30" s="4">
        <f>IF(A30="","",IF(ISNUMBER(D30),ROUND(D30-F30,2),""))</f>
        <v/>
      </c>
      <c r="H30" s="9">
        <f>IF(A30="","",IF(Settings!$B$2&lt;&gt;"OK","Check settings",IF(NOT(ISNUMBER(D30)),"Check total",IF(G30&lt;0,"Overpaid",IF(G30=0,"Paid in full",IF(F30=0,IF(AND(ISNUMBER(E30),E30&lt;Settings!$B$1),"Past due","Awaiting deposit"),IF(AND(ISNUMBER(E30),E30&lt;Settings!$B$1),"Past due","Deposit received")))))))</f>
        <v/>
      </c>
      <c r="I30" s="10">
        <f>IF(A30="","",IF(ISNUMBER(D30),IF(D30=0,"",ROUND(F30/D30,4)),""))</f>
        <v/>
      </c>
    </row>
    <row r="31">
      <c r="A31" s="6" t="n"/>
      <c r="B31" s="6" t="n"/>
      <c r="C31" s="6" t="n"/>
      <c r="D31" s="7" t="n"/>
      <c r="E31" s="8" t="n"/>
      <c r="F31" s="4">
        <f>IF(A31="","",SUMIF(Payments!$A$5:$A$104,A31,Payments!$C$5:$C$104))</f>
        <v/>
      </c>
      <c r="G31" s="4">
        <f>IF(A31="","",IF(ISNUMBER(D31),ROUND(D31-F31,2),""))</f>
        <v/>
      </c>
      <c r="H31" s="9">
        <f>IF(A31="","",IF(Settings!$B$2&lt;&gt;"OK","Check settings",IF(NOT(ISNUMBER(D31)),"Check total",IF(G31&lt;0,"Overpaid",IF(G31=0,"Paid in full",IF(F31=0,IF(AND(ISNUMBER(E31),E31&lt;Settings!$B$1),"Past due","Awaiting deposit"),IF(AND(ISNUMBER(E31),E31&lt;Settings!$B$1),"Past due","Deposit received")))))))</f>
        <v/>
      </c>
      <c r="I31" s="10">
        <f>IF(A31="","",IF(ISNUMBER(D31),IF(D31=0,"",ROUND(F31/D31,4)),""))</f>
        <v/>
      </c>
    </row>
    <row r="32">
      <c r="A32" s="6" t="n"/>
      <c r="B32" s="6" t="n"/>
      <c r="C32" s="6" t="n"/>
      <c r="D32" s="7" t="n"/>
      <c r="E32" s="8" t="n"/>
      <c r="F32" s="4">
        <f>IF(A32="","",SUMIF(Payments!$A$5:$A$104,A32,Payments!$C$5:$C$104))</f>
        <v/>
      </c>
      <c r="G32" s="4">
        <f>IF(A32="","",IF(ISNUMBER(D32),ROUND(D32-F32,2),""))</f>
        <v/>
      </c>
      <c r="H32" s="9">
        <f>IF(A32="","",IF(Settings!$B$2&lt;&gt;"OK","Check settings",IF(NOT(ISNUMBER(D32)),"Check total",IF(G32&lt;0,"Overpaid",IF(G32=0,"Paid in full",IF(F32=0,IF(AND(ISNUMBER(E32),E32&lt;Settings!$B$1),"Past due","Awaiting deposit"),IF(AND(ISNUMBER(E32),E32&lt;Settings!$B$1),"Past due","Deposit received")))))))</f>
        <v/>
      </c>
      <c r="I32" s="10">
        <f>IF(A32="","",IF(ISNUMBER(D32),IF(D32=0,"",ROUND(F32/D32,4)),""))</f>
        <v/>
      </c>
    </row>
    <row r="33">
      <c r="A33" s="6" t="n"/>
      <c r="B33" s="6" t="n"/>
      <c r="C33" s="6" t="n"/>
      <c r="D33" s="7" t="n"/>
      <c r="E33" s="8" t="n"/>
      <c r="F33" s="4">
        <f>IF(A33="","",SUMIF(Payments!$A$5:$A$104,A33,Payments!$C$5:$C$104))</f>
        <v/>
      </c>
      <c r="G33" s="4">
        <f>IF(A33="","",IF(ISNUMBER(D33),ROUND(D33-F33,2),""))</f>
        <v/>
      </c>
      <c r="H33" s="9">
        <f>IF(A33="","",IF(Settings!$B$2&lt;&gt;"OK","Check settings",IF(NOT(ISNUMBER(D33)),"Check total",IF(G33&lt;0,"Overpaid",IF(G33=0,"Paid in full",IF(F33=0,IF(AND(ISNUMBER(E33),E33&lt;Settings!$B$1),"Past due","Awaiting deposit"),IF(AND(ISNUMBER(E33),E33&lt;Settings!$B$1),"Past due","Deposit received")))))))</f>
        <v/>
      </c>
      <c r="I33" s="10">
        <f>IF(A33="","",IF(ISNUMBER(D33),IF(D33=0,"",ROUND(F33/D33,4)),""))</f>
        <v/>
      </c>
    </row>
    <row r="34">
      <c r="A34" s="6" t="n"/>
      <c r="B34" s="6" t="n"/>
      <c r="C34" s="6" t="n"/>
      <c r="D34" s="7" t="n"/>
      <c r="E34" s="8" t="n"/>
      <c r="F34" s="4">
        <f>IF(A34="","",SUMIF(Payments!$A$5:$A$104,A34,Payments!$C$5:$C$104))</f>
        <v/>
      </c>
      <c r="G34" s="4">
        <f>IF(A34="","",IF(ISNUMBER(D34),ROUND(D34-F34,2),""))</f>
        <v/>
      </c>
      <c r="H34" s="9">
        <f>IF(A34="","",IF(Settings!$B$2&lt;&gt;"OK","Check settings",IF(NOT(ISNUMBER(D34)),"Check total",IF(G34&lt;0,"Overpaid",IF(G34=0,"Paid in full",IF(F34=0,IF(AND(ISNUMBER(E34),E34&lt;Settings!$B$1),"Past due","Awaiting deposit"),IF(AND(ISNUMBER(E34),E34&lt;Settings!$B$1),"Past due","Deposit received")))))))</f>
        <v/>
      </c>
      <c r="I34" s="10">
        <f>IF(A34="","",IF(ISNUMBER(D34),IF(D34=0,"",ROUND(F34/D34,4)),""))</f>
        <v/>
      </c>
    </row>
    <row r="35">
      <c r="A35" s="6" t="n"/>
      <c r="B35" s="6" t="n"/>
      <c r="C35" s="6" t="n"/>
      <c r="D35" s="7" t="n"/>
      <c r="E35" s="8" t="n"/>
      <c r="F35" s="4">
        <f>IF(A35="","",SUMIF(Payments!$A$5:$A$104,A35,Payments!$C$5:$C$104))</f>
        <v/>
      </c>
      <c r="G35" s="4">
        <f>IF(A35="","",IF(ISNUMBER(D35),ROUND(D35-F35,2),""))</f>
        <v/>
      </c>
      <c r="H35" s="9">
        <f>IF(A35="","",IF(Settings!$B$2&lt;&gt;"OK","Check settings",IF(NOT(ISNUMBER(D35)),"Check total",IF(G35&lt;0,"Overpaid",IF(G35=0,"Paid in full",IF(F35=0,IF(AND(ISNUMBER(E35),E35&lt;Settings!$B$1),"Past due","Awaiting deposit"),IF(AND(ISNUMBER(E35),E35&lt;Settings!$B$1),"Past due","Deposit received")))))))</f>
        <v/>
      </c>
      <c r="I35" s="10">
        <f>IF(A35="","",IF(ISNUMBER(D35),IF(D35=0,"",ROUND(F35/D35,4)),""))</f>
        <v/>
      </c>
    </row>
    <row r="36">
      <c r="A36" s="6" t="n"/>
      <c r="B36" s="6" t="n"/>
      <c r="C36" s="6" t="n"/>
      <c r="D36" s="7" t="n"/>
      <c r="E36" s="8" t="n"/>
      <c r="F36" s="4">
        <f>IF(A36="","",SUMIF(Payments!$A$5:$A$104,A36,Payments!$C$5:$C$104))</f>
        <v/>
      </c>
      <c r="G36" s="4">
        <f>IF(A36="","",IF(ISNUMBER(D36),ROUND(D36-F36,2),""))</f>
        <v/>
      </c>
      <c r="H36" s="9">
        <f>IF(A36="","",IF(Settings!$B$2&lt;&gt;"OK","Check settings",IF(NOT(ISNUMBER(D36)),"Check total",IF(G36&lt;0,"Overpaid",IF(G36=0,"Paid in full",IF(F36=0,IF(AND(ISNUMBER(E36),E36&lt;Settings!$B$1),"Past due","Awaiting deposit"),IF(AND(ISNUMBER(E36),E36&lt;Settings!$B$1),"Past due","Deposit received")))))))</f>
        <v/>
      </c>
      <c r="I36" s="10">
        <f>IF(A36="","",IF(ISNUMBER(D36),IF(D36=0,"",ROUND(F36/D36,4)),""))</f>
        <v/>
      </c>
    </row>
    <row r="37">
      <c r="A37" s="6" t="n"/>
      <c r="B37" s="6" t="n"/>
      <c r="C37" s="6" t="n"/>
      <c r="D37" s="7" t="n"/>
      <c r="E37" s="8" t="n"/>
      <c r="F37" s="4">
        <f>IF(A37="","",SUMIF(Payments!$A$5:$A$104,A37,Payments!$C$5:$C$104))</f>
        <v/>
      </c>
      <c r="G37" s="4">
        <f>IF(A37="","",IF(ISNUMBER(D37),ROUND(D37-F37,2),""))</f>
        <v/>
      </c>
      <c r="H37" s="9">
        <f>IF(A37="","",IF(Settings!$B$2&lt;&gt;"OK","Check settings",IF(NOT(ISNUMBER(D37)),"Check total",IF(G37&lt;0,"Overpaid",IF(G37=0,"Paid in full",IF(F37=0,IF(AND(ISNUMBER(E37),E37&lt;Settings!$B$1),"Past due","Awaiting deposit"),IF(AND(ISNUMBER(E37),E37&lt;Settings!$B$1),"Past due","Deposit received")))))))</f>
        <v/>
      </c>
      <c r="I37" s="10">
        <f>IF(A37="","",IF(ISNUMBER(D37),IF(D37=0,"",ROUND(F37/D37,4)),""))</f>
        <v/>
      </c>
    </row>
    <row r="38">
      <c r="A38" s="6" t="n"/>
      <c r="B38" s="6" t="n"/>
      <c r="C38" s="6" t="n"/>
      <c r="D38" s="7" t="n"/>
      <c r="E38" s="8" t="n"/>
      <c r="F38" s="4">
        <f>IF(A38="","",SUMIF(Payments!$A$5:$A$104,A38,Payments!$C$5:$C$104))</f>
        <v/>
      </c>
      <c r="G38" s="4">
        <f>IF(A38="","",IF(ISNUMBER(D38),ROUND(D38-F38,2),""))</f>
        <v/>
      </c>
      <c r="H38" s="9">
        <f>IF(A38="","",IF(Settings!$B$2&lt;&gt;"OK","Check settings",IF(NOT(ISNUMBER(D38)),"Check total",IF(G38&lt;0,"Overpaid",IF(G38=0,"Paid in full",IF(F38=0,IF(AND(ISNUMBER(E38),E38&lt;Settings!$B$1),"Past due","Awaiting deposit"),IF(AND(ISNUMBER(E38),E38&lt;Settings!$B$1),"Past due","Deposit received")))))))</f>
        <v/>
      </c>
      <c r="I38" s="10">
        <f>IF(A38="","",IF(ISNUMBER(D38),IF(D38=0,"",ROUND(F38/D38,4)),""))</f>
        <v/>
      </c>
    </row>
    <row r="39">
      <c r="A39" s="6" t="n"/>
      <c r="B39" s="6" t="n"/>
      <c r="C39" s="6" t="n"/>
      <c r="D39" s="7" t="n"/>
      <c r="E39" s="8" t="n"/>
      <c r="F39" s="4">
        <f>IF(A39="","",SUMIF(Payments!$A$5:$A$104,A39,Payments!$C$5:$C$104))</f>
        <v/>
      </c>
      <c r="G39" s="4">
        <f>IF(A39="","",IF(ISNUMBER(D39),ROUND(D39-F39,2),""))</f>
        <v/>
      </c>
      <c r="H39" s="9">
        <f>IF(A39="","",IF(Settings!$B$2&lt;&gt;"OK","Check settings",IF(NOT(ISNUMBER(D39)),"Check total",IF(G39&lt;0,"Overpaid",IF(G39=0,"Paid in full",IF(F39=0,IF(AND(ISNUMBER(E39),E39&lt;Settings!$B$1),"Past due","Awaiting deposit"),IF(AND(ISNUMBER(E39),E39&lt;Settings!$B$1),"Past due","Deposit received")))))))</f>
        <v/>
      </c>
      <c r="I39" s="10">
        <f>IF(A39="","",IF(ISNUMBER(D39),IF(D39=0,"",ROUND(F39/D39,4)),""))</f>
        <v/>
      </c>
    </row>
    <row r="40">
      <c r="A40" s="6" t="n"/>
      <c r="B40" s="6" t="n"/>
      <c r="C40" s="6" t="n"/>
      <c r="D40" s="7" t="n"/>
      <c r="E40" s="8" t="n"/>
      <c r="F40" s="4">
        <f>IF(A40="","",SUMIF(Payments!$A$5:$A$104,A40,Payments!$C$5:$C$104))</f>
        <v/>
      </c>
      <c r="G40" s="4">
        <f>IF(A40="","",IF(ISNUMBER(D40),ROUND(D40-F40,2),""))</f>
        <v/>
      </c>
      <c r="H40" s="9">
        <f>IF(A40="","",IF(Settings!$B$2&lt;&gt;"OK","Check settings",IF(NOT(ISNUMBER(D40)),"Check total",IF(G40&lt;0,"Overpaid",IF(G40=0,"Paid in full",IF(F40=0,IF(AND(ISNUMBER(E40),E40&lt;Settings!$B$1),"Past due","Awaiting deposit"),IF(AND(ISNUMBER(E40),E40&lt;Settings!$B$1),"Past due","Deposit received")))))))</f>
        <v/>
      </c>
      <c r="I40" s="10">
        <f>IF(A40="","",IF(ISNUMBER(D40),IF(D40=0,"",ROUND(F40/D40,4)),""))</f>
        <v/>
      </c>
    </row>
    <row r="41">
      <c r="A41" s="6" t="n"/>
      <c r="B41" s="6" t="n"/>
      <c r="C41" s="6" t="n"/>
      <c r="D41" s="7" t="n"/>
      <c r="E41" s="8" t="n"/>
      <c r="F41" s="4">
        <f>IF(A41="","",SUMIF(Payments!$A$5:$A$104,A41,Payments!$C$5:$C$104))</f>
        <v/>
      </c>
      <c r="G41" s="4">
        <f>IF(A41="","",IF(ISNUMBER(D41),ROUND(D41-F41,2),""))</f>
        <v/>
      </c>
      <c r="H41" s="9">
        <f>IF(A41="","",IF(Settings!$B$2&lt;&gt;"OK","Check settings",IF(NOT(ISNUMBER(D41)),"Check total",IF(G41&lt;0,"Overpaid",IF(G41=0,"Paid in full",IF(F41=0,IF(AND(ISNUMBER(E41),E41&lt;Settings!$B$1),"Past due","Awaiting deposit"),IF(AND(ISNUMBER(E41),E41&lt;Settings!$B$1),"Past due","Deposit received")))))))</f>
        <v/>
      </c>
      <c r="I41" s="10">
        <f>IF(A41="","",IF(ISNUMBER(D41),IF(D41=0,"",ROUND(F41/D41,4)),""))</f>
        <v/>
      </c>
    </row>
    <row r="42">
      <c r="A42" s="6" t="n"/>
      <c r="B42" s="6" t="n"/>
      <c r="C42" s="6" t="n"/>
      <c r="D42" s="7" t="n"/>
      <c r="E42" s="8" t="n"/>
      <c r="F42" s="4">
        <f>IF(A42="","",SUMIF(Payments!$A$5:$A$104,A42,Payments!$C$5:$C$104))</f>
        <v/>
      </c>
      <c r="G42" s="4">
        <f>IF(A42="","",IF(ISNUMBER(D42),ROUND(D42-F42,2),""))</f>
        <v/>
      </c>
      <c r="H42" s="9">
        <f>IF(A42="","",IF(Settings!$B$2&lt;&gt;"OK","Check settings",IF(NOT(ISNUMBER(D42)),"Check total",IF(G42&lt;0,"Overpaid",IF(G42=0,"Paid in full",IF(F42=0,IF(AND(ISNUMBER(E42),E42&lt;Settings!$B$1),"Past due","Awaiting deposit"),IF(AND(ISNUMBER(E42),E42&lt;Settings!$B$1),"Past due","Deposit received")))))))</f>
        <v/>
      </c>
      <c r="I42" s="10">
        <f>IF(A42="","",IF(ISNUMBER(D42),IF(D42=0,"",ROUND(F42/D42,4)),""))</f>
        <v/>
      </c>
    </row>
    <row r="43">
      <c r="A43" s="6" t="n"/>
      <c r="B43" s="6" t="n"/>
      <c r="C43" s="6" t="n"/>
      <c r="D43" s="7" t="n"/>
      <c r="E43" s="8" t="n"/>
      <c r="F43" s="4">
        <f>IF(A43="","",SUMIF(Payments!$A$5:$A$104,A43,Payments!$C$5:$C$104))</f>
        <v/>
      </c>
      <c r="G43" s="4">
        <f>IF(A43="","",IF(ISNUMBER(D43),ROUND(D43-F43,2),""))</f>
        <v/>
      </c>
      <c r="H43" s="9">
        <f>IF(A43="","",IF(Settings!$B$2&lt;&gt;"OK","Check settings",IF(NOT(ISNUMBER(D43)),"Check total",IF(G43&lt;0,"Overpaid",IF(G43=0,"Paid in full",IF(F43=0,IF(AND(ISNUMBER(E43),E43&lt;Settings!$B$1),"Past due","Awaiting deposit"),IF(AND(ISNUMBER(E43),E43&lt;Settings!$B$1),"Past due","Deposit received")))))))</f>
        <v/>
      </c>
      <c r="I43" s="10">
        <f>IF(A43="","",IF(ISNUMBER(D43),IF(D43=0,"",ROUND(F43/D43,4)),""))</f>
        <v/>
      </c>
    </row>
    <row r="44">
      <c r="A44" s="6" t="n"/>
      <c r="B44" s="6" t="n"/>
      <c r="C44" s="6" t="n"/>
      <c r="D44" s="7" t="n"/>
      <c r="E44" s="8" t="n"/>
      <c r="F44" s="4">
        <f>IF(A44="","",SUMIF(Payments!$A$5:$A$104,A44,Payments!$C$5:$C$104))</f>
        <v/>
      </c>
      <c r="G44" s="4">
        <f>IF(A44="","",IF(ISNUMBER(D44),ROUND(D44-F44,2),""))</f>
        <v/>
      </c>
      <c r="H44" s="9">
        <f>IF(A44="","",IF(Settings!$B$2&lt;&gt;"OK","Check settings",IF(NOT(ISNUMBER(D44)),"Check total",IF(G44&lt;0,"Overpaid",IF(G44=0,"Paid in full",IF(F44=0,IF(AND(ISNUMBER(E44),E44&lt;Settings!$B$1),"Past due","Awaiting deposit"),IF(AND(ISNUMBER(E44),E44&lt;Settings!$B$1),"Past due","Deposit received")))))))</f>
        <v/>
      </c>
      <c r="I44" s="10">
        <f>IF(A44="","",IF(ISNUMBER(D44),IF(D44=0,"",ROUND(F44/D44,4)),""))</f>
        <v/>
      </c>
    </row>
    <row r="45">
      <c r="A45" s="6" t="n"/>
      <c r="B45" s="6" t="n"/>
      <c r="C45" s="6" t="n"/>
      <c r="D45" s="7" t="n"/>
      <c r="E45" s="8" t="n"/>
      <c r="F45" s="4">
        <f>IF(A45="","",SUMIF(Payments!$A$5:$A$104,A45,Payments!$C$5:$C$104))</f>
        <v/>
      </c>
      <c r="G45" s="4">
        <f>IF(A45="","",IF(ISNUMBER(D45),ROUND(D45-F45,2),""))</f>
        <v/>
      </c>
      <c r="H45" s="9">
        <f>IF(A45="","",IF(Settings!$B$2&lt;&gt;"OK","Check settings",IF(NOT(ISNUMBER(D45)),"Check total",IF(G45&lt;0,"Overpaid",IF(G45=0,"Paid in full",IF(F45=0,IF(AND(ISNUMBER(E45),E45&lt;Settings!$B$1),"Past due","Awaiting deposit"),IF(AND(ISNUMBER(E45),E45&lt;Settings!$B$1),"Past due","Deposit received")))))))</f>
        <v/>
      </c>
      <c r="I45" s="10">
        <f>IF(A45="","",IF(ISNUMBER(D45),IF(D45=0,"",ROUND(F45/D45,4)),""))</f>
        <v/>
      </c>
    </row>
    <row r="46">
      <c r="A46" s="6" t="n"/>
      <c r="B46" s="6" t="n"/>
      <c r="C46" s="6" t="n"/>
      <c r="D46" s="7" t="n"/>
      <c r="E46" s="8" t="n"/>
      <c r="F46" s="4">
        <f>IF(A46="","",SUMIF(Payments!$A$5:$A$104,A46,Payments!$C$5:$C$104))</f>
        <v/>
      </c>
      <c r="G46" s="4">
        <f>IF(A46="","",IF(ISNUMBER(D46),ROUND(D46-F46,2),""))</f>
        <v/>
      </c>
      <c r="H46" s="9">
        <f>IF(A46="","",IF(Settings!$B$2&lt;&gt;"OK","Check settings",IF(NOT(ISNUMBER(D46)),"Check total",IF(G46&lt;0,"Overpaid",IF(G46=0,"Paid in full",IF(F46=0,IF(AND(ISNUMBER(E46),E46&lt;Settings!$B$1),"Past due","Awaiting deposit"),IF(AND(ISNUMBER(E46),E46&lt;Settings!$B$1),"Past due","Deposit received")))))))</f>
        <v/>
      </c>
      <c r="I46" s="10">
        <f>IF(A46="","",IF(ISNUMBER(D46),IF(D46=0,"",ROUND(F46/D46,4)),""))</f>
        <v/>
      </c>
    </row>
    <row r="47">
      <c r="A47" s="6" t="n"/>
      <c r="B47" s="6" t="n"/>
      <c r="C47" s="6" t="n"/>
      <c r="D47" s="7" t="n"/>
      <c r="E47" s="8" t="n"/>
      <c r="F47" s="4">
        <f>IF(A47="","",SUMIF(Payments!$A$5:$A$104,A47,Payments!$C$5:$C$104))</f>
        <v/>
      </c>
      <c r="G47" s="4">
        <f>IF(A47="","",IF(ISNUMBER(D47),ROUND(D47-F47,2),""))</f>
        <v/>
      </c>
      <c r="H47" s="9">
        <f>IF(A47="","",IF(Settings!$B$2&lt;&gt;"OK","Check settings",IF(NOT(ISNUMBER(D47)),"Check total",IF(G47&lt;0,"Overpaid",IF(G47=0,"Paid in full",IF(F47=0,IF(AND(ISNUMBER(E47),E47&lt;Settings!$B$1),"Past due","Awaiting deposit"),IF(AND(ISNUMBER(E47),E47&lt;Settings!$B$1),"Past due","Deposit received")))))))</f>
        <v/>
      </c>
      <c r="I47" s="10">
        <f>IF(A47="","",IF(ISNUMBER(D47),IF(D47=0,"",ROUND(F47/D47,4)),""))</f>
        <v/>
      </c>
    </row>
    <row r="48">
      <c r="A48" s="6" t="n"/>
      <c r="B48" s="6" t="n"/>
      <c r="C48" s="6" t="n"/>
      <c r="D48" s="7" t="n"/>
      <c r="E48" s="8" t="n"/>
      <c r="F48" s="4">
        <f>IF(A48="","",SUMIF(Payments!$A$5:$A$104,A48,Payments!$C$5:$C$104))</f>
        <v/>
      </c>
      <c r="G48" s="4">
        <f>IF(A48="","",IF(ISNUMBER(D48),ROUND(D48-F48,2),""))</f>
        <v/>
      </c>
      <c r="H48" s="9">
        <f>IF(A48="","",IF(Settings!$B$2&lt;&gt;"OK","Check settings",IF(NOT(ISNUMBER(D48)),"Check total",IF(G48&lt;0,"Overpaid",IF(G48=0,"Paid in full",IF(F48=0,IF(AND(ISNUMBER(E48),E48&lt;Settings!$B$1),"Past due","Awaiting deposit"),IF(AND(ISNUMBER(E48),E48&lt;Settings!$B$1),"Past due","Deposit received")))))))</f>
        <v/>
      </c>
      <c r="I48" s="10">
        <f>IF(A48="","",IF(ISNUMBER(D48),IF(D48=0,"",ROUND(F48/D48,4)),""))</f>
        <v/>
      </c>
    </row>
    <row r="49">
      <c r="A49" s="6" t="n"/>
      <c r="B49" s="6" t="n"/>
      <c r="C49" s="6" t="n"/>
      <c r="D49" s="7" t="n"/>
      <c r="E49" s="8" t="n"/>
      <c r="F49" s="4">
        <f>IF(A49="","",SUMIF(Payments!$A$5:$A$104,A49,Payments!$C$5:$C$104))</f>
        <v/>
      </c>
      <c r="G49" s="4">
        <f>IF(A49="","",IF(ISNUMBER(D49),ROUND(D49-F49,2),""))</f>
        <v/>
      </c>
      <c r="H49" s="9">
        <f>IF(A49="","",IF(Settings!$B$2&lt;&gt;"OK","Check settings",IF(NOT(ISNUMBER(D49)),"Check total",IF(G49&lt;0,"Overpaid",IF(G49=0,"Paid in full",IF(F49=0,IF(AND(ISNUMBER(E49),E49&lt;Settings!$B$1),"Past due","Awaiting deposit"),IF(AND(ISNUMBER(E49),E49&lt;Settings!$B$1),"Past due","Deposit received")))))))</f>
        <v/>
      </c>
      <c r="I49" s="10">
        <f>IF(A49="","",IF(ISNUMBER(D49),IF(D49=0,"",ROUND(F49/D49,4)),""))</f>
        <v/>
      </c>
    </row>
    <row r="50">
      <c r="A50" s="6" t="n"/>
      <c r="B50" s="6" t="n"/>
      <c r="C50" s="6" t="n"/>
      <c r="D50" s="7" t="n"/>
      <c r="E50" s="8" t="n"/>
      <c r="F50" s="4">
        <f>IF(A50="","",SUMIF(Payments!$A$5:$A$104,A50,Payments!$C$5:$C$104))</f>
        <v/>
      </c>
      <c r="G50" s="4">
        <f>IF(A50="","",IF(ISNUMBER(D50),ROUND(D50-F50,2),""))</f>
        <v/>
      </c>
      <c r="H50" s="9">
        <f>IF(A50="","",IF(Settings!$B$2&lt;&gt;"OK","Check settings",IF(NOT(ISNUMBER(D50)),"Check total",IF(G50&lt;0,"Overpaid",IF(G50=0,"Paid in full",IF(F50=0,IF(AND(ISNUMBER(E50),E50&lt;Settings!$B$1),"Past due","Awaiting deposit"),IF(AND(ISNUMBER(E50),E50&lt;Settings!$B$1),"Past due","Deposit received")))))))</f>
        <v/>
      </c>
      <c r="I50" s="10">
        <f>IF(A50="","",IF(ISNUMBER(D50),IF(D50=0,"",ROUND(F50/D50,4)),""))</f>
        <v/>
      </c>
    </row>
    <row r="51">
      <c r="A51" s="6" t="n"/>
      <c r="B51" s="6" t="n"/>
      <c r="C51" s="6" t="n"/>
      <c r="D51" s="7" t="n"/>
      <c r="E51" s="8" t="n"/>
      <c r="F51" s="4">
        <f>IF(A51="","",SUMIF(Payments!$A$5:$A$104,A51,Payments!$C$5:$C$104))</f>
        <v/>
      </c>
      <c r="G51" s="4">
        <f>IF(A51="","",IF(ISNUMBER(D51),ROUND(D51-F51,2),""))</f>
        <v/>
      </c>
      <c r="H51" s="9">
        <f>IF(A51="","",IF(Settings!$B$2&lt;&gt;"OK","Check settings",IF(NOT(ISNUMBER(D51)),"Check total",IF(G51&lt;0,"Overpaid",IF(G51=0,"Paid in full",IF(F51=0,IF(AND(ISNUMBER(E51),E51&lt;Settings!$B$1),"Past due","Awaiting deposit"),IF(AND(ISNUMBER(E51),E51&lt;Settings!$B$1),"Past due","Deposit received")))))))</f>
        <v/>
      </c>
      <c r="I51" s="10">
        <f>IF(A51="","",IF(ISNUMBER(D51),IF(D51=0,"",ROUND(F51/D51,4)),""))</f>
        <v/>
      </c>
    </row>
    <row r="52">
      <c r="A52" s="6" t="n"/>
      <c r="B52" s="6" t="n"/>
      <c r="C52" s="6" t="n"/>
      <c r="D52" s="7" t="n"/>
      <c r="E52" s="8" t="n"/>
      <c r="F52" s="4">
        <f>IF(A52="","",SUMIF(Payments!$A$5:$A$104,A52,Payments!$C$5:$C$104))</f>
        <v/>
      </c>
      <c r="G52" s="4">
        <f>IF(A52="","",IF(ISNUMBER(D52),ROUND(D52-F52,2),""))</f>
        <v/>
      </c>
      <c r="H52" s="9">
        <f>IF(A52="","",IF(Settings!$B$2&lt;&gt;"OK","Check settings",IF(NOT(ISNUMBER(D52)),"Check total",IF(G52&lt;0,"Overpaid",IF(G52=0,"Paid in full",IF(F52=0,IF(AND(ISNUMBER(E52),E52&lt;Settings!$B$1),"Past due","Awaiting deposit"),IF(AND(ISNUMBER(E52),E52&lt;Settings!$B$1),"Past due","Deposit received")))))))</f>
        <v/>
      </c>
      <c r="I52" s="10">
        <f>IF(A52="","",IF(ISNUMBER(D52),IF(D52=0,"",ROUND(F52/D52,4)),""))</f>
        <v/>
      </c>
    </row>
    <row r="53">
      <c r="A53" s="6" t="n"/>
      <c r="B53" s="6" t="n"/>
      <c r="C53" s="6" t="n"/>
      <c r="D53" s="7" t="n"/>
      <c r="E53" s="8" t="n"/>
      <c r="F53" s="4">
        <f>IF(A53="","",SUMIF(Payments!$A$5:$A$104,A53,Payments!$C$5:$C$104))</f>
        <v/>
      </c>
      <c r="G53" s="4">
        <f>IF(A53="","",IF(ISNUMBER(D53),ROUND(D53-F53,2),""))</f>
        <v/>
      </c>
      <c r="H53" s="9">
        <f>IF(A53="","",IF(Settings!$B$2&lt;&gt;"OK","Check settings",IF(NOT(ISNUMBER(D53)),"Check total",IF(G53&lt;0,"Overpaid",IF(G53=0,"Paid in full",IF(F53=0,IF(AND(ISNUMBER(E53),E53&lt;Settings!$B$1),"Past due","Awaiting deposit"),IF(AND(ISNUMBER(E53),E53&lt;Settings!$B$1),"Past due","Deposit received")))))))</f>
        <v/>
      </c>
      <c r="I53" s="10">
        <f>IF(A53="","",IF(ISNUMBER(D53),IF(D53=0,"",ROUND(F53/D53,4)),""))</f>
        <v/>
      </c>
    </row>
    <row r="54">
      <c r="A54" s="6" t="n"/>
      <c r="B54" s="6" t="n"/>
      <c r="C54" s="6" t="n"/>
      <c r="D54" s="7" t="n"/>
      <c r="E54" s="8" t="n"/>
      <c r="F54" s="4">
        <f>IF(A54="","",SUMIF(Payments!$A$5:$A$104,A54,Payments!$C$5:$C$104))</f>
        <v/>
      </c>
      <c r="G54" s="4">
        <f>IF(A54="","",IF(ISNUMBER(D54),ROUND(D54-F54,2),""))</f>
        <v/>
      </c>
      <c r="H54" s="9">
        <f>IF(A54="","",IF(Settings!$B$2&lt;&gt;"OK","Check settings",IF(NOT(ISNUMBER(D54)),"Check total",IF(G54&lt;0,"Overpaid",IF(G54=0,"Paid in full",IF(F54=0,IF(AND(ISNUMBER(E54),E54&lt;Settings!$B$1),"Past due","Awaiting deposit"),IF(AND(ISNUMBER(E54),E54&lt;Settings!$B$1),"Past due","Deposit received")))))))</f>
        <v/>
      </c>
      <c r="I54" s="10">
        <f>IF(A54="","",IF(ISNUMBER(D54),IF(D54=0,"",ROUND(F54/D54,4)),""))</f>
        <v/>
      </c>
    </row>
    <row r="55">
      <c r="A55" s="6" t="n"/>
      <c r="B55" s="6" t="n"/>
      <c r="C55" s="6" t="n"/>
      <c r="D55" s="7" t="n"/>
      <c r="E55" s="8" t="n"/>
      <c r="F55" s="4">
        <f>IF(A55="","",SUMIF(Payments!$A$5:$A$104,A55,Payments!$C$5:$C$104))</f>
        <v/>
      </c>
      <c r="G55" s="4">
        <f>IF(A55="","",IF(ISNUMBER(D55),ROUND(D55-F55,2),""))</f>
        <v/>
      </c>
      <c r="H55" s="9">
        <f>IF(A55="","",IF(Settings!$B$2&lt;&gt;"OK","Check settings",IF(NOT(ISNUMBER(D55)),"Check total",IF(G55&lt;0,"Overpaid",IF(G55=0,"Paid in full",IF(F55=0,IF(AND(ISNUMBER(E55),E55&lt;Settings!$B$1),"Past due","Awaiting deposit"),IF(AND(ISNUMBER(E55),E55&lt;Settings!$B$1),"Past due","Deposit received")))))))</f>
        <v/>
      </c>
      <c r="I55" s="10">
        <f>IF(A55="","",IF(ISNUMBER(D55),IF(D55=0,"",ROUND(F55/D55,4)),""))</f>
        <v/>
      </c>
    </row>
    <row r="56">
      <c r="A56" s="6" t="n"/>
      <c r="B56" s="6" t="n"/>
      <c r="C56" s="6" t="n"/>
      <c r="D56" s="7" t="n"/>
      <c r="E56" s="8" t="n"/>
      <c r="F56" s="4">
        <f>IF(A56="","",SUMIF(Payments!$A$5:$A$104,A56,Payments!$C$5:$C$104))</f>
        <v/>
      </c>
      <c r="G56" s="4">
        <f>IF(A56="","",IF(ISNUMBER(D56),ROUND(D56-F56,2),""))</f>
        <v/>
      </c>
      <c r="H56" s="9">
        <f>IF(A56="","",IF(Settings!$B$2&lt;&gt;"OK","Check settings",IF(NOT(ISNUMBER(D56)),"Check total",IF(G56&lt;0,"Overpaid",IF(G56=0,"Paid in full",IF(F56=0,IF(AND(ISNUMBER(E56),E56&lt;Settings!$B$1),"Past due","Awaiting deposit"),IF(AND(ISNUMBER(E56),E56&lt;Settings!$B$1),"Past due","Deposit received")))))))</f>
        <v/>
      </c>
      <c r="I56" s="10">
        <f>IF(A56="","",IF(ISNUMBER(D56),IF(D56=0,"",ROUND(F56/D56,4)),""))</f>
        <v/>
      </c>
    </row>
    <row r="57">
      <c r="A57" s="6" t="n"/>
      <c r="B57" s="6" t="n"/>
      <c r="C57" s="6" t="n"/>
      <c r="D57" s="7" t="n"/>
      <c r="E57" s="8" t="n"/>
      <c r="F57" s="4">
        <f>IF(A57="","",SUMIF(Payments!$A$5:$A$104,A57,Payments!$C$5:$C$104))</f>
        <v/>
      </c>
      <c r="G57" s="4">
        <f>IF(A57="","",IF(ISNUMBER(D57),ROUND(D57-F57,2),""))</f>
        <v/>
      </c>
      <c r="H57" s="9">
        <f>IF(A57="","",IF(Settings!$B$2&lt;&gt;"OK","Check settings",IF(NOT(ISNUMBER(D57)),"Check total",IF(G57&lt;0,"Overpaid",IF(G57=0,"Paid in full",IF(F57=0,IF(AND(ISNUMBER(E57),E57&lt;Settings!$B$1),"Past due","Awaiting deposit"),IF(AND(ISNUMBER(E57),E57&lt;Settings!$B$1),"Past due","Deposit received")))))))</f>
        <v/>
      </c>
      <c r="I57" s="10">
        <f>IF(A57="","",IF(ISNUMBER(D57),IF(D57=0,"",ROUND(F57/D57,4)),""))</f>
        <v/>
      </c>
    </row>
    <row r="58">
      <c r="A58" s="6" t="n"/>
      <c r="B58" s="6" t="n"/>
      <c r="C58" s="6" t="n"/>
      <c r="D58" s="7" t="n"/>
      <c r="E58" s="8" t="n"/>
      <c r="F58" s="4">
        <f>IF(A58="","",SUMIF(Payments!$A$5:$A$104,A58,Payments!$C$5:$C$104))</f>
        <v/>
      </c>
      <c r="G58" s="4">
        <f>IF(A58="","",IF(ISNUMBER(D58),ROUND(D58-F58,2),""))</f>
        <v/>
      </c>
      <c r="H58" s="9">
        <f>IF(A58="","",IF(Settings!$B$2&lt;&gt;"OK","Check settings",IF(NOT(ISNUMBER(D58)),"Check total",IF(G58&lt;0,"Overpaid",IF(G58=0,"Paid in full",IF(F58=0,IF(AND(ISNUMBER(E58),E58&lt;Settings!$B$1),"Past due","Awaiting deposit"),IF(AND(ISNUMBER(E58),E58&lt;Settings!$B$1),"Past due","Deposit received")))))))</f>
        <v/>
      </c>
      <c r="I58" s="10">
        <f>IF(A58="","",IF(ISNUMBER(D58),IF(D58=0,"",ROUND(F58/D58,4)),""))</f>
        <v/>
      </c>
    </row>
    <row r="59">
      <c r="A59" s="6" t="n"/>
      <c r="B59" s="6" t="n"/>
      <c r="C59" s="6" t="n"/>
      <c r="D59" s="7" t="n"/>
      <c r="E59" s="8" t="n"/>
      <c r="F59" s="4">
        <f>IF(A59="","",SUMIF(Payments!$A$5:$A$104,A59,Payments!$C$5:$C$104))</f>
        <v/>
      </c>
      <c r="G59" s="4">
        <f>IF(A59="","",IF(ISNUMBER(D59),ROUND(D59-F59,2),""))</f>
        <v/>
      </c>
      <c r="H59" s="9">
        <f>IF(A59="","",IF(Settings!$B$2&lt;&gt;"OK","Check settings",IF(NOT(ISNUMBER(D59)),"Check total",IF(G59&lt;0,"Overpaid",IF(G59=0,"Paid in full",IF(F59=0,IF(AND(ISNUMBER(E59),E59&lt;Settings!$B$1),"Past due","Awaiting deposit"),IF(AND(ISNUMBER(E59),E59&lt;Settings!$B$1),"Past due","Deposit received")))))))</f>
        <v/>
      </c>
      <c r="I59" s="10">
        <f>IF(A59="","",IF(ISNUMBER(D59),IF(D59=0,"",ROUND(F59/D59,4)),""))</f>
        <v/>
      </c>
    </row>
    <row r="60">
      <c r="A60" s="6" t="n"/>
      <c r="B60" s="6" t="n"/>
      <c r="C60" s="6" t="n"/>
      <c r="D60" s="7" t="n"/>
      <c r="E60" s="8" t="n"/>
      <c r="F60" s="4">
        <f>IF(A60="","",SUMIF(Payments!$A$5:$A$104,A60,Payments!$C$5:$C$104))</f>
        <v/>
      </c>
      <c r="G60" s="4">
        <f>IF(A60="","",IF(ISNUMBER(D60),ROUND(D60-F60,2),""))</f>
        <v/>
      </c>
      <c r="H60" s="9">
        <f>IF(A60="","",IF(Settings!$B$2&lt;&gt;"OK","Check settings",IF(NOT(ISNUMBER(D60)),"Check total",IF(G60&lt;0,"Overpaid",IF(G60=0,"Paid in full",IF(F60=0,IF(AND(ISNUMBER(E60),E60&lt;Settings!$B$1),"Past due","Awaiting deposit"),IF(AND(ISNUMBER(E60),E60&lt;Settings!$B$1),"Past due","Deposit received")))))))</f>
        <v/>
      </c>
      <c r="I60" s="10">
        <f>IF(A60="","",IF(ISNUMBER(D60),IF(D60=0,"",ROUND(F60/D60,4)),""))</f>
        <v/>
      </c>
    </row>
    <row r="61">
      <c r="A61" s="6" t="n"/>
      <c r="B61" s="6" t="n"/>
      <c r="C61" s="6" t="n"/>
      <c r="D61" s="7" t="n"/>
      <c r="E61" s="8" t="n"/>
      <c r="F61" s="4">
        <f>IF(A61="","",SUMIF(Payments!$A$5:$A$104,A61,Payments!$C$5:$C$104))</f>
        <v/>
      </c>
      <c r="G61" s="4">
        <f>IF(A61="","",IF(ISNUMBER(D61),ROUND(D61-F61,2),""))</f>
        <v/>
      </c>
      <c r="H61" s="9">
        <f>IF(A61="","",IF(Settings!$B$2&lt;&gt;"OK","Check settings",IF(NOT(ISNUMBER(D61)),"Check total",IF(G61&lt;0,"Overpaid",IF(G61=0,"Paid in full",IF(F61=0,IF(AND(ISNUMBER(E61),E61&lt;Settings!$B$1),"Past due","Awaiting deposit"),IF(AND(ISNUMBER(E61),E61&lt;Settings!$B$1),"Past due","Deposit received")))))))</f>
        <v/>
      </c>
      <c r="I61" s="10">
        <f>IF(A61="","",IF(ISNUMBER(D61),IF(D61=0,"",ROUND(F61/D61,4)),""))</f>
        <v/>
      </c>
    </row>
    <row r="62">
      <c r="A62" s="6" t="n"/>
      <c r="B62" s="6" t="n"/>
      <c r="C62" s="6" t="n"/>
      <c r="D62" s="7" t="n"/>
      <c r="E62" s="8" t="n"/>
      <c r="F62" s="4">
        <f>IF(A62="","",SUMIF(Payments!$A$5:$A$104,A62,Payments!$C$5:$C$104))</f>
        <v/>
      </c>
      <c r="G62" s="4">
        <f>IF(A62="","",IF(ISNUMBER(D62),ROUND(D62-F62,2),""))</f>
        <v/>
      </c>
      <c r="H62" s="9">
        <f>IF(A62="","",IF(Settings!$B$2&lt;&gt;"OK","Check settings",IF(NOT(ISNUMBER(D62)),"Check total",IF(G62&lt;0,"Overpaid",IF(G62=0,"Paid in full",IF(F62=0,IF(AND(ISNUMBER(E62),E62&lt;Settings!$B$1),"Past due","Awaiting deposit"),IF(AND(ISNUMBER(E62),E62&lt;Settings!$B$1),"Past due","Deposit received")))))))</f>
        <v/>
      </c>
      <c r="I62" s="10">
        <f>IF(A62="","",IF(ISNUMBER(D62),IF(D62=0,"",ROUND(F62/D62,4)),""))</f>
        <v/>
      </c>
    </row>
    <row r="63">
      <c r="A63" s="6" t="n"/>
      <c r="B63" s="6" t="n"/>
      <c r="C63" s="6" t="n"/>
      <c r="D63" s="7" t="n"/>
      <c r="E63" s="8" t="n"/>
      <c r="F63" s="4">
        <f>IF(A63="","",SUMIF(Payments!$A$5:$A$104,A63,Payments!$C$5:$C$104))</f>
        <v/>
      </c>
      <c r="G63" s="4">
        <f>IF(A63="","",IF(ISNUMBER(D63),ROUND(D63-F63,2),""))</f>
        <v/>
      </c>
      <c r="H63" s="9">
        <f>IF(A63="","",IF(Settings!$B$2&lt;&gt;"OK","Check settings",IF(NOT(ISNUMBER(D63)),"Check total",IF(G63&lt;0,"Overpaid",IF(G63=0,"Paid in full",IF(F63=0,IF(AND(ISNUMBER(E63),E63&lt;Settings!$B$1),"Past due","Awaiting deposit"),IF(AND(ISNUMBER(E63),E63&lt;Settings!$B$1),"Past due","Deposit received")))))))</f>
        <v/>
      </c>
      <c r="I63" s="10">
        <f>IF(A63="","",IF(ISNUMBER(D63),IF(D63=0,"",ROUND(F63/D63,4)),""))</f>
        <v/>
      </c>
    </row>
    <row r="64">
      <c r="A64" s="6" t="n"/>
      <c r="B64" s="6" t="n"/>
      <c r="C64" s="6" t="n"/>
      <c r="D64" s="7" t="n"/>
      <c r="E64" s="8" t="n"/>
      <c r="F64" s="4">
        <f>IF(A64="","",SUMIF(Payments!$A$5:$A$104,A64,Payments!$C$5:$C$104))</f>
        <v/>
      </c>
      <c r="G64" s="4">
        <f>IF(A64="","",IF(ISNUMBER(D64),ROUND(D64-F64,2),""))</f>
        <v/>
      </c>
      <c r="H64" s="9">
        <f>IF(A64="","",IF(Settings!$B$2&lt;&gt;"OK","Check settings",IF(NOT(ISNUMBER(D64)),"Check total",IF(G64&lt;0,"Overpaid",IF(G64=0,"Paid in full",IF(F64=0,IF(AND(ISNUMBER(E64),E64&lt;Settings!$B$1),"Past due","Awaiting deposit"),IF(AND(ISNUMBER(E64),E64&lt;Settings!$B$1),"Past due","Deposit received")))))))</f>
        <v/>
      </c>
      <c r="I64" s="10">
        <f>IF(A64="","",IF(ISNUMBER(D64),IF(D64=0,"",ROUND(F64/D64,4)),""))</f>
        <v/>
      </c>
    </row>
  </sheetData>
  <conditionalFormatting sqref="A5:I64">
    <cfRule type="expression" priority="1" dxfId="0">
      <formula>$H5="Past due"</formula>
    </cfRule>
    <cfRule type="expression" priority="2" dxfId="1">
      <formula>$H5="Paid in full"</formula>
    </cfRule>
    <cfRule type="expression" priority="3" dxfId="2">
      <formula>$H5="Overpaid"</formula>
    </cfRule>
  </conditionalFormatting>
  <conditionalFormatting sqref="L11">
    <cfRule type="expression" priority="4" dxfId="0">
      <formula>AND(L11&lt;&gt;"OK",L11&lt;&gt;"")</formula>
    </cfRule>
  </conditionalFormatting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6" customWidth="1" min="5" max="5"/>
  </cols>
  <sheetData>
    <row r="1">
      <c r="A1" s="1" t="inlineStr">
        <is>
          <t>One row per payment. Type the order number exactly as it is on the Orders tab. Amount must be a number.</t>
        </is>
      </c>
    </row>
    <row r="4" ht="24" customHeight="1">
      <c r="A4" s="5" t="inlineStr">
        <is>
          <t>Order #</t>
        </is>
      </c>
      <c r="B4" s="5" t="inlineStr">
        <is>
          <t>Date</t>
        </is>
      </c>
      <c r="C4" s="5" t="inlineStr">
        <is>
          <t>Amount</t>
        </is>
      </c>
      <c r="D4" s="5" t="inlineStr">
        <is>
          <t>Method</t>
        </is>
      </c>
      <c r="E4" s="5" t="inlineStr">
        <is>
          <t>Check</t>
        </is>
      </c>
    </row>
    <row r="5">
      <c r="A5" s="6" t="inlineStr">
        <is>
          <t>CO-1002</t>
        </is>
      </c>
      <c r="B5" s="8" t="n">
        <v>46279</v>
      </c>
      <c r="C5" s="7" t="n">
        <v>25</v>
      </c>
      <c r="D5" s="6" t="inlineStr">
        <is>
          <t>Cash</t>
        </is>
      </c>
      <c r="E5" s="12">
        <f>IF(AND(A5="",C5=""),"",IF(A5="","No order",IF(COUNTIF(Orders!$A$5:$A$64,A5)=0,"No order",IF(ISNUMBER(C5),"","Check amount"))))</f>
        <v/>
      </c>
    </row>
    <row r="6">
      <c r="A6" s="6" t="inlineStr">
        <is>
          <t>CO-1011</t>
        </is>
      </c>
      <c r="B6" s="8" t="n">
        <v>46285</v>
      </c>
      <c r="C6" s="7" t="n">
        <v>60</v>
      </c>
      <c r="D6" s="6" t="inlineStr">
        <is>
          <t>Venmo</t>
        </is>
      </c>
      <c r="E6" s="12">
        <f>IF(AND(A6="",C6=""),"",IF(A6="","No order",IF(COUNTIF(Orders!$A$5:$A$64,A6)=0,"No order",IF(ISNUMBER(C6),"","Check amount"))))</f>
        <v/>
      </c>
    </row>
    <row r="7">
      <c r="A7" s="6" t="inlineStr">
        <is>
          <t>CO-1001</t>
        </is>
      </c>
      <c r="B7" s="8" t="n">
        <v>46287</v>
      </c>
      <c r="C7" s="7" t="n">
        <v>80</v>
      </c>
      <c r="D7" s="6" t="inlineStr">
        <is>
          <t>Card</t>
        </is>
      </c>
      <c r="E7" s="12">
        <f>IF(AND(A7="",C7=""),"",IF(A7="","No order",IF(COUNTIF(Orders!$A$5:$A$64,A7)=0,"No order",IF(ISNUMBER(C7),"","Check amount"))))</f>
        <v/>
      </c>
    </row>
    <row r="8">
      <c r="A8" s="6" t="inlineStr">
        <is>
          <t>CO-1007</t>
        </is>
      </c>
      <c r="B8" s="8" t="n">
        <v>46290</v>
      </c>
      <c r="C8" s="7" t="n">
        <v>20</v>
      </c>
      <c r="D8" s="6" t="inlineStr">
        <is>
          <t>Cash</t>
        </is>
      </c>
      <c r="E8" s="12">
        <f>IF(AND(A8="",C8=""),"",IF(A8="","No order",IF(COUNTIF(Orders!$A$5:$A$64,A8)=0,"No order",IF(ISNUMBER(C8),"","Check amount"))))</f>
        <v/>
      </c>
    </row>
    <row r="9">
      <c r="A9" s="6" t="inlineStr">
        <is>
          <t>CO-1003</t>
        </is>
      </c>
      <c r="B9" s="8" t="n">
        <v>46300</v>
      </c>
      <c r="C9" s="7" t="n">
        <v>60</v>
      </c>
      <c r="D9" s="6" t="inlineStr">
        <is>
          <t>Venmo</t>
        </is>
      </c>
      <c r="E9" s="12">
        <f>IF(AND(A9="",C9=""),"",IF(A9="","No order",IF(COUNTIF(Orders!$A$5:$A$64,A9)=0,"No order",IF(ISNUMBER(C9),"","Check amount"))))</f>
        <v/>
      </c>
    </row>
    <row r="10">
      <c r="A10" s="6" t="inlineStr">
        <is>
          <t>CO-1008</t>
        </is>
      </c>
      <c r="B10" s="8" t="n">
        <v>46301</v>
      </c>
      <c r="C10" s="7" t="n">
        <v>50</v>
      </c>
      <c r="D10" s="6" t="inlineStr">
        <is>
          <t>Card</t>
        </is>
      </c>
      <c r="E10" s="12">
        <f>IF(AND(A10="",C10=""),"",IF(A10="","No order",IF(COUNTIF(Orders!$A$5:$A$64,A10)=0,"No order",IF(ISNUMBER(C10),"","Check amount"))))</f>
        <v/>
      </c>
    </row>
    <row r="11">
      <c r="A11" s="6" t="inlineStr">
        <is>
          <t>CO-1009</t>
        </is>
      </c>
      <c r="B11" s="8" t="n">
        <v>46302</v>
      </c>
      <c r="C11" s="7" t="n">
        <v>65</v>
      </c>
      <c r="D11" s="6" t="inlineStr">
        <is>
          <t>Check</t>
        </is>
      </c>
      <c r="E11" s="12">
        <f>IF(AND(A11="",C11=""),"",IF(A11="","No order",IF(COUNTIF(Orders!$A$5:$A$64,A11)=0,"No order",IF(ISNUMBER(C11),"","Check amount"))))</f>
        <v/>
      </c>
    </row>
    <row r="12">
      <c r="A12" s="6" t="inlineStr">
        <is>
          <t>CO-1012</t>
        </is>
      </c>
      <c r="B12" s="8" t="n">
        <v>46304</v>
      </c>
      <c r="C12" s="7" t="n">
        <v>15</v>
      </c>
      <c r="D12" s="6" t="inlineStr">
        <is>
          <t>Venmo</t>
        </is>
      </c>
      <c r="E12" s="12">
        <f>IF(AND(A12="",C12=""),"",IF(A12="","No order",IF(COUNTIF(Orders!$A$5:$A$64,A12)=0,"No order",IF(ISNUMBER(C12),"","Check amount"))))</f>
        <v/>
      </c>
    </row>
    <row r="13">
      <c r="A13" s="6" t="inlineStr">
        <is>
          <t>CO-1010</t>
        </is>
      </c>
      <c r="B13" s="8" t="n">
        <v>46305</v>
      </c>
      <c r="C13" s="7" t="n">
        <v>20</v>
      </c>
      <c r="D13" s="6" t="inlineStr">
        <is>
          <t>Card</t>
        </is>
      </c>
      <c r="E13" s="12">
        <f>IF(AND(A13="",C13=""),"",IF(A13="","No order",IF(COUNTIF(Orders!$A$5:$A$64,A13)=0,"No order",IF(ISNUMBER(C13),"","Check amount"))))</f>
        <v/>
      </c>
    </row>
    <row r="14">
      <c r="A14" s="6" t="inlineStr">
        <is>
          <t>CO-1002</t>
        </is>
      </c>
      <c r="B14" s="8" t="n">
        <v>46307</v>
      </c>
      <c r="C14" s="7" t="n">
        <v>15</v>
      </c>
      <c r="D14" s="6" t="inlineStr">
        <is>
          <t>Cash</t>
        </is>
      </c>
      <c r="E14" s="12">
        <f>IF(AND(A14="",C14=""),"",IF(A14="","No order",IF(COUNTIF(Orders!$A$5:$A$64,A14)=0,"No order",IF(ISNUMBER(C14),"","Check amount"))))</f>
        <v/>
      </c>
    </row>
    <row r="15">
      <c r="A15" s="6" t="inlineStr">
        <is>
          <t>CO-1001</t>
        </is>
      </c>
      <c r="B15" s="8" t="n">
        <v>46309</v>
      </c>
      <c r="C15" s="7" t="n">
        <v>70</v>
      </c>
      <c r="D15" s="6" t="inlineStr">
        <is>
          <t>Check</t>
        </is>
      </c>
      <c r="E15" s="12">
        <f>IF(AND(A15="",C15=""),"",IF(A15="","No order",IF(COUNTIF(Orders!$A$5:$A$64,A15)=0,"No order",IF(ISNUMBER(C15),"","Check amount"))))</f>
        <v/>
      </c>
    </row>
    <row r="16">
      <c r="A16" s="6" t="inlineStr">
        <is>
          <t>CO-1008</t>
        </is>
      </c>
      <c r="B16" s="8" t="n">
        <v>46310</v>
      </c>
      <c r="C16" s="7" t="n">
        <v>50</v>
      </c>
      <c r="D16" s="6" t="inlineStr">
        <is>
          <t>Card</t>
        </is>
      </c>
      <c r="E16" s="12">
        <f>IF(AND(A16="",C16=""),"",IF(A16="","No order",IF(COUNTIF(Orders!$A$5:$A$64,A16)=0,"No order",IF(ISNUMBER(C16),"","Check amount"))))</f>
        <v/>
      </c>
    </row>
    <row r="17">
      <c r="A17" s="6" t="inlineStr">
        <is>
          <t>CO-1011</t>
        </is>
      </c>
      <c r="B17" s="8" t="n">
        <v>46312</v>
      </c>
      <c r="C17" s="7" t="n">
        <v>40</v>
      </c>
      <c r="D17" s="6" t="inlineStr">
        <is>
          <t>Venmo</t>
        </is>
      </c>
      <c r="E17" s="12">
        <f>IF(AND(A17="",C17=""),"",IF(A17="","No order",IF(COUNTIF(Orders!$A$5:$A$64,A17)=0,"No order",IF(ISNUMBER(C17),"","Check amount"))))</f>
        <v/>
      </c>
    </row>
    <row r="18">
      <c r="A18" s="6" t="inlineStr">
        <is>
          <t>CO-1007</t>
        </is>
      </c>
      <c r="B18" s="8" t="n">
        <v>46315</v>
      </c>
      <c r="C18" s="7" t="n">
        <v>25</v>
      </c>
      <c r="D18" s="6" t="inlineStr">
        <is>
          <t>Cash</t>
        </is>
      </c>
      <c r="E18" s="12">
        <f>IF(AND(A18="",C18=""),"",IF(A18="","No order",IF(COUNTIF(Orders!$A$5:$A$64,A18)=0,"No order",IF(ISNUMBER(C18),"","Check amount"))))</f>
        <v/>
      </c>
    </row>
    <row r="19">
      <c r="A19" s="6" t="inlineStr">
        <is>
          <t>CO-1012</t>
        </is>
      </c>
      <c r="B19" s="8" t="n">
        <v>46317</v>
      </c>
      <c r="C19" s="7" t="n">
        <v>15</v>
      </c>
      <c r="D19" s="6" t="inlineStr">
        <is>
          <t>Venmo</t>
        </is>
      </c>
      <c r="E19" s="12">
        <f>IF(AND(A19="",C19=""),"",IF(A19="","No order",IF(COUNTIF(Orders!$A$5:$A$64,A19)=0,"No order",IF(ISNUMBER(C19),"","Check amount"))))</f>
        <v/>
      </c>
    </row>
    <row r="20">
      <c r="A20" s="6" t="inlineStr">
        <is>
          <t>CO-1001</t>
        </is>
      </c>
      <c r="B20" s="8" t="n">
        <v>46319</v>
      </c>
      <c r="C20" s="7" t="n">
        <v>100</v>
      </c>
      <c r="D20" s="6" t="inlineStr">
        <is>
          <t>Card</t>
        </is>
      </c>
      <c r="E20" s="12">
        <f>IF(AND(A20="",C20=""),"",IF(A20="","No order",IF(COUNTIF(Orders!$A$5:$A$64,A20)=0,"No order",IF(ISNUMBER(C20),"","Check amount"))))</f>
        <v/>
      </c>
    </row>
    <row r="21">
      <c r="A21" s="6" t="inlineStr">
        <is>
          <t>CO-1003</t>
        </is>
      </c>
      <c r="B21" s="8" t="n">
        <v>46322</v>
      </c>
      <c r="C21" s="7" t="n">
        <v>140</v>
      </c>
      <c r="D21" s="6" t="inlineStr">
        <is>
          <t>Check</t>
        </is>
      </c>
      <c r="E21" s="12">
        <f>IF(AND(A21="",C21=""),"",IF(A21="","No order",IF(COUNTIF(Orders!$A$5:$A$64,A21)=0,"No order",IF(ISNUMBER(C21),"","Check amount"))))</f>
        <v/>
      </c>
    </row>
    <row r="22">
      <c r="A22" s="6" t="inlineStr">
        <is>
          <t>CO-1009</t>
        </is>
      </c>
      <c r="B22" s="8" t="n">
        <v>46323</v>
      </c>
      <c r="C22" s="7" t="n">
        <v>70</v>
      </c>
      <c r="D22" s="6" t="inlineStr">
        <is>
          <t>Cash</t>
        </is>
      </c>
      <c r="E22" s="12">
        <f>IF(AND(A22="",C22=""),"",IF(A22="","No order",IF(COUNTIF(Orders!$A$5:$A$64,A22)=0,"No order",IF(ISNUMBER(C22),"","Check amount"))))</f>
        <v/>
      </c>
    </row>
    <row r="23">
      <c r="A23" s="6" t="inlineStr">
        <is>
          <t>CO-1008</t>
        </is>
      </c>
      <c r="B23" s="8" t="n">
        <v>46324</v>
      </c>
      <c r="C23" s="7" t="n">
        <v>30</v>
      </c>
      <c r="D23" s="6" t="inlineStr">
        <is>
          <t>Venmo</t>
        </is>
      </c>
      <c r="E23" s="12">
        <f>IF(AND(A23="",C23=""),"",IF(A23="","No order",IF(COUNTIF(Orders!$A$5:$A$64,A23)=0,"No order",IF(ISNUMBER(C23),"","Check amount"))))</f>
        <v/>
      </c>
    </row>
    <row r="24">
      <c r="A24" s="6" t="inlineStr">
        <is>
          <t>CO-1010</t>
        </is>
      </c>
      <c r="B24" s="8" t="n">
        <v>46325</v>
      </c>
      <c r="C24" s="7" t="n">
        <v>20</v>
      </c>
      <c r="D24" s="6" t="inlineStr">
        <is>
          <t>Card</t>
        </is>
      </c>
      <c r="E24" s="12">
        <f>IF(AND(A24="",C24=""),"",IF(A24="","No order",IF(COUNTIF(Orders!$A$5:$A$64,A24)=0,"No order",IF(ISNUMBER(C24),"","Check amount"))))</f>
        <v/>
      </c>
    </row>
    <row r="25">
      <c r="A25" s="6" t="n"/>
      <c r="B25" s="8" t="n"/>
      <c r="C25" s="7" t="n"/>
      <c r="D25" s="6" t="n"/>
      <c r="E25" s="12">
        <f>IF(AND(A25="",C25=""),"",IF(A25="","No order",IF(COUNTIF(Orders!$A$5:$A$64,A25)=0,"No order",IF(ISNUMBER(C25),"","Check amount"))))</f>
        <v/>
      </c>
    </row>
    <row r="26">
      <c r="A26" s="6" t="n"/>
      <c r="B26" s="8" t="n"/>
      <c r="C26" s="7" t="n"/>
      <c r="D26" s="6" t="n"/>
      <c r="E26" s="12">
        <f>IF(AND(A26="",C26=""),"",IF(A26="","No order",IF(COUNTIF(Orders!$A$5:$A$64,A26)=0,"No order",IF(ISNUMBER(C26),"","Check amount"))))</f>
        <v/>
      </c>
    </row>
    <row r="27">
      <c r="A27" s="6" t="n"/>
      <c r="B27" s="8" t="n"/>
      <c r="C27" s="7" t="n"/>
      <c r="D27" s="6" t="n"/>
      <c r="E27" s="12">
        <f>IF(AND(A27="",C27=""),"",IF(A27="","No order",IF(COUNTIF(Orders!$A$5:$A$64,A27)=0,"No order",IF(ISNUMBER(C27),"","Check amount"))))</f>
        <v/>
      </c>
    </row>
    <row r="28">
      <c r="A28" s="6" t="n"/>
      <c r="B28" s="8" t="n"/>
      <c r="C28" s="7" t="n"/>
      <c r="D28" s="6" t="n"/>
      <c r="E28" s="12">
        <f>IF(AND(A28="",C28=""),"",IF(A28="","No order",IF(COUNTIF(Orders!$A$5:$A$64,A28)=0,"No order",IF(ISNUMBER(C28),"","Check amount"))))</f>
        <v/>
      </c>
    </row>
    <row r="29">
      <c r="A29" s="6" t="n"/>
      <c r="B29" s="8" t="n"/>
      <c r="C29" s="7" t="n"/>
      <c r="D29" s="6" t="n"/>
      <c r="E29" s="12">
        <f>IF(AND(A29="",C29=""),"",IF(A29="","No order",IF(COUNTIF(Orders!$A$5:$A$64,A29)=0,"No order",IF(ISNUMBER(C29),"","Check amount"))))</f>
        <v/>
      </c>
    </row>
    <row r="30">
      <c r="A30" s="6" t="n"/>
      <c r="B30" s="8" t="n"/>
      <c r="C30" s="7" t="n"/>
      <c r="D30" s="6" t="n"/>
      <c r="E30" s="12">
        <f>IF(AND(A30="",C30=""),"",IF(A30="","No order",IF(COUNTIF(Orders!$A$5:$A$64,A30)=0,"No order",IF(ISNUMBER(C30),"","Check amount"))))</f>
        <v/>
      </c>
    </row>
    <row r="31">
      <c r="A31" s="6" t="n"/>
      <c r="B31" s="8" t="n"/>
      <c r="C31" s="7" t="n"/>
      <c r="D31" s="6" t="n"/>
      <c r="E31" s="12">
        <f>IF(AND(A31="",C31=""),"",IF(A31="","No order",IF(COUNTIF(Orders!$A$5:$A$64,A31)=0,"No order",IF(ISNUMBER(C31),"","Check amount"))))</f>
        <v/>
      </c>
    </row>
    <row r="32">
      <c r="A32" s="6" t="n"/>
      <c r="B32" s="8" t="n"/>
      <c r="C32" s="7" t="n"/>
      <c r="D32" s="6" t="n"/>
      <c r="E32" s="12">
        <f>IF(AND(A32="",C32=""),"",IF(A32="","No order",IF(COUNTIF(Orders!$A$5:$A$64,A32)=0,"No order",IF(ISNUMBER(C32),"","Check amount"))))</f>
        <v/>
      </c>
    </row>
    <row r="33">
      <c r="A33" s="6" t="n"/>
      <c r="B33" s="8" t="n"/>
      <c r="C33" s="7" t="n"/>
      <c r="D33" s="6" t="n"/>
      <c r="E33" s="12">
        <f>IF(AND(A33="",C33=""),"",IF(A33="","No order",IF(COUNTIF(Orders!$A$5:$A$64,A33)=0,"No order",IF(ISNUMBER(C33),"","Check amount"))))</f>
        <v/>
      </c>
    </row>
    <row r="34">
      <c r="A34" s="6" t="n"/>
      <c r="B34" s="8" t="n"/>
      <c r="C34" s="7" t="n"/>
      <c r="D34" s="6" t="n"/>
      <c r="E34" s="12">
        <f>IF(AND(A34="",C34=""),"",IF(A34="","No order",IF(COUNTIF(Orders!$A$5:$A$64,A34)=0,"No order",IF(ISNUMBER(C34),"","Check amount"))))</f>
        <v/>
      </c>
    </row>
    <row r="35">
      <c r="A35" s="6" t="n"/>
      <c r="B35" s="8" t="n"/>
      <c r="C35" s="7" t="n"/>
      <c r="D35" s="6" t="n"/>
      <c r="E35" s="12">
        <f>IF(AND(A35="",C35=""),"",IF(A35="","No order",IF(COUNTIF(Orders!$A$5:$A$64,A35)=0,"No order",IF(ISNUMBER(C35),"","Check amount"))))</f>
        <v/>
      </c>
    </row>
    <row r="36">
      <c r="A36" s="6" t="n"/>
      <c r="B36" s="8" t="n"/>
      <c r="C36" s="7" t="n"/>
      <c r="D36" s="6" t="n"/>
      <c r="E36" s="12">
        <f>IF(AND(A36="",C36=""),"",IF(A36="","No order",IF(COUNTIF(Orders!$A$5:$A$64,A36)=0,"No order",IF(ISNUMBER(C36),"","Check amount"))))</f>
        <v/>
      </c>
    </row>
    <row r="37">
      <c r="A37" s="6" t="n"/>
      <c r="B37" s="8" t="n"/>
      <c r="C37" s="7" t="n"/>
      <c r="D37" s="6" t="n"/>
      <c r="E37" s="12">
        <f>IF(AND(A37="",C37=""),"",IF(A37="","No order",IF(COUNTIF(Orders!$A$5:$A$64,A37)=0,"No order",IF(ISNUMBER(C37),"","Check amount"))))</f>
        <v/>
      </c>
    </row>
    <row r="38">
      <c r="A38" s="6" t="n"/>
      <c r="B38" s="8" t="n"/>
      <c r="C38" s="7" t="n"/>
      <c r="D38" s="6" t="n"/>
      <c r="E38" s="12">
        <f>IF(AND(A38="",C38=""),"",IF(A38="","No order",IF(COUNTIF(Orders!$A$5:$A$64,A38)=0,"No order",IF(ISNUMBER(C38),"","Check amount"))))</f>
        <v/>
      </c>
    </row>
    <row r="39">
      <c r="A39" s="6" t="n"/>
      <c r="B39" s="8" t="n"/>
      <c r="C39" s="7" t="n"/>
      <c r="D39" s="6" t="n"/>
      <c r="E39" s="12">
        <f>IF(AND(A39="",C39=""),"",IF(A39="","No order",IF(COUNTIF(Orders!$A$5:$A$64,A39)=0,"No order",IF(ISNUMBER(C39),"","Check amount"))))</f>
        <v/>
      </c>
    </row>
    <row r="40">
      <c r="A40" s="6" t="n"/>
      <c r="B40" s="8" t="n"/>
      <c r="C40" s="7" t="n"/>
      <c r="D40" s="6" t="n"/>
      <c r="E40" s="12">
        <f>IF(AND(A40="",C40=""),"",IF(A40="","No order",IF(COUNTIF(Orders!$A$5:$A$64,A40)=0,"No order",IF(ISNUMBER(C40),"","Check amount"))))</f>
        <v/>
      </c>
    </row>
    <row r="41">
      <c r="A41" s="6" t="n"/>
      <c r="B41" s="8" t="n"/>
      <c r="C41" s="7" t="n"/>
      <c r="D41" s="6" t="n"/>
      <c r="E41" s="12">
        <f>IF(AND(A41="",C41=""),"",IF(A41="","No order",IF(COUNTIF(Orders!$A$5:$A$64,A41)=0,"No order",IF(ISNUMBER(C41),"","Check amount"))))</f>
        <v/>
      </c>
    </row>
    <row r="42">
      <c r="A42" s="6" t="n"/>
      <c r="B42" s="8" t="n"/>
      <c r="C42" s="7" t="n"/>
      <c r="D42" s="6" t="n"/>
      <c r="E42" s="12">
        <f>IF(AND(A42="",C42=""),"",IF(A42="","No order",IF(COUNTIF(Orders!$A$5:$A$64,A42)=0,"No order",IF(ISNUMBER(C42),"","Check amount"))))</f>
        <v/>
      </c>
    </row>
    <row r="43">
      <c r="A43" s="6" t="n"/>
      <c r="B43" s="8" t="n"/>
      <c r="C43" s="7" t="n"/>
      <c r="D43" s="6" t="n"/>
      <c r="E43" s="12">
        <f>IF(AND(A43="",C43=""),"",IF(A43="","No order",IF(COUNTIF(Orders!$A$5:$A$64,A43)=0,"No order",IF(ISNUMBER(C43),"","Check amount"))))</f>
        <v/>
      </c>
    </row>
    <row r="44">
      <c r="A44" s="6" t="n"/>
      <c r="B44" s="8" t="n"/>
      <c r="C44" s="7" t="n"/>
      <c r="D44" s="6" t="n"/>
      <c r="E44" s="12">
        <f>IF(AND(A44="",C44=""),"",IF(A44="","No order",IF(COUNTIF(Orders!$A$5:$A$64,A44)=0,"No order",IF(ISNUMBER(C44),"","Check amount"))))</f>
        <v/>
      </c>
    </row>
    <row r="45">
      <c r="A45" s="6" t="n"/>
      <c r="B45" s="8" t="n"/>
      <c r="C45" s="7" t="n"/>
      <c r="D45" s="6" t="n"/>
      <c r="E45" s="12">
        <f>IF(AND(A45="",C45=""),"",IF(A45="","No order",IF(COUNTIF(Orders!$A$5:$A$64,A45)=0,"No order",IF(ISNUMBER(C45),"","Check amount"))))</f>
        <v/>
      </c>
    </row>
    <row r="46">
      <c r="A46" s="6" t="n"/>
      <c r="B46" s="8" t="n"/>
      <c r="C46" s="7" t="n"/>
      <c r="D46" s="6" t="n"/>
      <c r="E46" s="12">
        <f>IF(AND(A46="",C46=""),"",IF(A46="","No order",IF(COUNTIF(Orders!$A$5:$A$64,A46)=0,"No order",IF(ISNUMBER(C46),"","Check amount"))))</f>
        <v/>
      </c>
    </row>
    <row r="47">
      <c r="A47" s="6" t="n"/>
      <c r="B47" s="8" t="n"/>
      <c r="C47" s="7" t="n"/>
      <c r="D47" s="6" t="n"/>
      <c r="E47" s="12">
        <f>IF(AND(A47="",C47=""),"",IF(A47="","No order",IF(COUNTIF(Orders!$A$5:$A$64,A47)=0,"No order",IF(ISNUMBER(C47),"","Check amount"))))</f>
        <v/>
      </c>
    </row>
    <row r="48">
      <c r="A48" s="6" t="n"/>
      <c r="B48" s="8" t="n"/>
      <c r="C48" s="7" t="n"/>
      <c r="D48" s="6" t="n"/>
      <c r="E48" s="12">
        <f>IF(AND(A48="",C48=""),"",IF(A48="","No order",IF(COUNTIF(Orders!$A$5:$A$64,A48)=0,"No order",IF(ISNUMBER(C48),"","Check amount"))))</f>
        <v/>
      </c>
    </row>
    <row r="49">
      <c r="A49" s="6" t="n"/>
      <c r="B49" s="8" t="n"/>
      <c r="C49" s="7" t="n"/>
      <c r="D49" s="6" t="n"/>
      <c r="E49" s="12">
        <f>IF(AND(A49="",C49=""),"",IF(A49="","No order",IF(COUNTIF(Orders!$A$5:$A$64,A49)=0,"No order",IF(ISNUMBER(C49),"","Check amount"))))</f>
        <v/>
      </c>
    </row>
    <row r="50">
      <c r="A50" s="6" t="n"/>
      <c r="B50" s="8" t="n"/>
      <c r="C50" s="7" t="n"/>
      <c r="D50" s="6" t="n"/>
      <c r="E50" s="12">
        <f>IF(AND(A50="",C50=""),"",IF(A50="","No order",IF(COUNTIF(Orders!$A$5:$A$64,A50)=0,"No order",IF(ISNUMBER(C50),"","Check amount"))))</f>
        <v/>
      </c>
    </row>
    <row r="51">
      <c r="A51" s="6" t="n"/>
      <c r="B51" s="8" t="n"/>
      <c r="C51" s="7" t="n"/>
      <c r="D51" s="6" t="n"/>
      <c r="E51" s="12">
        <f>IF(AND(A51="",C51=""),"",IF(A51="","No order",IF(COUNTIF(Orders!$A$5:$A$64,A51)=0,"No order",IF(ISNUMBER(C51),"","Check amount"))))</f>
        <v/>
      </c>
    </row>
    <row r="52">
      <c r="A52" s="6" t="n"/>
      <c r="B52" s="8" t="n"/>
      <c r="C52" s="7" t="n"/>
      <c r="D52" s="6" t="n"/>
      <c r="E52" s="12">
        <f>IF(AND(A52="",C52=""),"",IF(A52="","No order",IF(COUNTIF(Orders!$A$5:$A$64,A52)=0,"No order",IF(ISNUMBER(C52),"","Check amount"))))</f>
        <v/>
      </c>
    </row>
    <row r="53">
      <c r="A53" s="6" t="n"/>
      <c r="B53" s="8" t="n"/>
      <c r="C53" s="7" t="n"/>
      <c r="D53" s="6" t="n"/>
      <c r="E53" s="12">
        <f>IF(AND(A53="",C53=""),"",IF(A53="","No order",IF(COUNTIF(Orders!$A$5:$A$64,A53)=0,"No order",IF(ISNUMBER(C53),"","Check amount"))))</f>
        <v/>
      </c>
    </row>
    <row r="54">
      <c r="A54" s="6" t="n"/>
      <c r="B54" s="8" t="n"/>
      <c r="C54" s="7" t="n"/>
      <c r="D54" s="6" t="n"/>
      <c r="E54" s="12">
        <f>IF(AND(A54="",C54=""),"",IF(A54="","No order",IF(COUNTIF(Orders!$A$5:$A$64,A54)=0,"No order",IF(ISNUMBER(C54),"","Check amount"))))</f>
        <v/>
      </c>
    </row>
    <row r="55">
      <c r="A55" s="6" t="n"/>
      <c r="B55" s="8" t="n"/>
      <c r="C55" s="7" t="n"/>
      <c r="D55" s="6" t="n"/>
      <c r="E55" s="12">
        <f>IF(AND(A55="",C55=""),"",IF(A55="","No order",IF(COUNTIF(Orders!$A$5:$A$64,A55)=0,"No order",IF(ISNUMBER(C55),"","Check amount"))))</f>
        <v/>
      </c>
    </row>
    <row r="56">
      <c r="A56" s="6" t="n"/>
      <c r="B56" s="8" t="n"/>
      <c r="C56" s="7" t="n"/>
      <c r="D56" s="6" t="n"/>
      <c r="E56" s="12">
        <f>IF(AND(A56="",C56=""),"",IF(A56="","No order",IF(COUNTIF(Orders!$A$5:$A$64,A56)=0,"No order",IF(ISNUMBER(C56),"","Check amount"))))</f>
        <v/>
      </c>
    </row>
    <row r="57">
      <c r="A57" s="6" t="n"/>
      <c r="B57" s="8" t="n"/>
      <c r="C57" s="7" t="n"/>
      <c r="D57" s="6" t="n"/>
      <c r="E57" s="12">
        <f>IF(AND(A57="",C57=""),"",IF(A57="","No order",IF(COUNTIF(Orders!$A$5:$A$64,A57)=0,"No order",IF(ISNUMBER(C57),"","Check amount"))))</f>
        <v/>
      </c>
    </row>
    <row r="58">
      <c r="A58" s="6" t="n"/>
      <c r="B58" s="8" t="n"/>
      <c r="C58" s="7" t="n"/>
      <c r="D58" s="6" t="n"/>
      <c r="E58" s="12">
        <f>IF(AND(A58="",C58=""),"",IF(A58="","No order",IF(COUNTIF(Orders!$A$5:$A$64,A58)=0,"No order",IF(ISNUMBER(C58),"","Check amount"))))</f>
        <v/>
      </c>
    </row>
    <row r="59">
      <c r="A59" s="6" t="n"/>
      <c r="B59" s="8" t="n"/>
      <c r="C59" s="7" t="n"/>
      <c r="D59" s="6" t="n"/>
      <c r="E59" s="12">
        <f>IF(AND(A59="",C59=""),"",IF(A59="","No order",IF(COUNTIF(Orders!$A$5:$A$64,A59)=0,"No order",IF(ISNUMBER(C59),"","Check amount"))))</f>
        <v/>
      </c>
    </row>
    <row r="60">
      <c r="A60" s="6" t="n"/>
      <c r="B60" s="8" t="n"/>
      <c r="C60" s="7" t="n"/>
      <c r="D60" s="6" t="n"/>
      <c r="E60" s="12">
        <f>IF(AND(A60="",C60=""),"",IF(A60="","No order",IF(COUNTIF(Orders!$A$5:$A$64,A60)=0,"No order",IF(ISNUMBER(C60),"","Check amount"))))</f>
        <v/>
      </c>
    </row>
    <row r="61">
      <c r="A61" s="6" t="n"/>
      <c r="B61" s="8" t="n"/>
      <c r="C61" s="7" t="n"/>
      <c r="D61" s="6" t="n"/>
      <c r="E61" s="12">
        <f>IF(AND(A61="",C61=""),"",IF(A61="","No order",IF(COUNTIF(Orders!$A$5:$A$64,A61)=0,"No order",IF(ISNUMBER(C61),"","Check amount"))))</f>
        <v/>
      </c>
    </row>
    <row r="62">
      <c r="A62" s="6" t="n"/>
      <c r="B62" s="8" t="n"/>
      <c r="C62" s="7" t="n"/>
      <c r="D62" s="6" t="n"/>
      <c r="E62" s="12">
        <f>IF(AND(A62="",C62=""),"",IF(A62="","No order",IF(COUNTIF(Orders!$A$5:$A$64,A62)=0,"No order",IF(ISNUMBER(C62),"","Check amount"))))</f>
        <v/>
      </c>
    </row>
    <row r="63">
      <c r="A63" s="6" t="n"/>
      <c r="B63" s="8" t="n"/>
      <c r="C63" s="7" t="n"/>
      <c r="D63" s="6" t="n"/>
      <c r="E63" s="12">
        <f>IF(AND(A63="",C63=""),"",IF(A63="","No order",IF(COUNTIF(Orders!$A$5:$A$64,A63)=0,"No order",IF(ISNUMBER(C63),"","Check amount"))))</f>
        <v/>
      </c>
    </row>
    <row r="64">
      <c r="A64" s="6" t="n"/>
      <c r="B64" s="8" t="n"/>
      <c r="C64" s="7" t="n"/>
      <c r="D64" s="6" t="n"/>
      <c r="E64" s="12">
        <f>IF(AND(A64="",C64=""),"",IF(A64="","No order",IF(COUNTIF(Orders!$A$5:$A$64,A64)=0,"No order",IF(ISNUMBER(C64),"","Check amount"))))</f>
        <v/>
      </c>
    </row>
    <row r="65">
      <c r="A65" s="6" t="n"/>
      <c r="B65" s="8" t="n"/>
      <c r="C65" s="7" t="n"/>
      <c r="D65" s="6" t="n"/>
      <c r="E65" s="12">
        <f>IF(AND(A65="",C65=""),"",IF(A65="","No order",IF(COUNTIF(Orders!$A$5:$A$64,A65)=0,"No order",IF(ISNUMBER(C65),"","Check amount"))))</f>
        <v/>
      </c>
    </row>
    <row r="66">
      <c r="A66" s="6" t="n"/>
      <c r="B66" s="8" t="n"/>
      <c r="C66" s="7" t="n"/>
      <c r="D66" s="6" t="n"/>
      <c r="E66" s="12">
        <f>IF(AND(A66="",C66=""),"",IF(A66="","No order",IF(COUNTIF(Orders!$A$5:$A$64,A66)=0,"No order",IF(ISNUMBER(C66),"","Check amount"))))</f>
        <v/>
      </c>
    </row>
    <row r="67">
      <c r="A67" s="6" t="n"/>
      <c r="B67" s="8" t="n"/>
      <c r="C67" s="7" t="n"/>
      <c r="D67" s="6" t="n"/>
      <c r="E67" s="12">
        <f>IF(AND(A67="",C67=""),"",IF(A67="","No order",IF(COUNTIF(Orders!$A$5:$A$64,A67)=0,"No order",IF(ISNUMBER(C67),"","Check amount"))))</f>
        <v/>
      </c>
    </row>
    <row r="68">
      <c r="A68" s="6" t="n"/>
      <c r="B68" s="8" t="n"/>
      <c r="C68" s="7" t="n"/>
      <c r="D68" s="6" t="n"/>
      <c r="E68" s="12">
        <f>IF(AND(A68="",C68=""),"",IF(A68="","No order",IF(COUNTIF(Orders!$A$5:$A$64,A68)=0,"No order",IF(ISNUMBER(C68),"","Check amount"))))</f>
        <v/>
      </c>
    </row>
    <row r="69">
      <c r="A69" s="6" t="n"/>
      <c r="B69" s="8" t="n"/>
      <c r="C69" s="7" t="n"/>
      <c r="D69" s="6" t="n"/>
      <c r="E69" s="12">
        <f>IF(AND(A69="",C69=""),"",IF(A69="","No order",IF(COUNTIF(Orders!$A$5:$A$64,A69)=0,"No order",IF(ISNUMBER(C69),"","Check amount"))))</f>
        <v/>
      </c>
    </row>
    <row r="70">
      <c r="A70" s="6" t="n"/>
      <c r="B70" s="8" t="n"/>
      <c r="C70" s="7" t="n"/>
      <c r="D70" s="6" t="n"/>
      <c r="E70" s="12">
        <f>IF(AND(A70="",C70=""),"",IF(A70="","No order",IF(COUNTIF(Orders!$A$5:$A$64,A70)=0,"No order",IF(ISNUMBER(C70),"","Check amount"))))</f>
        <v/>
      </c>
    </row>
    <row r="71">
      <c r="A71" s="6" t="n"/>
      <c r="B71" s="8" t="n"/>
      <c r="C71" s="7" t="n"/>
      <c r="D71" s="6" t="n"/>
      <c r="E71" s="12">
        <f>IF(AND(A71="",C71=""),"",IF(A71="","No order",IF(COUNTIF(Orders!$A$5:$A$64,A71)=0,"No order",IF(ISNUMBER(C71),"","Check amount"))))</f>
        <v/>
      </c>
    </row>
    <row r="72">
      <c r="A72" s="6" t="n"/>
      <c r="B72" s="8" t="n"/>
      <c r="C72" s="7" t="n"/>
      <c r="D72" s="6" t="n"/>
      <c r="E72" s="12">
        <f>IF(AND(A72="",C72=""),"",IF(A72="","No order",IF(COUNTIF(Orders!$A$5:$A$64,A72)=0,"No order",IF(ISNUMBER(C72),"","Check amount"))))</f>
        <v/>
      </c>
    </row>
    <row r="73">
      <c r="A73" s="6" t="n"/>
      <c r="B73" s="8" t="n"/>
      <c r="C73" s="7" t="n"/>
      <c r="D73" s="6" t="n"/>
      <c r="E73" s="12">
        <f>IF(AND(A73="",C73=""),"",IF(A73="","No order",IF(COUNTIF(Orders!$A$5:$A$64,A73)=0,"No order",IF(ISNUMBER(C73),"","Check amount"))))</f>
        <v/>
      </c>
    </row>
    <row r="74">
      <c r="A74" s="6" t="n"/>
      <c r="B74" s="8" t="n"/>
      <c r="C74" s="7" t="n"/>
      <c r="D74" s="6" t="n"/>
      <c r="E74" s="12">
        <f>IF(AND(A74="",C74=""),"",IF(A74="","No order",IF(COUNTIF(Orders!$A$5:$A$64,A74)=0,"No order",IF(ISNUMBER(C74),"","Check amount"))))</f>
        <v/>
      </c>
    </row>
    <row r="75">
      <c r="A75" s="6" t="n"/>
      <c r="B75" s="8" t="n"/>
      <c r="C75" s="7" t="n"/>
      <c r="D75" s="6" t="n"/>
      <c r="E75" s="12">
        <f>IF(AND(A75="",C75=""),"",IF(A75="","No order",IF(COUNTIF(Orders!$A$5:$A$64,A75)=0,"No order",IF(ISNUMBER(C75),"","Check amount"))))</f>
        <v/>
      </c>
    </row>
    <row r="76">
      <c r="A76" s="6" t="n"/>
      <c r="B76" s="8" t="n"/>
      <c r="C76" s="7" t="n"/>
      <c r="D76" s="6" t="n"/>
      <c r="E76" s="12">
        <f>IF(AND(A76="",C76=""),"",IF(A76="","No order",IF(COUNTIF(Orders!$A$5:$A$64,A76)=0,"No order",IF(ISNUMBER(C76),"","Check amount"))))</f>
        <v/>
      </c>
    </row>
    <row r="77">
      <c r="A77" s="6" t="n"/>
      <c r="B77" s="8" t="n"/>
      <c r="C77" s="7" t="n"/>
      <c r="D77" s="6" t="n"/>
      <c r="E77" s="12">
        <f>IF(AND(A77="",C77=""),"",IF(A77="","No order",IF(COUNTIF(Orders!$A$5:$A$64,A77)=0,"No order",IF(ISNUMBER(C77),"","Check amount"))))</f>
        <v/>
      </c>
    </row>
    <row r="78">
      <c r="A78" s="6" t="n"/>
      <c r="B78" s="8" t="n"/>
      <c r="C78" s="7" t="n"/>
      <c r="D78" s="6" t="n"/>
      <c r="E78" s="12">
        <f>IF(AND(A78="",C78=""),"",IF(A78="","No order",IF(COUNTIF(Orders!$A$5:$A$64,A78)=0,"No order",IF(ISNUMBER(C78),"","Check amount"))))</f>
        <v/>
      </c>
    </row>
    <row r="79">
      <c r="A79" s="6" t="n"/>
      <c r="B79" s="8" t="n"/>
      <c r="C79" s="7" t="n"/>
      <c r="D79" s="6" t="n"/>
      <c r="E79" s="12">
        <f>IF(AND(A79="",C79=""),"",IF(A79="","No order",IF(COUNTIF(Orders!$A$5:$A$64,A79)=0,"No order",IF(ISNUMBER(C79),"","Check amount"))))</f>
        <v/>
      </c>
    </row>
    <row r="80">
      <c r="A80" s="6" t="n"/>
      <c r="B80" s="8" t="n"/>
      <c r="C80" s="7" t="n"/>
      <c r="D80" s="6" t="n"/>
      <c r="E80" s="12">
        <f>IF(AND(A80="",C80=""),"",IF(A80="","No order",IF(COUNTIF(Orders!$A$5:$A$64,A80)=0,"No order",IF(ISNUMBER(C80),"","Check amount"))))</f>
        <v/>
      </c>
    </row>
    <row r="81">
      <c r="A81" s="6" t="n"/>
      <c r="B81" s="8" t="n"/>
      <c r="C81" s="7" t="n"/>
      <c r="D81" s="6" t="n"/>
      <c r="E81" s="12">
        <f>IF(AND(A81="",C81=""),"",IF(A81="","No order",IF(COUNTIF(Orders!$A$5:$A$64,A81)=0,"No order",IF(ISNUMBER(C81),"","Check amount"))))</f>
        <v/>
      </c>
    </row>
    <row r="82">
      <c r="A82" s="6" t="n"/>
      <c r="B82" s="8" t="n"/>
      <c r="C82" s="7" t="n"/>
      <c r="D82" s="6" t="n"/>
      <c r="E82" s="12">
        <f>IF(AND(A82="",C82=""),"",IF(A82="","No order",IF(COUNTIF(Orders!$A$5:$A$64,A82)=0,"No order",IF(ISNUMBER(C82),"","Check amount"))))</f>
        <v/>
      </c>
    </row>
    <row r="83">
      <c r="A83" s="6" t="n"/>
      <c r="B83" s="8" t="n"/>
      <c r="C83" s="7" t="n"/>
      <c r="D83" s="6" t="n"/>
      <c r="E83" s="12">
        <f>IF(AND(A83="",C83=""),"",IF(A83="","No order",IF(COUNTIF(Orders!$A$5:$A$64,A83)=0,"No order",IF(ISNUMBER(C83),"","Check amount"))))</f>
        <v/>
      </c>
    </row>
    <row r="84">
      <c r="A84" s="6" t="n"/>
      <c r="B84" s="8" t="n"/>
      <c r="C84" s="7" t="n"/>
      <c r="D84" s="6" t="n"/>
      <c r="E84" s="12">
        <f>IF(AND(A84="",C84=""),"",IF(A84="","No order",IF(COUNTIF(Orders!$A$5:$A$64,A84)=0,"No order",IF(ISNUMBER(C84),"","Check amount"))))</f>
        <v/>
      </c>
    </row>
    <row r="85">
      <c r="A85" s="6" t="n"/>
      <c r="B85" s="8" t="n"/>
      <c r="C85" s="7" t="n"/>
      <c r="D85" s="6" t="n"/>
      <c r="E85" s="12">
        <f>IF(AND(A85="",C85=""),"",IF(A85="","No order",IF(COUNTIF(Orders!$A$5:$A$64,A85)=0,"No order",IF(ISNUMBER(C85),"","Check amount"))))</f>
        <v/>
      </c>
    </row>
    <row r="86">
      <c r="A86" s="6" t="n"/>
      <c r="B86" s="8" t="n"/>
      <c r="C86" s="7" t="n"/>
      <c r="D86" s="6" t="n"/>
      <c r="E86" s="12">
        <f>IF(AND(A86="",C86=""),"",IF(A86="","No order",IF(COUNTIF(Orders!$A$5:$A$64,A86)=0,"No order",IF(ISNUMBER(C86),"","Check amount"))))</f>
        <v/>
      </c>
    </row>
    <row r="87">
      <c r="A87" s="6" t="n"/>
      <c r="B87" s="8" t="n"/>
      <c r="C87" s="7" t="n"/>
      <c r="D87" s="6" t="n"/>
      <c r="E87" s="12">
        <f>IF(AND(A87="",C87=""),"",IF(A87="","No order",IF(COUNTIF(Orders!$A$5:$A$64,A87)=0,"No order",IF(ISNUMBER(C87),"","Check amount"))))</f>
        <v/>
      </c>
    </row>
    <row r="88">
      <c r="A88" s="6" t="n"/>
      <c r="B88" s="8" t="n"/>
      <c r="C88" s="7" t="n"/>
      <c r="D88" s="6" t="n"/>
      <c r="E88" s="12">
        <f>IF(AND(A88="",C88=""),"",IF(A88="","No order",IF(COUNTIF(Orders!$A$5:$A$64,A88)=0,"No order",IF(ISNUMBER(C88),"","Check amount"))))</f>
        <v/>
      </c>
    </row>
    <row r="89">
      <c r="A89" s="6" t="n"/>
      <c r="B89" s="8" t="n"/>
      <c r="C89" s="7" t="n"/>
      <c r="D89" s="6" t="n"/>
      <c r="E89" s="12">
        <f>IF(AND(A89="",C89=""),"",IF(A89="","No order",IF(COUNTIF(Orders!$A$5:$A$64,A89)=0,"No order",IF(ISNUMBER(C89),"","Check amount"))))</f>
        <v/>
      </c>
    </row>
    <row r="90">
      <c r="A90" s="6" t="n"/>
      <c r="B90" s="8" t="n"/>
      <c r="C90" s="7" t="n"/>
      <c r="D90" s="6" t="n"/>
      <c r="E90" s="12">
        <f>IF(AND(A90="",C90=""),"",IF(A90="","No order",IF(COUNTIF(Orders!$A$5:$A$64,A90)=0,"No order",IF(ISNUMBER(C90),"","Check amount"))))</f>
        <v/>
      </c>
    </row>
    <row r="91">
      <c r="A91" s="6" t="n"/>
      <c r="B91" s="8" t="n"/>
      <c r="C91" s="7" t="n"/>
      <c r="D91" s="6" t="n"/>
      <c r="E91" s="12">
        <f>IF(AND(A91="",C91=""),"",IF(A91="","No order",IF(COUNTIF(Orders!$A$5:$A$64,A91)=0,"No order",IF(ISNUMBER(C91),"","Check amount"))))</f>
        <v/>
      </c>
    </row>
    <row r="92">
      <c r="A92" s="6" t="n"/>
      <c r="B92" s="8" t="n"/>
      <c r="C92" s="7" t="n"/>
      <c r="D92" s="6" t="n"/>
      <c r="E92" s="12">
        <f>IF(AND(A92="",C92=""),"",IF(A92="","No order",IF(COUNTIF(Orders!$A$5:$A$64,A92)=0,"No order",IF(ISNUMBER(C92),"","Check amount"))))</f>
        <v/>
      </c>
    </row>
    <row r="93">
      <c r="A93" s="6" t="n"/>
      <c r="B93" s="8" t="n"/>
      <c r="C93" s="7" t="n"/>
      <c r="D93" s="6" t="n"/>
      <c r="E93" s="12">
        <f>IF(AND(A93="",C93=""),"",IF(A93="","No order",IF(COUNTIF(Orders!$A$5:$A$64,A93)=0,"No order",IF(ISNUMBER(C93),"","Check amount"))))</f>
        <v/>
      </c>
    </row>
    <row r="94">
      <c r="A94" s="6" t="n"/>
      <c r="B94" s="8" t="n"/>
      <c r="C94" s="7" t="n"/>
      <c r="D94" s="6" t="n"/>
      <c r="E94" s="12">
        <f>IF(AND(A94="",C94=""),"",IF(A94="","No order",IF(COUNTIF(Orders!$A$5:$A$64,A94)=0,"No order",IF(ISNUMBER(C94),"","Check amount"))))</f>
        <v/>
      </c>
    </row>
    <row r="95">
      <c r="A95" s="6" t="n"/>
      <c r="B95" s="8" t="n"/>
      <c r="C95" s="7" t="n"/>
      <c r="D95" s="6" t="n"/>
      <c r="E95" s="12">
        <f>IF(AND(A95="",C95=""),"",IF(A95="","No order",IF(COUNTIF(Orders!$A$5:$A$64,A95)=0,"No order",IF(ISNUMBER(C95),"","Check amount"))))</f>
        <v/>
      </c>
    </row>
    <row r="96">
      <c r="A96" s="6" t="n"/>
      <c r="B96" s="8" t="n"/>
      <c r="C96" s="7" t="n"/>
      <c r="D96" s="6" t="n"/>
      <c r="E96" s="12">
        <f>IF(AND(A96="",C96=""),"",IF(A96="","No order",IF(COUNTIF(Orders!$A$5:$A$64,A96)=0,"No order",IF(ISNUMBER(C96),"","Check amount"))))</f>
        <v/>
      </c>
    </row>
    <row r="97">
      <c r="A97" s="6" t="n"/>
      <c r="B97" s="8" t="n"/>
      <c r="C97" s="7" t="n"/>
      <c r="D97" s="6" t="n"/>
      <c r="E97" s="12">
        <f>IF(AND(A97="",C97=""),"",IF(A97="","No order",IF(COUNTIF(Orders!$A$5:$A$64,A97)=0,"No order",IF(ISNUMBER(C97),"","Check amount"))))</f>
        <v/>
      </c>
    </row>
    <row r="98">
      <c r="A98" s="6" t="n"/>
      <c r="B98" s="8" t="n"/>
      <c r="C98" s="7" t="n"/>
      <c r="D98" s="6" t="n"/>
      <c r="E98" s="12">
        <f>IF(AND(A98="",C98=""),"",IF(A98="","No order",IF(COUNTIF(Orders!$A$5:$A$64,A98)=0,"No order",IF(ISNUMBER(C98),"","Check amount"))))</f>
        <v/>
      </c>
    </row>
    <row r="99">
      <c r="A99" s="6" t="n"/>
      <c r="B99" s="8" t="n"/>
      <c r="C99" s="7" t="n"/>
      <c r="D99" s="6" t="n"/>
      <c r="E99" s="12">
        <f>IF(AND(A99="",C99=""),"",IF(A99="","No order",IF(COUNTIF(Orders!$A$5:$A$64,A99)=0,"No order",IF(ISNUMBER(C99),"","Check amount"))))</f>
        <v/>
      </c>
    </row>
    <row r="100">
      <c r="A100" s="6" t="n"/>
      <c r="B100" s="8" t="n"/>
      <c r="C100" s="7" t="n"/>
      <c r="D100" s="6" t="n"/>
      <c r="E100" s="12">
        <f>IF(AND(A100="",C100=""),"",IF(A100="","No order",IF(COUNTIF(Orders!$A$5:$A$64,A100)=0,"No order",IF(ISNUMBER(C100),"","Check amount"))))</f>
        <v/>
      </c>
    </row>
    <row r="101">
      <c r="A101" s="6" t="n"/>
      <c r="B101" s="8" t="n"/>
      <c r="C101" s="7" t="n"/>
      <c r="D101" s="6" t="n"/>
      <c r="E101" s="12">
        <f>IF(AND(A101="",C101=""),"",IF(A101="","No order",IF(COUNTIF(Orders!$A$5:$A$64,A101)=0,"No order",IF(ISNUMBER(C101),"","Check amount"))))</f>
        <v/>
      </c>
    </row>
    <row r="102">
      <c r="A102" s="6" t="n"/>
      <c r="B102" s="8" t="n"/>
      <c r="C102" s="7" t="n"/>
      <c r="D102" s="6" t="n"/>
      <c r="E102" s="12">
        <f>IF(AND(A102="",C102=""),"",IF(A102="","No order",IF(COUNTIF(Orders!$A$5:$A$64,A102)=0,"No order",IF(ISNUMBER(C102),"","Check amount"))))</f>
        <v/>
      </c>
    </row>
    <row r="103">
      <c r="A103" s="6" t="n"/>
      <c r="B103" s="8" t="n"/>
      <c r="C103" s="7" t="n"/>
      <c r="D103" s="6" t="n"/>
      <c r="E103" s="12">
        <f>IF(AND(A103="",C103=""),"",IF(A103="","No order",IF(COUNTIF(Orders!$A$5:$A$64,A103)=0,"No order",IF(ISNUMBER(C103),"","Check amount"))))</f>
        <v/>
      </c>
    </row>
    <row r="104">
      <c r="A104" s="6" t="n"/>
      <c r="B104" s="8" t="n"/>
      <c r="C104" s="7" t="n"/>
      <c r="D104" s="6" t="n"/>
      <c r="E104" s="12">
        <f>IF(AND(A104="",C104=""),"",IF(A104="","No order",IF(COUNTIF(Orders!$A$5:$A$64,A104)=0,"No order",IF(ISNUMBER(C104),"","Check amount"))))</f>
        <v/>
      </c>
    </row>
  </sheetData>
  <conditionalFormatting sqref="A5:E104">
    <cfRule type="expression" priority="1" dxfId="0">
      <formula>$E5&lt;&gt;""</formula>
    </cfRule>
  </conditionalFormatting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2" t="inlineStr">
        <is>
          <t>As-of date</t>
        </is>
      </c>
      <c r="B1" s="8" t="n">
        <v>46326</v>
      </c>
    </row>
    <row r="2">
      <c r="A2" s="2" t="inlineStr">
        <is>
          <t>Settings check</t>
        </is>
      </c>
      <c r="B2" s="12">
        <f>IF(ISNUMBER(B1),"OK","Type a real date in the yellow cell")</f>
        <v/>
      </c>
    </row>
    <row r="4">
      <c r="A4" s="1" t="inlineStr">
        <is>
          <t>The as-of date is typed on purpose, so the Past due labels do not change when the file is opened later.</t>
        </is>
      </c>
    </row>
  </sheetData>
  <conditionalFormatting sqref="B2">
    <cfRule type="expression" priority="1" dxfId="0">
      <formula>$B$2&lt;&gt;"OK"</formula>
    </cfRule>
  </conditionalFormatting>
  <pageMargins left="0.75" right="0.75" top="1" bottom="1" header="0.5" footer="0.5"/>
  <pageSetup orientation="portrait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Tidy Tabs: Track Deposits and Balance Due on Custom Orders</t>
        </is>
      </c>
    </row>
    <row r="2">
      <c r="A2" s="14" t="inlineStr"/>
    </row>
    <row r="3">
      <c r="A3" s="14" t="inlineStr">
        <is>
          <t>1. Settings tab: type the as-of date in B1 (yellow, 10/31/2026). B2 shows OK when B1 is a real date.</t>
        </is>
      </c>
    </row>
    <row r="4">
      <c r="A4" s="14" t="inlineStr">
        <is>
          <t>2. Orders tab: one row per order in A5:E64 (yellow): order number, customer, item, order total, due date. The sample has 12 fictional orders.</t>
        </is>
      </c>
    </row>
    <row r="5">
      <c r="A5" s="14" t="inlineStr">
        <is>
          <t>3. Payments tab: one row per payment in A5:D104 (yellow): order number, date, amount, method. The sample has 20 fictional payments. Column E says No order when the order number is not on the Orders tab, or Check amount when the amount is text.</t>
        </is>
      </c>
    </row>
    <row r="6">
      <c r="A6" s="14" t="inlineStr">
        <is>
          <t>4. Paid so far, Orders F5: =IF(A5="","",SUMIF(Payments!$A$5:$A$104,A5,Payments!$C$5:$C$104)). SUMIF ignores capital letters but not extra spaces, and it skips amounts stored as text.</t>
        </is>
      </c>
    </row>
    <row r="7">
      <c r="A7" s="14" t="inlineStr">
        <is>
          <t>5. Balance due, G5: =ROUND(D5-F5,2). Negative means the customer paid more than the order total.</t>
        </is>
      </c>
    </row>
    <row r="8">
      <c r="A8" s="14" t="inlineStr">
        <is>
          <t>6. Status, H5: Overpaid, Paid in full, Past due (balance above $0.00 and the due date is before the as-of date), Deposit received or Awaiting deposit. A due date equal to the as-of date is not Past due.</t>
        </is>
      </c>
    </row>
    <row r="9">
      <c r="A9" s="14" t="inlineStr">
        <is>
          <t>7. Deposit percent, I5: =ROUND(F5/D5,4) shown as a percent.</t>
        </is>
      </c>
    </row>
    <row r="10">
      <c r="A10" s="14" t="inlineStr">
        <is>
          <t>8. Summary, K2:L11. L11 is the CHECK: it shows OK when ordered minus received equals the balance due, every payment has an order and a numeric amount, no order number is listed twice and the settings are valid.</t>
        </is>
      </c>
    </row>
    <row r="11">
      <c r="A11" s="14" t="inlineStr">
        <is>
          <t>9. To make Past due move each day, type =TODAY() in Settings B1. The statuses then change when you open the file later.</t>
        </is>
      </c>
    </row>
    <row r="12">
      <c r="A12" s="14" t="inlineStr">
        <is>
          <t>10. This sheet only does arithmetic. It does not say whether a deposit is refundable or what a contract requires.</t>
        </is>
      </c>
    </row>
    <row r="13">
      <c r="A13" s="14" t="inlineStr"/>
    </row>
    <row r="14">
      <c r="A14" s="14" t="inlineStr">
        <is>
          <t>Customers, orders and amounts are fictional. Checked in LibreOffice Calc only; not opened in Excel or Google Sheets.</t>
        </is>
      </c>
    </row>
    <row r="15">
      <c r="A15" s="14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2026-10-30T07:44:43Z</dcterms:created>
  <dcterms:modified xmlns:dcterms="http://purl.org/dc/terms/" xmlns:xsi="http://www.w3.org/2001/XMLSchema-instance" xsi:type="dcterms:W3CDTF">2026-10-30T07:44:43Z</dcterms:modified>
</cp:coreProperties>
</file>