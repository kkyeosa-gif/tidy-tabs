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ers" sheetId="1" state="visible" r:id="rId1"/>
    <sheet xmlns:r="http://schemas.openxmlformats.org/officeDocument/2006/relationships" name="Cutoffs" sheetId="2" state="visible" r:id="rId2"/>
    <sheet xmlns:r="http://schemas.openxmlformats.org/officeDocument/2006/relationships" name="How to use" sheetId="3" state="visible" r:id="rId3"/>
  </sheets>
  <definedNames>
    <definedName name="_xlnm.Print_Titles" localSheetId="0">'Customers'!$1:$1</definedName>
    <definedName name="_xlnm.Print_Area" localSheetId="0">'Customers'!$A$1:$J$40</definedName>
    <definedName name="_xlnm.Print_Titles" localSheetId="1">'Cutoffs'!$1:$1</definedName>
  </definedNames>
  <calcPr calcId="124519" fullCalcOnLoad="1"/>
</workbook>
</file>

<file path=xl/styles.xml><?xml version="1.0" encoding="utf-8"?>
<styleSheet xmlns="http://schemas.openxmlformats.org/spreadsheetml/2006/main">
  <numFmts count="1">
    <numFmt numFmtId="164" formatCode="&quot;$&quot;#,##0.00"/>
  </numFmts>
  <fonts count="5">
    <font>
      <name val="Calibri"/>
      <family val="2"/>
      <color theme="1"/>
      <sz val="11"/>
      <scheme val="minor"/>
    </font>
    <font>
      <i val="1"/>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2" fillId="2" borderId="0" pivotButton="0" quotePrefix="0" xfId="0"/>
    <xf numFmtId="0" fontId="0" fillId="3" borderId="0" pivotButton="0" quotePrefix="0" xfId="0"/>
    <xf numFmtId="164" fontId="0" fillId="3" borderId="0" pivotButton="0" quotePrefix="0" xfId="0"/>
    <xf numFmtId="0" fontId="0" fillId="4" borderId="0" applyAlignment="1" pivotButton="0" quotePrefix="0" xfId="0">
      <alignment horizontal="right"/>
    </xf>
    <xf numFmtId="164" fontId="0" fillId="4" borderId="0" applyAlignment="1" pivotButton="0" quotePrefix="0" xfId="0">
      <alignment horizontal="right"/>
    </xf>
    <xf numFmtId="0" fontId="0" fillId="4" borderId="0" pivotButton="0" quotePrefix="0" xfId="0"/>
    <xf numFmtId="164" fontId="0" fillId="4" borderId="0" pivotButton="0" quotePrefix="0" xfId="0"/>
    <xf numFmtId="0" fontId="3" fillId="0" borderId="0" pivotButton="0" quotePrefix="0" xfId="0"/>
    <xf numFmtId="1" fontId="0" fillId="4" borderId="0" applyAlignment="1" pivotButton="0" quotePrefix="0" xfId="0">
      <alignment horizontal="right"/>
    </xf>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4">
    <dxf>
      <fill>
        <patternFill patternType="solid">
          <fgColor rgb="00FFE699"/>
        </patternFill>
      </fill>
    </dxf>
    <dxf>
      <fill>
        <patternFill patternType="solid">
          <fgColor rgb="00D9D9D9"/>
        </patternFill>
      </fill>
    </dxf>
    <dxf>
      <fill>
        <patternFill patternType="solid">
          <fgColor rgb="00F4CCAC"/>
        </patternFill>
      </fill>
    </dxf>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104"/>
  <sheetViews>
    <sheetView workbookViewId="0">
      <pane ySplit="4" topLeftCell="A5" activePane="bottomLeft" state="frozen"/>
      <selection pane="bottomLeft" activeCell="A1" sqref="A1"/>
    </sheetView>
  </sheetViews>
  <sheetFormatPr baseColWidth="8" defaultRowHeight="15"/>
  <cols>
    <col width="20" customWidth="1" min="1" max="1"/>
    <col width="14" customWidth="1" min="2" max="2"/>
    <col width="15" customWidth="1" min="3" max="3"/>
    <col width="12" customWidth="1" min="4" max="4"/>
    <col width="14" customWidth="1" min="5" max="5"/>
    <col width="16" customWidth="1" min="6" max="6"/>
    <col width="3" customWidth="1" min="7" max="7"/>
    <col width="40" customWidth="1" min="8" max="8"/>
    <col width="12" customWidth="1" min="9" max="9"/>
    <col width="16" customWidth="1" min="10" max="10"/>
  </cols>
  <sheetData>
    <row r="1">
      <c r="A1" s="1" t="inlineStr">
        <is>
          <t>Fictional customers. Change the cutoffs on the Cutoffs tab; labels and dollars-to-next-level update.</t>
        </is>
      </c>
    </row>
    <row r="4" ht="32" customHeight="1">
      <c r="A4" s="2" t="inlineStr">
        <is>
          <t>Customer</t>
        </is>
      </c>
      <c r="B4" s="2" t="inlineStr">
        <is>
          <t>City</t>
        </is>
      </c>
      <c r="C4" s="2" t="inlineStr">
        <is>
          <t>Lifetime spend</t>
        </is>
      </c>
      <c r="D4" s="2" t="inlineStr">
        <is>
          <t>Label</t>
        </is>
      </c>
      <c r="E4" s="2" t="inlineStr">
        <is>
          <t>To next label</t>
        </is>
      </c>
      <c r="F4" s="2" t="inlineStr">
        <is>
          <t>Label, nested IF</t>
        </is>
      </c>
      <c r="H4" s="3" t="inlineStr">
        <is>
          <t>Label</t>
        </is>
      </c>
      <c r="I4" s="3" t="inlineStr">
        <is>
          <t>Customers</t>
        </is>
      </c>
      <c r="J4" s="3" t="inlineStr">
        <is>
          <t>Spend</t>
        </is>
      </c>
    </row>
    <row r="5">
      <c r="A5" s="4" t="inlineStr">
        <is>
          <t>Alma R.</t>
        </is>
      </c>
      <c r="B5" s="4" t="inlineStr">
        <is>
          <t>Denver</t>
        </is>
      </c>
      <c r="C5" s="5" t="n">
        <v>1240.5</v>
      </c>
      <c r="D5" s="6">
        <f>IF(C5="","",IF(Cutoffs!$B$4&lt;&gt;"OK","Check cutoffs",IF(OR(NOT(ISNUMBER(C5)),C5&lt;0),"Check spend",_xlfn.IFS(C5&gt;=Cutoffs!$B$3,"Gold",C5&gt;=Cutoffs!$B$2,"Silver",TRUE,"Bronze"))))</f>
        <v/>
      </c>
      <c r="E5" s="7">
        <f>IF(OR(D5="Silver",D5="Bronze"),ROUND(IF(D5="Silver",Cutoffs!$B$3,Cutoffs!$B$2)-C5,2),"")</f>
        <v/>
      </c>
      <c r="F5" s="6">
        <f>IF(C5="","",IF(Cutoffs!$B$4&lt;&gt;"OK","Check cutoffs",IF(OR(NOT(ISNUMBER(C5)),C5&lt;0),"Check spend",IF(C5&gt;=Cutoffs!$B$3,"Gold",IF(C5&gt;=Cutoffs!$B$2,"Silver","Bronze")))))</f>
        <v/>
      </c>
      <c r="H5" t="inlineStr">
        <is>
          <t>Gold</t>
        </is>
      </c>
      <c r="I5" s="8">
        <f>COUNTIF(D5:D104,H5)</f>
        <v/>
      </c>
      <c r="J5" s="9">
        <f>SUMIF(D5:D104,H5,C5:C104)</f>
        <v/>
      </c>
    </row>
    <row r="6">
      <c r="A6" s="4" t="inlineStr">
        <is>
          <t>Ben T.</t>
        </is>
      </c>
      <c r="B6" s="4" t="inlineStr">
        <is>
          <t>Tulsa</t>
        </is>
      </c>
      <c r="C6" s="5" t="n">
        <v>85</v>
      </c>
      <c r="D6" s="6">
        <f>IF(C6="","",IF(Cutoffs!$B$4&lt;&gt;"OK","Check cutoffs",IF(OR(NOT(ISNUMBER(C6)),C6&lt;0),"Check spend",_xlfn.IFS(C6&gt;=Cutoffs!$B$3,"Gold",C6&gt;=Cutoffs!$B$2,"Silver",TRUE,"Bronze"))))</f>
        <v/>
      </c>
      <c r="E6" s="7">
        <f>IF(OR(D6="Silver",D6="Bronze"),ROUND(IF(D6="Silver",Cutoffs!$B$3,Cutoffs!$B$2)-C6,2),"")</f>
        <v/>
      </c>
      <c r="F6" s="6">
        <f>IF(C6="","",IF(Cutoffs!$B$4&lt;&gt;"OK","Check cutoffs",IF(OR(NOT(ISNUMBER(C6)),C6&lt;0),"Check spend",IF(C6&gt;=Cutoffs!$B$3,"Gold",IF(C6&gt;=Cutoffs!$B$2,"Silver","Bronze")))))</f>
        <v/>
      </c>
      <c r="H6" t="inlineStr">
        <is>
          <t>Silver</t>
        </is>
      </c>
      <c r="I6" s="8">
        <f>COUNTIF(D5:D104,H6)</f>
        <v/>
      </c>
      <c r="J6" s="9">
        <f>SUMIF(D5:D104,H6,C5:C104)</f>
        <v/>
      </c>
    </row>
    <row r="7">
      <c r="A7" s="4" t="inlineStr">
        <is>
          <t>Cora L.</t>
        </is>
      </c>
      <c r="B7" s="4" t="inlineStr">
        <is>
          <t>Austin</t>
        </is>
      </c>
      <c r="C7" s="5" t="n">
        <v>500</v>
      </c>
      <c r="D7" s="6">
        <f>IF(C7="","",IF(Cutoffs!$B$4&lt;&gt;"OK","Check cutoffs",IF(OR(NOT(ISNUMBER(C7)),C7&lt;0),"Check spend",_xlfn.IFS(C7&gt;=Cutoffs!$B$3,"Gold",C7&gt;=Cutoffs!$B$2,"Silver",TRUE,"Bronze"))))</f>
        <v/>
      </c>
      <c r="E7" s="7">
        <f>IF(OR(D7="Silver",D7="Bronze"),ROUND(IF(D7="Silver",Cutoffs!$B$3,Cutoffs!$B$2)-C7,2),"")</f>
        <v/>
      </c>
      <c r="F7" s="6">
        <f>IF(C7="","",IF(Cutoffs!$B$4&lt;&gt;"OK","Check cutoffs",IF(OR(NOT(ISNUMBER(C7)),C7&lt;0),"Check spend",IF(C7&gt;=Cutoffs!$B$3,"Gold",IF(C7&gt;=Cutoffs!$B$2,"Silver","Bronze")))))</f>
        <v/>
      </c>
      <c r="H7" t="inlineStr">
        <is>
          <t>Bronze</t>
        </is>
      </c>
      <c r="I7" s="8">
        <f>COUNTIF(D5:D104,H7)</f>
        <v/>
      </c>
      <c r="J7" s="9">
        <f>SUMIF(D5:D104,H7,C5:C104)</f>
        <v/>
      </c>
    </row>
    <row r="8">
      <c r="A8" s="4" t="inlineStr">
        <is>
          <t>Dev K.</t>
        </is>
      </c>
      <c r="B8" s="4" t="inlineStr">
        <is>
          <t>Boise</t>
        </is>
      </c>
      <c r="C8" s="5" t="n">
        <v>499.99</v>
      </c>
      <c r="D8" s="6">
        <f>IF(C8="","",IF(Cutoffs!$B$4&lt;&gt;"OK","Check cutoffs",IF(OR(NOT(ISNUMBER(C8)),C8&lt;0),"Check spend",_xlfn.IFS(C8&gt;=Cutoffs!$B$3,"Gold",C8&gt;=Cutoffs!$B$2,"Silver",TRUE,"Bronze"))))</f>
        <v/>
      </c>
      <c r="E8" s="7">
        <f>IF(OR(D8="Silver",D8="Bronze"),ROUND(IF(D8="Silver",Cutoffs!$B$3,Cutoffs!$B$2)-C8,2),"")</f>
        <v/>
      </c>
      <c r="F8" s="6">
        <f>IF(C8="","",IF(Cutoffs!$B$4&lt;&gt;"OK","Check cutoffs",IF(OR(NOT(ISNUMBER(C8)),C8&lt;0),"Check spend",IF(C8&gt;=Cutoffs!$B$3,"Gold",IF(C8&gt;=Cutoffs!$B$2,"Silver","Bronze")))))</f>
        <v/>
      </c>
      <c r="H8" s="10" t="inlineStr">
        <is>
          <t>Rows that need a look (Check ...)</t>
        </is>
      </c>
      <c r="I8" s="11">
        <f>COUNTIF(D5:D104,"Check*")</f>
        <v/>
      </c>
    </row>
    <row r="9">
      <c r="A9" s="4" t="inlineStr">
        <is>
          <t>Elena M.</t>
        </is>
      </c>
      <c r="B9" s="4" t="inlineStr">
        <is>
          <t>Reno</t>
        </is>
      </c>
      <c r="C9" s="5" t="n">
        <v>1000</v>
      </c>
      <c r="D9" s="6">
        <f>IF(C9="","",IF(Cutoffs!$B$4&lt;&gt;"OK","Check cutoffs",IF(OR(NOT(ISNUMBER(C9)),C9&lt;0),"Check spend",_xlfn.IFS(C9&gt;=Cutoffs!$B$3,"Gold",C9&gt;=Cutoffs!$B$2,"Silver",TRUE,"Bronze"))))</f>
        <v/>
      </c>
      <c r="E9" s="7">
        <f>IF(OR(D9="Silver",D9="Bronze"),ROUND(IF(D9="Silver",Cutoffs!$B$3,Cutoffs!$B$2)-C9,2),"")</f>
        <v/>
      </c>
      <c r="F9" s="6">
        <f>IF(C9="","",IF(Cutoffs!$B$4&lt;&gt;"OK","Check cutoffs",IF(OR(NOT(ISNUMBER(C9)),C9&lt;0),"Check spend",IF(C9&gt;=Cutoffs!$B$3,"Gold",IF(C9&gt;=Cutoffs!$B$2,"Silver","Bronze")))))</f>
        <v/>
      </c>
      <c r="H9" s="10" t="inlineStr">
        <is>
          <t>Customers with a spend entered</t>
        </is>
      </c>
      <c r="I9" s="11">
        <f>COUNTA(C5:C104)</f>
        <v/>
      </c>
    </row>
    <row r="10">
      <c r="A10" s="4" t="inlineStr">
        <is>
          <t>Felix O.</t>
        </is>
      </c>
      <c r="B10" s="4" t="inlineStr">
        <is>
          <t>Omaha</t>
        </is>
      </c>
      <c r="C10" s="5" t="n">
        <v>310.25</v>
      </c>
      <c r="D10" s="6">
        <f>IF(C10="","",IF(Cutoffs!$B$4&lt;&gt;"OK","Check cutoffs",IF(OR(NOT(ISNUMBER(C10)),C10&lt;0),"Check spend",_xlfn.IFS(C10&gt;=Cutoffs!$B$3,"Gold",C10&gt;=Cutoffs!$B$2,"Silver",TRUE,"Bronze"))))</f>
        <v/>
      </c>
      <c r="E10" s="7">
        <f>IF(OR(D10="Silver",D10="Bronze"),ROUND(IF(D10="Silver",Cutoffs!$B$3,Cutoffs!$B$2)-C10,2),"")</f>
        <v/>
      </c>
      <c r="F10" s="6">
        <f>IF(C10="","",IF(Cutoffs!$B$4&lt;&gt;"OK","Check cutoffs",IF(OR(NOT(ISNUMBER(C10)),C10&lt;0),"Check spend",IF(C10&gt;=Cutoffs!$B$3,"Gold",IF(C10&gt;=Cutoffs!$B$2,"Silver","Bronze")))))</f>
        <v/>
      </c>
      <c r="H10" s="10" t="inlineStr">
        <is>
          <t>Check: counts add up, IFS agrees with nested IF</t>
        </is>
      </c>
      <c r="I10" s="6">
        <f>IF(AND(Cutoffs!B4="OK",I5+I6+I7+I8=I9,SUMPRODUCT(--(D5:D104&lt;&gt;F5:F104))=0,COUNTA(C105:C500)=0),"OK","CHECK")</f>
        <v/>
      </c>
    </row>
    <row r="11">
      <c r="A11" s="4" t="inlineStr">
        <is>
          <t>Grace H.</t>
        </is>
      </c>
      <c r="B11" s="4" t="inlineStr">
        <is>
          <t>Mesa</t>
        </is>
      </c>
      <c r="C11" s="5" t="n">
        <v>2210</v>
      </c>
      <c r="D11" s="6">
        <f>IF(C11="","",IF(Cutoffs!$B$4&lt;&gt;"OK","Check cutoffs",IF(OR(NOT(ISNUMBER(C11)),C11&lt;0),"Check spend",_xlfn.IFS(C11&gt;=Cutoffs!$B$3,"Gold",C11&gt;=Cutoffs!$B$2,"Silver",TRUE,"Bronze"))))</f>
        <v/>
      </c>
      <c r="E11" s="7">
        <f>IF(OR(D11="Silver",D11="Bronze"),ROUND(IF(D11="Silver",Cutoffs!$B$3,Cutoffs!$B$2)-C11,2),"")</f>
        <v/>
      </c>
      <c r="F11" s="6">
        <f>IF(C11="","",IF(Cutoffs!$B$4&lt;&gt;"OK","Check cutoffs",IF(OR(NOT(ISNUMBER(C11)),C11&lt;0),"Check spend",IF(C11&gt;=Cutoffs!$B$3,"Gold",IF(C11&gt;=Cutoffs!$B$2,"Silver","Bronze")))))</f>
        <v/>
      </c>
    </row>
    <row r="12">
      <c r="A12" s="4" t="inlineStr">
        <is>
          <t>Hugo P.</t>
        </is>
      </c>
      <c r="B12" s="4" t="inlineStr">
        <is>
          <t>Provo</t>
        </is>
      </c>
      <c r="C12" s="5" t="n">
        <v>0</v>
      </c>
      <c r="D12" s="6">
        <f>IF(C12="","",IF(Cutoffs!$B$4&lt;&gt;"OK","Check cutoffs",IF(OR(NOT(ISNUMBER(C12)),C12&lt;0),"Check spend",_xlfn.IFS(C12&gt;=Cutoffs!$B$3,"Gold",C12&gt;=Cutoffs!$B$2,"Silver",TRUE,"Bronze"))))</f>
        <v/>
      </c>
      <c r="E12" s="7">
        <f>IF(OR(D12="Silver",D12="Bronze"),ROUND(IF(D12="Silver",Cutoffs!$B$3,Cutoffs!$B$2)-C12,2),"")</f>
        <v/>
      </c>
      <c r="F12" s="6">
        <f>IF(C12="","",IF(Cutoffs!$B$4&lt;&gt;"OK","Check cutoffs",IF(OR(NOT(ISNUMBER(C12)),C12&lt;0),"Check spend",IF(C12&gt;=Cutoffs!$B$3,"Gold",IF(C12&gt;=Cutoffs!$B$2,"Silver","Bronze")))))</f>
        <v/>
      </c>
    </row>
    <row r="13">
      <c r="A13" s="4" t="inlineStr">
        <is>
          <t>Iris W.</t>
        </is>
      </c>
      <c r="B13" s="4" t="inlineStr">
        <is>
          <t>Salem</t>
        </is>
      </c>
      <c r="C13" s="5" t="n">
        <v>640.75</v>
      </c>
      <c r="D13" s="6">
        <f>IF(C13="","",IF(Cutoffs!$B$4&lt;&gt;"OK","Check cutoffs",IF(OR(NOT(ISNUMBER(C13)),C13&lt;0),"Check spend",_xlfn.IFS(C13&gt;=Cutoffs!$B$3,"Gold",C13&gt;=Cutoffs!$B$2,"Silver",TRUE,"Bronze"))))</f>
        <v/>
      </c>
      <c r="E13" s="7">
        <f>IF(OR(D13="Silver",D13="Bronze"),ROUND(IF(D13="Silver",Cutoffs!$B$3,Cutoffs!$B$2)-C13,2),"")</f>
        <v/>
      </c>
      <c r="F13" s="6">
        <f>IF(C13="","",IF(Cutoffs!$B$4&lt;&gt;"OK","Check cutoffs",IF(OR(NOT(ISNUMBER(C13)),C13&lt;0),"Check spend",IF(C13&gt;=Cutoffs!$B$3,"Gold",IF(C13&gt;=Cutoffs!$B$2,"Silver","Bronze")))))</f>
        <v/>
      </c>
    </row>
    <row r="14">
      <c r="A14" s="4" t="inlineStr">
        <is>
          <t>Jonah B.</t>
        </is>
      </c>
      <c r="B14" s="4" t="inlineStr">
        <is>
          <t>Fargo</t>
        </is>
      </c>
      <c r="C14" s="5" t="n">
        <v>975.4</v>
      </c>
      <c r="D14" s="6">
        <f>IF(C14="","",IF(Cutoffs!$B$4&lt;&gt;"OK","Check cutoffs",IF(OR(NOT(ISNUMBER(C14)),C14&lt;0),"Check spend",_xlfn.IFS(C14&gt;=Cutoffs!$B$3,"Gold",C14&gt;=Cutoffs!$B$2,"Silver",TRUE,"Bronze"))))</f>
        <v/>
      </c>
      <c r="E14" s="7">
        <f>IF(OR(D14="Silver",D14="Bronze"),ROUND(IF(D14="Silver",Cutoffs!$B$3,Cutoffs!$B$2)-C14,2),"")</f>
        <v/>
      </c>
      <c r="F14" s="6">
        <f>IF(C14="","",IF(Cutoffs!$B$4&lt;&gt;"OK","Check cutoffs",IF(OR(NOT(ISNUMBER(C14)),C14&lt;0),"Check spend",IF(C14&gt;=Cutoffs!$B$3,"Gold",IF(C14&gt;=Cutoffs!$B$2,"Silver","Bronze")))))</f>
        <v/>
      </c>
    </row>
    <row r="15">
      <c r="A15" s="4" t="inlineStr">
        <is>
          <t>Kira S.</t>
        </is>
      </c>
      <c r="B15" s="4" t="inlineStr">
        <is>
          <t>Macon</t>
        </is>
      </c>
      <c r="C15" s="5" t="n">
        <v>45.5</v>
      </c>
      <c r="D15" s="6">
        <f>IF(C15="","",IF(Cutoffs!$B$4&lt;&gt;"OK","Check cutoffs",IF(OR(NOT(ISNUMBER(C15)),C15&lt;0),"Check spend",_xlfn.IFS(C15&gt;=Cutoffs!$B$3,"Gold",C15&gt;=Cutoffs!$B$2,"Silver",TRUE,"Bronze"))))</f>
        <v/>
      </c>
      <c r="E15" s="7">
        <f>IF(OR(D15="Silver",D15="Bronze"),ROUND(IF(D15="Silver",Cutoffs!$B$3,Cutoffs!$B$2)-C15,2),"")</f>
        <v/>
      </c>
      <c r="F15" s="6">
        <f>IF(C15="","",IF(Cutoffs!$B$4&lt;&gt;"OK","Check cutoffs",IF(OR(NOT(ISNUMBER(C15)),C15&lt;0),"Check spend",IF(C15&gt;=Cutoffs!$B$3,"Gold",IF(C15&gt;=Cutoffs!$B$2,"Silver","Bronze")))))</f>
        <v/>
      </c>
    </row>
    <row r="16">
      <c r="A16" s="4" t="inlineStr">
        <is>
          <t>Leo N.</t>
        </is>
      </c>
      <c r="B16" s="4" t="inlineStr">
        <is>
          <t>Dayton</t>
        </is>
      </c>
      <c r="C16" s="5" t="n">
        <v>1500</v>
      </c>
      <c r="D16" s="6">
        <f>IF(C16="","",IF(Cutoffs!$B$4&lt;&gt;"OK","Check cutoffs",IF(OR(NOT(ISNUMBER(C16)),C16&lt;0),"Check spend",_xlfn.IFS(C16&gt;=Cutoffs!$B$3,"Gold",C16&gt;=Cutoffs!$B$2,"Silver",TRUE,"Bronze"))))</f>
        <v/>
      </c>
      <c r="E16" s="7">
        <f>IF(OR(D16="Silver",D16="Bronze"),ROUND(IF(D16="Silver",Cutoffs!$B$3,Cutoffs!$B$2)-C16,2),"")</f>
        <v/>
      </c>
      <c r="F16" s="6">
        <f>IF(C16="","",IF(Cutoffs!$B$4&lt;&gt;"OK","Check cutoffs",IF(OR(NOT(ISNUMBER(C16)),C16&lt;0),"Check spend",IF(C16&gt;=Cutoffs!$B$3,"Gold",IF(C16&gt;=Cutoffs!$B$2,"Silver","Bronze")))))</f>
        <v/>
      </c>
    </row>
    <row r="17">
      <c r="A17" s="4" t="inlineStr">
        <is>
          <t>Maya C.</t>
        </is>
      </c>
      <c r="B17" s="4" t="inlineStr">
        <is>
          <t>Eugene</t>
        </is>
      </c>
      <c r="C17" s="5" t="n">
        <v>720</v>
      </c>
      <c r="D17" s="6">
        <f>IF(C17="","",IF(Cutoffs!$B$4&lt;&gt;"OK","Check cutoffs",IF(OR(NOT(ISNUMBER(C17)),C17&lt;0),"Check spend",_xlfn.IFS(C17&gt;=Cutoffs!$B$3,"Gold",C17&gt;=Cutoffs!$B$2,"Silver",TRUE,"Bronze"))))</f>
        <v/>
      </c>
      <c r="E17" s="7">
        <f>IF(OR(D17="Silver",D17="Bronze"),ROUND(IF(D17="Silver",Cutoffs!$B$3,Cutoffs!$B$2)-C17,2),"")</f>
        <v/>
      </c>
      <c r="F17" s="6">
        <f>IF(C17="","",IF(Cutoffs!$B$4&lt;&gt;"OK","Check cutoffs",IF(OR(NOT(ISNUMBER(C17)),C17&lt;0),"Check spend",IF(C17&gt;=Cutoffs!$B$3,"Gold",IF(C17&gt;=Cutoffs!$B$2,"Silver","Bronze")))))</f>
        <v/>
      </c>
    </row>
    <row r="18">
      <c r="A18" s="4" t="inlineStr">
        <is>
          <t>Nate D.</t>
        </is>
      </c>
      <c r="B18" s="4" t="inlineStr">
        <is>
          <t>Tampa</t>
        </is>
      </c>
      <c r="C18" s="5" t="n">
        <v>150</v>
      </c>
      <c r="D18" s="6">
        <f>IF(C18="","",IF(Cutoffs!$B$4&lt;&gt;"OK","Check cutoffs",IF(OR(NOT(ISNUMBER(C18)),C18&lt;0),"Check spend",_xlfn.IFS(C18&gt;=Cutoffs!$B$3,"Gold",C18&gt;=Cutoffs!$B$2,"Silver",TRUE,"Bronze"))))</f>
        <v/>
      </c>
      <c r="E18" s="7">
        <f>IF(OR(D18="Silver",D18="Bronze"),ROUND(IF(D18="Silver",Cutoffs!$B$3,Cutoffs!$B$2)-C18,2),"")</f>
        <v/>
      </c>
      <c r="F18" s="6">
        <f>IF(C18="","",IF(Cutoffs!$B$4&lt;&gt;"OK","Check cutoffs",IF(OR(NOT(ISNUMBER(C18)),C18&lt;0),"Check spend",IF(C18&gt;=Cutoffs!$B$3,"Gold",IF(C18&gt;=Cutoffs!$B$2,"Silver","Bronze")))))</f>
        <v/>
      </c>
    </row>
    <row r="19">
      <c r="A19" s="4" t="inlineStr">
        <is>
          <t>Opal F.</t>
        </is>
      </c>
      <c r="B19" s="4" t="inlineStr">
        <is>
          <t>Ogden</t>
        </is>
      </c>
      <c r="C19" s="5" t="n">
        <v>999.99</v>
      </c>
      <c r="D19" s="6">
        <f>IF(C19="","",IF(Cutoffs!$B$4&lt;&gt;"OK","Check cutoffs",IF(OR(NOT(ISNUMBER(C19)),C19&lt;0),"Check spend",_xlfn.IFS(C19&gt;=Cutoffs!$B$3,"Gold",C19&gt;=Cutoffs!$B$2,"Silver",TRUE,"Bronze"))))</f>
        <v/>
      </c>
      <c r="E19" s="7">
        <f>IF(OR(D19="Silver",D19="Bronze"),ROUND(IF(D19="Silver",Cutoffs!$B$3,Cutoffs!$B$2)-C19,2),"")</f>
        <v/>
      </c>
      <c r="F19" s="6">
        <f>IF(C19="","",IF(Cutoffs!$B$4&lt;&gt;"OK","Check cutoffs",IF(OR(NOT(ISNUMBER(C19)),C19&lt;0),"Check spend",IF(C19&gt;=Cutoffs!$B$3,"Gold",IF(C19&gt;=Cutoffs!$B$2,"Silver","Bronze")))))</f>
        <v/>
      </c>
    </row>
    <row r="20">
      <c r="A20" s="4" t="inlineStr">
        <is>
          <t>Priya G.</t>
        </is>
      </c>
      <c r="B20" s="4" t="inlineStr">
        <is>
          <t>Akron</t>
        </is>
      </c>
      <c r="C20" s="5" t="n">
        <v>410</v>
      </c>
      <c r="D20" s="6">
        <f>IF(C20="","",IF(Cutoffs!$B$4&lt;&gt;"OK","Check cutoffs",IF(OR(NOT(ISNUMBER(C20)),C20&lt;0),"Check spend",_xlfn.IFS(C20&gt;=Cutoffs!$B$3,"Gold",C20&gt;=Cutoffs!$B$2,"Silver",TRUE,"Bronze"))))</f>
        <v/>
      </c>
      <c r="E20" s="7">
        <f>IF(OR(D20="Silver",D20="Bronze"),ROUND(IF(D20="Silver",Cutoffs!$B$3,Cutoffs!$B$2)-C20,2),"")</f>
        <v/>
      </c>
      <c r="F20" s="6">
        <f>IF(C20="","",IF(Cutoffs!$B$4&lt;&gt;"OK","Check cutoffs",IF(OR(NOT(ISNUMBER(C20)),C20&lt;0),"Check spend",IF(C20&gt;=Cutoffs!$B$3,"Gold",IF(C20&gt;=Cutoffs!$B$2,"Silver","Bronze")))))</f>
        <v/>
      </c>
    </row>
    <row r="21">
      <c r="A21" s="4" t="inlineStr">
        <is>
          <t>Quinn J.</t>
        </is>
      </c>
      <c r="B21" s="4" t="inlineStr">
        <is>
          <t>Boise</t>
        </is>
      </c>
      <c r="C21" s="5" t="n">
        <v>1875.25</v>
      </c>
      <c r="D21" s="6">
        <f>IF(C21="","",IF(Cutoffs!$B$4&lt;&gt;"OK","Check cutoffs",IF(OR(NOT(ISNUMBER(C21)),C21&lt;0),"Check spend",_xlfn.IFS(C21&gt;=Cutoffs!$B$3,"Gold",C21&gt;=Cutoffs!$B$2,"Silver",TRUE,"Bronze"))))</f>
        <v/>
      </c>
      <c r="E21" s="7">
        <f>IF(OR(D21="Silver",D21="Bronze"),ROUND(IF(D21="Silver",Cutoffs!$B$3,Cutoffs!$B$2)-C21,2),"")</f>
        <v/>
      </c>
      <c r="F21" s="6">
        <f>IF(C21="","",IF(Cutoffs!$B$4&lt;&gt;"OK","Check cutoffs",IF(OR(NOT(ISNUMBER(C21)),C21&lt;0),"Check spend",IF(C21&gt;=Cutoffs!$B$3,"Gold",IF(C21&gt;=Cutoffs!$B$2,"Silver","Bronze")))))</f>
        <v/>
      </c>
    </row>
    <row r="22">
      <c r="A22" s="4" t="inlineStr">
        <is>
          <t>Rosa V.</t>
        </is>
      </c>
      <c r="B22" s="4" t="inlineStr">
        <is>
          <t>Laredo</t>
        </is>
      </c>
      <c r="C22" s="5" t="n">
        <v>260</v>
      </c>
      <c r="D22" s="6">
        <f>IF(C22="","",IF(Cutoffs!$B$4&lt;&gt;"OK","Check cutoffs",IF(OR(NOT(ISNUMBER(C22)),C22&lt;0),"Check spend",_xlfn.IFS(C22&gt;=Cutoffs!$B$3,"Gold",C22&gt;=Cutoffs!$B$2,"Silver",TRUE,"Bronze"))))</f>
        <v/>
      </c>
      <c r="E22" s="7">
        <f>IF(OR(D22="Silver",D22="Bronze"),ROUND(IF(D22="Silver",Cutoffs!$B$3,Cutoffs!$B$2)-C22,2),"")</f>
        <v/>
      </c>
      <c r="F22" s="6">
        <f>IF(C22="","",IF(Cutoffs!$B$4&lt;&gt;"OK","Check cutoffs",IF(OR(NOT(ISNUMBER(C22)),C22&lt;0),"Check spend",IF(C22&gt;=Cutoffs!$B$3,"Gold",IF(C22&gt;=Cutoffs!$B$2,"Silver","Bronze")))))</f>
        <v/>
      </c>
    </row>
    <row r="23">
      <c r="A23" s="4" t="inlineStr">
        <is>
          <t>Sam Y.</t>
        </is>
      </c>
      <c r="B23" s="4" t="inlineStr">
        <is>
          <t>Toledo</t>
        </is>
      </c>
      <c r="C23" s="5" t="n">
        <v>505</v>
      </c>
      <c r="D23" s="6">
        <f>IF(C23="","",IF(Cutoffs!$B$4&lt;&gt;"OK","Check cutoffs",IF(OR(NOT(ISNUMBER(C23)),C23&lt;0),"Check spend",_xlfn.IFS(C23&gt;=Cutoffs!$B$3,"Gold",C23&gt;=Cutoffs!$B$2,"Silver",TRUE,"Bronze"))))</f>
        <v/>
      </c>
      <c r="E23" s="7">
        <f>IF(OR(D23="Silver",D23="Bronze"),ROUND(IF(D23="Silver",Cutoffs!$B$3,Cutoffs!$B$2)-C23,2),"")</f>
        <v/>
      </c>
      <c r="F23" s="6">
        <f>IF(C23="","",IF(Cutoffs!$B$4&lt;&gt;"OK","Check cutoffs",IF(OR(NOT(ISNUMBER(C23)),C23&lt;0),"Check spend",IF(C23&gt;=Cutoffs!$B$3,"Gold",IF(C23&gt;=Cutoffs!$B$2,"Silver","Bronze")))))</f>
        <v/>
      </c>
    </row>
    <row r="24">
      <c r="A24" s="4" t="inlineStr">
        <is>
          <t>Tess Z.</t>
        </is>
      </c>
      <c r="B24" s="4" t="inlineStr">
        <is>
          <t>Elgin</t>
        </is>
      </c>
      <c r="C24" s="5" t="n">
        <v>33</v>
      </c>
      <c r="D24" s="6">
        <f>IF(C24="","",IF(Cutoffs!$B$4&lt;&gt;"OK","Check cutoffs",IF(OR(NOT(ISNUMBER(C24)),C24&lt;0),"Check spend",_xlfn.IFS(C24&gt;=Cutoffs!$B$3,"Gold",C24&gt;=Cutoffs!$B$2,"Silver",TRUE,"Bronze"))))</f>
        <v/>
      </c>
      <c r="E24" s="7">
        <f>IF(OR(D24="Silver",D24="Bronze"),ROUND(IF(D24="Silver",Cutoffs!$B$3,Cutoffs!$B$2)-C24,2),"")</f>
        <v/>
      </c>
      <c r="F24" s="6">
        <f>IF(C24="","",IF(Cutoffs!$B$4&lt;&gt;"OK","Check cutoffs",IF(OR(NOT(ISNUMBER(C24)),C24&lt;0),"Check spend",IF(C24&gt;=Cutoffs!$B$3,"Gold",IF(C24&gt;=Cutoffs!$B$2,"Silver","Bronze")))))</f>
        <v/>
      </c>
    </row>
    <row r="25">
      <c r="A25" s="4" t="inlineStr">
        <is>
          <t>Uma A.</t>
        </is>
      </c>
      <c r="B25" s="4" t="inlineStr">
        <is>
          <t>Yuma</t>
        </is>
      </c>
      <c r="C25" s="5" t="n">
        <v>880</v>
      </c>
      <c r="D25" s="6">
        <f>IF(C25="","",IF(Cutoffs!$B$4&lt;&gt;"OK","Check cutoffs",IF(OR(NOT(ISNUMBER(C25)),C25&lt;0),"Check spend",_xlfn.IFS(C25&gt;=Cutoffs!$B$3,"Gold",C25&gt;=Cutoffs!$B$2,"Silver",TRUE,"Bronze"))))</f>
        <v/>
      </c>
      <c r="E25" s="7">
        <f>IF(OR(D25="Silver",D25="Bronze"),ROUND(IF(D25="Silver",Cutoffs!$B$3,Cutoffs!$B$2)-C25,2),"")</f>
        <v/>
      </c>
      <c r="F25" s="6">
        <f>IF(C25="","",IF(Cutoffs!$B$4&lt;&gt;"OK","Check cutoffs",IF(OR(NOT(ISNUMBER(C25)),C25&lt;0),"Check spend",IF(C25&gt;=Cutoffs!$B$3,"Gold",IF(C25&gt;=Cutoffs!$B$2,"Silver","Bronze")))))</f>
        <v/>
      </c>
    </row>
    <row r="26">
      <c r="A26" s="4" t="inlineStr">
        <is>
          <t>Vic E.</t>
        </is>
      </c>
      <c r="B26" s="4" t="inlineStr">
        <is>
          <t>Fresno</t>
        </is>
      </c>
      <c r="C26" s="5" t="n">
        <v>1120</v>
      </c>
      <c r="D26" s="6">
        <f>IF(C26="","",IF(Cutoffs!$B$4&lt;&gt;"OK","Check cutoffs",IF(OR(NOT(ISNUMBER(C26)),C26&lt;0),"Check spend",_xlfn.IFS(C26&gt;=Cutoffs!$B$3,"Gold",C26&gt;=Cutoffs!$B$2,"Silver",TRUE,"Bronze"))))</f>
        <v/>
      </c>
      <c r="E26" s="7">
        <f>IF(OR(D26="Silver",D26="Bronze"),ROUND(IF(D26="Silver",Cutoffs!$B$3,Cutoffs!$B$2)-C26,2),"")</f>
        <v/>
      </c>
      <c r="F26" s="6">
        <f>IF(C26="","",IF(Cutoffs!$B$4&lt;&gt;"OK","Check cutoffs",IF(OR(NOT(ISNUMBER(C26)),C26&lt;0),"Check spend",IF(C26&gt;=Cutoffs!$B$3,"Gold",IF(C26&gt;=Cutoffs!$B$2,"Silver","Bronze")))))</f>
        <v/>
      </c>
    </row>
    <row r="27">
      <c r="A27" s="4" t="inlineStr">
        <is>
          <t>Wren I.</t>
        </is>
      </c>
      <c r="B27" s="4" t="inlineStr">
        <is>
          <t>Bend</t>
        </is>
      </c>
      <c r="C27" s="5" t="n">
        <v>499</v>
      </c>
      <c r="D27" s="6">
        <f>IF(C27="","",IF(Cutoffs!$B$4&lt;&gt;"OK","Check cutoffs",IF(OR(NOT(ISNUMBER(C27)),C27&lt;0),"Check spend",_xlfn.IFS(C27&gt;=Cutoffs!$B$3,"Gold",C27&gt;=Cutoffs!$B$2,"Silver",TRUE,"Bronze"))))</f>
        <v/>
      </c>
      <c r="E27" s="7">
        <f>IF(OR(D27="Silver",D27="Bronze"),ROUND(IF(D27="Silver",Cutoffs!$B$3,Cutoffs!$B$2)-C27,2),"")</f>
        <v/>
      </c>
      <c r="F27" s="6">
        <f>IF(C27="","",IF(Cutoffs!$B$4&lt;&gt;"OK","Check cutoffs",IF(OR(NOT(ISNUMBER(C27)),C27&lt;0),"Check spend",IF(C27&gt;=Cutoffs!$B$3,"Gold",IF(C27&gt;=Cutoffs!$B$2,"Silver","Bronze")))))</f>
        <v/>
      </c>
    </row>
    <row r="28">
      <c r="A28" s="4" t="inlineStr">
        <is>
          <t>Xavi U.</t>
        </is>
      </c>
      <c r="B28" s="4" t="inlineStr">
        <is>
          <t>Plano</t>
        </is>
      </c>
      <c r="C28" s="5" t="n">
        <v>590.6</v>
      </c>
      <c r="D28" s="6">
        <f>IF(C28="","",IF(Cutoffs!$B$4&lt;&gt;"OK","Check cutoffs",IF(OR(NOT(ISNUMBER(C28)),C28&lt;0),"Check spend",_xlfn.IFS(C28&gt;=Cutoffs!$B$3,"Gold",C28&gt;=Cutoffs!$B$2,"Silver",TRUE,"Bronze"))))</f>
        <v/>
      </c>
      <c r="E28" s="7">
        <f>IF(OR(D28="Silver",D28="Bronze"),ROUND(IF(D28="Silver",Cutoffs!$B$3,Cutoffs!$B$2)-C28,2),"")</f>
        <v/>
      </c>
      <c r="F28" s="6">
        <f>IF(C28="","",IF(Cutoffs!$B$4&lt;&gt;"OK","Check cutoffs",IF(OR(NOT(ISNUMBER(C28)),C28&lt;0),"Check spend",IF(C28&gt;=Cutoffs!$B$3,"Gold",IF(C28&gt;=Cutoffs!$B$2,"Silver","Bronze")))))</f>
        <v/>
      </c>
    </row>
    <row r="29">
      <c r="A29" s="4" t="inlineStr">
        <is>
          <t>Yara Q.</t>
        </is>
      </c>
      <c r="B29" s="4" t="inlineStr">
        <is>
          <t>Biloxi</t>
        </is>
      </c>
      <c r="C29" s="5" t="n">
        <v>75.25</v>
      </c>
      <c r="D29" s="6">
        <f>IF(C29="","",IF(Cutoffs!$B$4&lt;&gt;"OK","Check cutoffs",IF(OR(NOT(ISNUMBER(C29)),C29&lt;0),"Check spend",_xlfn.IFS(C29&gt;=Cutoffs!$B$3,"Gold",C29&gt;=Cutoffs!$B$2,"Silver",TRUE,"Bronze"))))</f>
        <v/>
      </c>
      <c r="E29" s="7">
        <f>IF(OR(D29="Silver",D29="Bronze"),ROUND(IF(D29="Silver",Cutoffs!$B$3,Cutoffs!$B$2)-C29,2),"")</f>
        <v/>
      </c>
      <c r="F29" s="6">
        <f>IF(C29="","",IF(Cutoffs!$B$4&lt;&gt;"OK","Check cutoffs",IF(OR(NOT(ISNUMBER(C29)),C29&lt;0),"Check spend",IF(C29&gt;=Cutoffs!$B$3,"Gold",IF(C29&gt;=Cutoffs!$B$2,"Silver","Bronze")))))</f>
        <v/>
      </c>
    </row>
    <row r="30">
      <c r="A30" s="4" t="n"/>
      <c r="B30" s="4" t="n"/>
      <c r="C30" s="5" t="n"/>
      <c r="D30" s="6">
        <f>IF(C30="","",IF(Cutoffs!$B$4&lt;&gt;"OK","Check cutoffs",IF(OR(NOT(ISNUMBER(C30)),C30&lt;0),"Check spend",_xlfn.IFS(C30&gt;=Cutoffs!$B$3,"Gold",C30&gt;=Cutoffs!$B$2,"Silver",TRUE,"Bronze"))))</f>
        <v/>
      </c>
      <c r="E30" s="7">
        <f>IF(OR(D30="Silver",D30="Bronze"),ROUND(IF(D30="Silver",Cutoffs!$B$3,Cutoffs!$B$2)-C30,2),"")</f>
        <v/>
      </c>
      <c r="F30" s="6">
        <f>IF(C30="","",IF(Cutoffs!$B$4&lt;&gt;"OK","Check cutoffs",IF(OR(NOT(ISNUMBER(C30)),C30&lt;0),"Check spend",IF(C30&gt;=Cutoffs!$B$3,"Gold",IF(C30&gt;=Cutoffs!$B$2,"Silver","Bronze")))))</f>
        <v/>
      </c>
    </row>
    <row r="31">
      <c r="A31" s="4" t="n"/>
      <c r="B31" s="4" t="n"/>
      <c r="C31" s="5" t="n"/>
      <c r="D31" s="6">
        <f>IF(C31="","",IF(Cutoffs!$B$4&lt;&gt;"OK","Check cutoffs",IF(OR(NOT(ISNUMBER(C31)),C31&lt;0),"Check spend",_xlfn.IFS(C31&gt;=Cutoffs!$B$3,"Gold",C31&gt;=Cutoffs!$B$2,"Silver",TRUE,"Bronze"))))</f>
        <v/>
      </c>
      <c r="E31" s="7">
        <f>IF(OR(D31="Silver",D31="Bronze"),ROUND(IF(D31="Silver",Cutoffs!$B$3,Cutoffs!$B$2)-C31,2),"")</f>
        <v/>
      </c>
      <c r="F31" s="6">
        <f>IF(C31="","",IF(Cutoffs!$B$4&lt;&gt;"OK","Check cutoffs",IF(OR(NOT(ISNUMBER(C31)),C31&lt;0),"Check spend",IF(C31&gt;=Cutoffs!$B$3,"Gold",IF(C31&gt;=Cutoffs!$B$2,"Silver","Bronze")))))</f>
        <v/>
      </c>
    </row>
    <row r="32">
      <c r="A32" s="4" t="n"/>
      <c r="B32" s="4" t="n"/>
      <c r="C32" s="5" t="n"/>
      <c r="D32" s="6">
        <f>IF(C32="","",IF(Cutoffs!$B$4&lt;&gt;"OK","Check cutoffs",IF(OR(NOT(ISNUMBER(C32)),C32&lt;0),"Check spend",_xlfn.IFS(C32&gt;=Cutoffs!$B$3,"Gold",C32&gt;=Cutoffs!$B$2,"Silver",TRUE,"Bronze"))))</f>
        <v/>
      </c>
      <c r="E32" s="7">
        <f>IF(OR(D32="Silver",D32="Bronze"),ROUND(IF(D32="Silver",Cutoffs!$B$3,Cutoffs!$B$2)-C32,2),"")</f>
        <v/>
      </c>
      <c r="F32" s="6">
        <f>IF(C32="","",IF(Cutoffs!$B$4&lt;&gt;"OK","Check cutoffs",IF(OR(NOT(ISNUMBER(C32)),C32&lt;0),"Check spend",IF(C32&gt;=Cutoffs!$B$3,"Gold",IF(C32&gt;=Cutoffs!$B$2,"Silver","Bronze")))))</f>
        <v/>
      </c>
    </row>
    <row r="33">
      <c r="A33" s="4" t="n"/>
      <c r="B33" s="4" t="n"/>
      <c r="C33" s="5" t="n"/>
      <c r="D33" s="6">
        <f>IF(C33="","",IF(Cutoffs!$B$4&lt;&gt;"OK","Check cutoffs",IF(OR(NOT(ISNUMBER(C33)),C33&lt;0),"Check spend",_xlfn.IFS(C33&gt;=Cutoffs!$B$3,"Gold",C33&gt;=Cutoffs!$B$2,"Silver",TRUE,"Bronze"))))</f>
        <v/>
      </c>
      <c r="E33" s="7">
        <f>IF(OR(D33="Silver",D33="Bronze"),ROUND(IF(D33="Silver",Cutoffs!$B$3,Cutoffs!$B$2)-C33,2),"")</f>
        <v/>
      </c>
      <c r="F33" s="6">
        <f>IF(C33="","",IF(Cutoffs!$B$4&lt;&gt;"OK","Check cutoffs",IF(OR(NOT(ISNUMBER(C33)),C33&lt;0),"Check spend",IF(C33&gt;=Cutoffs!$B$3,"Gold",IF(C33&gt;=Cutoffs!$B$2,"Silver","Bronze")))))</f>
        <v/>
      </c>
    </row>
    <row r="34">
      <c r="A34" s="4" t="n"/>
      <c r="B34" s="4" t="n"/>
      <c r="C34" s="5" t="n"/>
      <c r="D34" s="6">
        <f>IF(C34="","",IF(Cutoffs!$B$4&lt;&gt;"OK","Check cutoffs",IF(OR(NOT(ISNUMBER(C34)),C34&lt;0),"Check spend",_xlfn.IFS(C34&gt;=Cutoffs!$B$3,"Gold",C34&gt;=Cutoffs!$B$2,"Silver",TRUE,"Bronze"))))</f>
        <v/>
      </c>
      <c r="E34" s="7">
        <f>IF(OR(D34="Silver",D34="Bronze"),ROUND(IF(D34="Silver",Cutoffs!$B$3,Cutoffs!$B$2)-C34,2),"")</f>
        <v/>
      </c>
      <c r="F34" s="6">
        <f>IF(C34="","",IF(Cutoffs!$B$4&lt;&gt;"OK","Check cutoffs",IF(OR(NOT(ISNUMBER(C34)),C34&lt;0),"Check spend",IF(C34&gt;=Cutoffs!$B$3,"Gold",IF(C34&gt;=Cutoffs!$B$2,"Silver","Bronze")))))</f>
        <v/>
      </c>
    </row>
    <row r="35">
      <c r="A35" s="4" t="n"/>
      <c r="B35" s="4" t="n"/>
      <c r="C35" s="5" t="n"/>
      <c r="D35" s="6">
        <f>IF(C35="","",IF(Cutoffs!$B$4&lt;&gt;"OK","Check cutoffs",IF(OR(NOT(ISNUMBER(C35)),C35&lt;0),"Check spend",_xlfn.IFS(C35&gt;=Cutoffs!$B$3,"Gold",C35&gt;=Cutoffs!$B$2,"Silver",TRUE,"Bronze"))))</f>
        <v/>
      </c>
      <c r="E35" s="7">
        <f>IF(OR(D35="Silver",D35="Bronze"),ROUND(IF(D35="Silver",Cutoffs!$B$3,Cutoffs!$B$2)-C35,2),"")</f>
        <v/>
      </c>
      <c r="F35" s="6">
        <f>IF(C35="","",IF(Cutoffs!$B$4&lt;&gt;"OK","Check cutoffs",IF(OR(NOT(ISNUMBER(C35)),C35&lt;0),"Check spend",IF(C35&gt;=Cutoffs!$B$3,"Gold",IF(C35&gt;=Cutoffs!$B$2,"Silver","Bronze")))))</f>
        <v/>
      </c>
    </row>
    <row r="36">
      <c r="A36" s="4" t="n"/>
      <c r="B36" s="4" t="n"/>
      <c r="C36" s="5" t="n"/>
      <c r="D36" s="6">
        <f>IF(C36="","",IF(Cutoffs!$B$4&lt;&gt;"OK","Check cutoffs",IF(OR(NOT(ISNUMBER(C36)),C36&lt;0),"Check spend",_xlfn.IFS(C36&gt;=Cutoffs!$B$3,"Gold",C36&gt;=Cutoffs!$B$2,"Silver",TRUE,"Bronze"))))</f>
        <v/>
      </c>
      <c r="E36" s="7">
        <f>IF(OR(D36="Silver",D36="Bronze"),ROUND(IF(D36="Silver",Cutoffs!$B$3,Cutoffs!$B$2)-C36,2),"")</f>
        <v/>
      </c>
      <c r="F36" s="6">
        <f>IF(C36="","",IF(Cutoffs!$B$4&lt;&gt;"OK","Check cutoffs",IF(OR(NOT(ISNUMBER(C36)),C36&lt;0),"Check spend",IF(C36&gt;=Cutoffs!$B$3,"Gold",IF(C36&gt;=Cutoffs!$B$2,"Silver","Bronze")))))</f>
        <v/>
      </c>
    </row>
    <row r="37">
      <c r="A37" s="4" t="n"/>
      <c r="B37" s="4" t="n"/>
      <c r="C37" s="5" t="n"/>
      <c r="D37" s="6">
        <f>IF(C37="","",IF(Cutoffs!$B$4&lt;&gt;"OK","Check cutoffs",IF(OR(NOT(ISNUMBER(C37)),C37&lt;0),"Check spend",_xlfn.IFS(C37&gt;=Cutoffs!$B$3,"Gold",C37&gt;=Cutoffs!$B$2,"Silver",TRUE,"Bronze"))))</f>
        <v/>
      </c>
      <c r="E37" s="7">
        <f>IF(OR(D37="Silver",D37="Bronze"),ROUND(IF(D37="Silver",Cutoffs!$B$3,Cutoffs!$B$2)-C37,2),"")</f>
        <v/>
      </c>
      <c r="F37" s="6">
        <f>IF(C37="","",IF(Cutoffs!$B$4&lt;&gt;"OK","Check cutoffs",IF(OR(NOT(ISNUMBER(C37)),C37&lt;0),"Check spend",IF(C37&gt;=Cutoffs!$B$3,"Gold",IF(C37&gt;=Cutoffs!$B$2,"Silver","Bronze")))))</f>
        <v/>
      </c>
    </row>
    <row r="38">
      <c r="A38" s="4" t="n"/>
      <c r="B38" s="4" t="n"/>
      <c r="C38" s="5" t="n"/>
      <c r="D38" s="6">
        <f>IF(C38="","",IF(Cutoffs!$B$4&lt;&gt;"OK","Check cutoffs",IF(OR(NOT(ISNUMBER(C38)),C38&lt;0),"Check spend",_xlfn.IFS(C38&gt;=Cutoffs!$B$3,"Gold",C38&gt;=Cutoffs!$B$2,"Silver",TRUE,"Bronze"))))</f>
        <v/>
      </c>
      <c r="E38" s="7">
        <f>IF(OR(D38="Silver",D38="Bronze"),ROUND(IF(D38="Silver",Cutoffs!$B$3,Cutoffs!$B$2)-C38,2),"")</f>
        <v/>
      </c>
      <c r="F38" s="6">
        <f>IF(C38="","",IF(Cutoffs!$B$4&lt;&gt;"OK","Check cutoffs",IF(OR(NOT(ISNUMBER(C38)),C38&lt;0),"Check spend",IF(C38&gt;=Cutoffs!$B$3,"Gold",IF(C38&gt;=Cutoffs!$B$2,"Silver","Bronze")))))</f>
        <v/>
      </c>
    </row>
    <row r="39">
      <c r="A39" s="4" t="n"/>
      <c r="B39" s="4" t="n"/>
      <c r="C39" s="5" t="n"/>
      <c r="D39" s="6">
        <f>IF(C39="","",IF(Cutoffs!$B$4&lt;&gt;"OK","Check cutoffs",IF(OR(NOT(ISNUMBER(C39)),C39&lt;0),"Check spend",_xlfn.IFS(C39&gt;=Cutoffs!$B$3,"Gold",C39&gt;=Cutoffs!$B$2,"Silver",TRUE,"Bronze"))))</f>
        <v/>
      </c>
      <c r="E39" s="7">
        <f>IF(OR(D39="Silver",D39="Bronze"),ROUND(IF(D39="Silver",Cutoffs!$B$3,Cutoffs!$B$2)-C39,2),"")</f>
        <v/>
      </c>
      <c r="F39" s="6">
        <f>IF(C39="","",IF(Cutoffs!$B$4&lt;&gt;"OK","Check cutoffs",IF(OR(NOT(ISNUMBER(C39)),C39&lt;0),"Check spend",IF(C39&gt;=Cutoffs!$B$3,"Gold",IF(C39&gt;=Cutoffs!$B$2,"Silver","Bronze")))))</f>
        <v/>
      </c>
    </row>
    <row r="40">
      <c r="A40" s="4" t="n"/>
      <c r="B40" s="4" t="n"/>
      <c r="C40" s="5" t="n"/>
      <c r="D40" s="6">
        <f>IF(C40="","",IF(Cutoffs!$B$4&lt;&gt;"OK","Check cutoffs",IF(OR(NOT(ISNUMBER(C40)),C40&lt;0),"Check spend",_xlfn.IFS(C40&gt;=Cutoffs!$B$3,"Gold",C40&gt;=Cutoffs!$B$2,"Silver",TRUE,"Bronze"))))</f>
        <v/>
      </c>
      <c r="E40" s="7">
        <f>IF(OR(D40="Silver",D40="Bronze"),ROUND(IF(D40="Silver",Cutoffs!$B$3,Cutoffs!$B$2)-C40,2),"")</f>
        <v/>
      </c>
      <c r="F40" s="6">
        <f>IF(C40="","",IF(Cutoffs!$B$4&lt;&gt;"OK","Check cutoffs",IF(OR(NOT(ISNUMBER(C40)),C40&lt;0),"Check spend",IF(C40&gt;=Cutoffs!$B$3,"Gold",IF(C40&gt;=Cutoffs!$B$2,"Silver","Bronze")))))</f>
        <v/>
      </c>
    </row>
    <row r="41">
      <c r="A41" s="4" t="n"/>
      <c r="B41" s="4" t="n"/>
      <c r="C41" s="5" t="n"/>
      <c r="D41" s="6">
        <f>IF(C41="","",IF(Cutoffs!$B$4&lt;&gt;"OK","Check cutoffs",IF(OR(NOT(ISNUMBER(C41)),C41&lt;0),"Check spend",_xlfn.IFS(C41&gt;=Cutoffs!$B$3,"Gold",C41&gt;=Cutoffs!$B$2,"Silver",TRUE,"Bronze"))))</f>
        <v/>
      </c>
      <c r="E41" s="7">
        <f>IF(OR(D41="Silver",D41="Bronze"),ROUND(IF(D41="Silver",Cutoffs!$B$3,Cutoffs!$B$2)-C41,2),"")</f>
        <v/>
      </c>
      <c r="F41" s="6">
        <f>IF(C41="","",IF(Cutoffs!$B$4&lt;&gt;"OK","Check cutoffs",IF(OR(NOT(ISNUMBER(C41)),C41&lt;0),"Check spend",IF(C41&gt;=Cutoffs!$B$3,"Gold",IF(C41&gt;=Cutoffs!$B$2,"Silver","Bronze")))))</f>
        <v/>
      </c>
    </row>
    <row r="42">
      <c r="A42" s="4" t="n"/>
      <c r="B42" s="4" t="n"/>
      <c r="C42" s="5" t="n"/>
      <c r="D42" s="6">
        <f>IF(C42="","",IF(Cutoffs!$B$4&lt;&gt;"OK","Check cutoffs",IF(OR(NOT(ISNUMBER(C42)),C42&lt;0),"Check spend",_xlfn.IFS(C42&gt;=Cutoffs!$B$3,"Gold",C42&gt;=Cutoffs!$B$2,"Silver",TRUE,"Bronze"))))</f>
        <v/>
      </c>
      <c r="E42" s="7">
        <f>IF(OR(D42="Silver",D42="Bronze"),ROUND(IF(D42="Silver",Cutoffs!$B$3,Cutoffs!$B$2)-C42,2),"")</f>
        <v/>
      </c>
      <c r="F42" s="6">
        <f>IF(C42="","",IF(Cutoffs!$B$4&lt;&gt;"OK","Check cutoffs",IF(OR(NOT(ISNUMBER(C42)),C42&lt;0),"Check spend",IF(C42&gt;=Cutoffs!$B$3,"Gold",IF(C42&gt;=Cutoffs!$B$2,"Silver","Bronze")))))</f>
        <v/>
      </c>
    </row>
    <row r="43">
      <c r="A43" s="4" t="n"/>
      <c r="B43" s="4" t="n"/>
      <c r="C43" s="5" t="n"/>
      <c r="D43" s="6">
        <f>IF(C43="","",IF(Cutoffs!$B$4&lt;&gt;"OK","Check cutoffs",IF(OR(NOT(ISNUMBER(C43)),C43&lt;0),"Check spend",_xlfn.IFS(C43&gt;=Cutoffs!$B$3,"Gold",C43&gt;=Cutoffs!$B$2,"Silver",TRUE,"Bronze"))))</f>
        <v/>
      </c>
      <c r="E43" s="7">
        <f>IF(OR(D43="Silver",D43="Bronze"),ROUND(IF(D43="Silver",Cutoffs!$B$3,Cutoffs!$B$2)-C43,2),"")</f>
        <v/>
      </c>
      <c r="F43" s="6">
        <f>IF(C43="","",IF(Cutoffs!$B$4&lt;&gt;"OK","Check cutoffs",IF(OR(NOT(ISNUMBER(C43)),C43&lt;0),"Check spend",IF(C43&gt;=Cutoffs!$B$3,"Gold",IF(C43&gt;=Cutoffs!$B$2,"Silver","Bronze")))))</f>
        <v/>
      </c>
    </row>
    <row r="44">
      <c r="A44" s="4" t="n"/>
      <c r="B44" s="4" t="n"/>
      <c r="C44" s="5" t="n"/>
      <c r="D44" s="6">
        <f>IF(C44="","",IF(Cutoffs!$B$4&lt;&gt;"OK","Check cutoffs",IF(OR(NOT(ISNUMBER(C44)),C44&lt;0),"Check spend",_xlfn.IFS(C44&gt;=Cutoffs!$B$3,"Gold",C44&gt;=Cutoffs!$B$2,"Silver",TRUE,"Bronze"))))</f>
        <v/>
      </c>
      <c r="E44" s="7">
        <f>IF(OR(D44="Silver",D44="Bronze"),ROUND(IF(D44="Silver",Cutoffs!$B$3,Cutoffs!$B$2)-C44,2),"")</f>
        <v/>
      </c>
      <c r="F44" s="6">
        <f>IF(C44="","",IF(Cutoffs!$B$4&lt;&gt;"OK","Check cutoffs",IF(OR(NOT(ISNUMBER(C44)),C44&lt;0),"Check spend",IF(C44&gt;=Cutoffs!$B$3,"Gold",IF(C44&gt;=Cutoffs!$B$2,"Silver","Bronze")))))</f>
        <v/>
      </c>
    </row>
    <row r="45">
      <c r="A45" s="4" t="n"/>
      <c r="B45" s="4" t="n"/>
      <c r="C45" s="5" t="n"/>
      <c r="D45" s="6">
        <f>IF(C45="","",IF(Cutoffs!$B$4&lt;&gt;"OK","Check cutoffs",IF(OR(NOT(ISNUMBER(C45)),C45&lt;0),"Check spend",_xlfn.IFS(C45&gt;=Cutoffs!$B$3,"Gold",C45&gt;=Cutoffs!$B$2,"Silver",TRUE,"Bronze"))))</f>
        <v/>
      </c>
      <c r="E45" s="7">
        <f>IF(OR(D45="Silver",D45="Bronze"),ROUND(IF(D45="Silver",Cutoffs!$B$3,Cutoffs!$B$2)-C45,2),"")</f>
        <v/>
      </c>
      <c r="F45" s="6">
        <f>IF(C45="","",IF(Cutoffs!$B$4&lt;&gt;"OK","Check cutoffs",IF(OR(NOT(ISNUMBER(C45)),C45&lt;0),"Check spend",IF(C45&gt;=Cutoffs!$B$3,"Gold",IF(C45&gt;=Cutoffs!$B$2,"Silver","Bronze")))))</f>
        <v/>
      </c>
    </row>
    <row r="46">
      <c r="A46" s="4" t="n"/>
      <c r="B46" s="4" t="n"/>
      <c r="C46" s="5" t="n"/>
      <c r="D46" s="6">
        <f>IF(C46="","",IF(Cutoffs!$B$4&lt;&gt;"OK","Check cutoffs",IF(OR(NOT(ISNUMBER(C46)),C46&lt;0),"Check spend",_xlfn.IFS(C46&gt;=Cutoffs!$B$3,"Gold",C46&gt;=Cutoffs!$B$2,"Silver",TRUE,"Bronze"))))</f>
        <v/>
      </c>
      <c r="E46" s="7">
        <f>IF(OR(D46="Silver",D46="Bronze"),ROUND(IF(D46="Silver",Cutoffs!$B$3,Cutoffs!$B$2)-C46,2),"")</f>
        <v/>
      </c>
      <c r="F46" s="6">
        <f>IF(C46="","",IF(Cutoffs!$B$4&lt;&gt;"OK","Check cutoffs",IF(OR(NOT(ISNUMBER(C46)),C46&lt;0),"Check spend",IF(C46&gt;=Cutoffs!$B$3,"Gold",IF(C46&gt;=Cutoffs!$B$2,"Silver","Bronze")))))</f>
        <v/>
      </c>
    </row>
    <row r="47">
      <c r="A47" s="4" t="n"/>
      <c r="B47" s="4" t="n"/>
      <c r="C47" s="5" t="n"/>
      <c r="D47" s="6">
        <f>IF(C47="","",IF(Cutoffs!$B$4&lt;&gt;"OK","Check cutoffs",IF(OR(NOT(ISNUMBER(C47)),C47&lt;0),"Check spend",_xlfn.IFS(C47&gt;=Cutoffs!$B$3,"Gold",C47&gt;=Cutoffs!$B$2,"Silver",TRUE,"Bronze"))))</f>
        <v/>
      </c>
      <c r="E47" s="7">
        <f>IF(OR(D47="Silver",D47="Bronze"),ROUND(IF(D47="Silver",Cutoffs!$B$3,Cutoffs!$B$2)-C47,2),"")</f>
        <v/>
      </c>
      <c r="F47" s="6">
        <f>IF(C47="","",IF(Cutoffs!$B$4&lt;&gt;"OK","Check cutoffs",IF(OR(NOT(ISNUMBER(C47)),C47&lt;0),"Check spend",IF(C47&gt;=Cutoffs!$B$3,"Gold",IF(C47&gt;=Cutoffs!$B$2,"Silver","Bronze")))))</f>
        <v/>
      </c>
    </row>
    <row r="48">
      <c r="A48" s="4" t="n"/>
      <c r="B48" s="4" t="n"/>
      <c r="C48" s="5" t="n"/>
      <c r="D48" s="6">
        <f>IF(C48="","",IF(Cutoffs!$B$4&lt;&gt;"OK","Check cutoffs",IF(OR(NOT(ISNUMBER(C48)),C48&lt;0),"Check spend",_xlfn.IFS(C48&gt;=Cutoffs!$B$3,"Gold",C48&gt;=Cutoffs!$B$2,"Silver",TRUE,"Bronze"))))</f>
        <v/>
      </c>
      <c r="E48" s="7">
        <f>IF(OR(D48="Silver",D48="Bronze"),ROUND(IF(D48="Silver",Cutoffs!$B$3,Cutoffs!$B$2)-C48,2),"")</f>
        <v/>
      </c>
      <c r="F48" s="6">
        <f>IF(C48="","",IF(Cutoffs!$B$4&lt;&gt;"OK","Check cutoffs",IF(OR(NOT(ISNUMBER(C48)),C48&lt;0),"Check spend",IF(C48&gt;=Cutoffs!$B$3,"Gold",IF(C48&gt;=Cutoffs!$B$2,"Silver","Bronze")))))</f>
        <v/>
      </c>
    </row>
    <row r="49">
      <c r="A49" s="4" t="n"/>
      <c r="B49" s="4" t="n"/>
      <c r="C49" s="5" t="n"/>
      <c r="D49" s="6">
        <f>IF(C49="","",IF(Cutoffs!$B$4&lt;&gt;"OK","Check cutoffs",IF(OR(NOT(ISNUMBER(C49)),C49&lt;0),"Check spend",_xlfn.IFS(C49&gt;=Cutoffs!$B$3,"Gold",C49&gt;=Cutoffs!$B$2,"Silver",TRUE,"Bronze"))))</f>
        <v/>
      </c>
      <c r="E49" s="7">
        <f>IF(OR(D49="Silver",D49="Bronze"),ROUND(IF(D49="Silver",Cutoffs!$B$3,Cutoffs!$B$2)-C49,2),"")</f>
        <v/>
      </c>
      <c r="F49" s="6">
        <f>IF(C49="","",IF(Cutoffs!$B$4&lt;&gt;"OK","Check cutoffs",IF(OR(NOT(ISNUMBER(C49)),C49&lt;0),"Check spend",IF(C49&gt;=Cutoffs!$B$3,"Gold",IF(C49&gt;=Cutoffs!$B$2,"Silver","Bronze")))))</f>
        <v/>
      </c>
    </row>
    <row r="50">
      <c r="A50" s="4" t="n"/>
      <c r="B50" s="4" t="n"/>
      <c r="C50" s="5" t="n"/>
      <c r="D50" s="6">
        <f>IF(C50="","",IF(Cutoffs!$B$4&lt;&gt;"OK","Check cutoffs",IF(OR(NOT(ISNUMBER(C50)),C50&lt;0),"Check spend",_xlfn.IFS(C50&gt;=Cutoffs!$B$3,"Gold",C50&gt;=Cutoffs!$B$2,"Silver",TRUE,"Bronze"))))</f>
        <v/>
      </c>
      <c r="E50" s="7">
        <f>IF(OR(D50="Silver",D50="Bronze"),ROUND(IF(D50="Silver",Cutoffs!$B$3,Cutoffs!$B$2)-C50,2),"")</f>
        <v/>
      </c>
      <c r="F50" s="6">
        <f>IF(C50="","",IF(Cutoffs!$B$4&lt;&gt;"OK","Check cutoffs",IF(OR(NOT(ISNUMBER(C50)),C50&lt;0),"Check spend",IF(C50&gt;=Cutoffs!$B$3,"Gold",IF(C50&gt;=Cutoffs!$B$2,"Silver","Bronze")))))</f>
        <v/>
      </c>
    </row>
    <row r="51">
      <c r="A51" s="4" t="n"/>
      <c r="B51" s="4" t="n"/>
      <c r="C51" s="5" t="n"/>
      <c r="D51" s="6">
        <f>IF(C51="","",IF(Cutoffs!$B$4&lt;&gt;"OK","Check cutoffs",IF(OR(NOT(ISNUMBER(C51)),C51&lt;0),"Check spend",_xlfn.IFS(C51&gt;=Cutoffs!$B$3,"Gold",C51&gt;=Cutoffs!$B$2,"Silver",TRUE,"Bronze"))))</f>
        <v/>
      </c>
      <c r="E51" s="7">
        <f>IF(OR(D51="Silver",D51="Bronze"),ROUND(IF(D51="Silver",Cutoffs!$B$3,Cutoffs!$B$2)-C51,2),"")</f>
        <v/>
      </c>
      <c r="F51" s="6">
        <f>IF(C51="","",IF(Cutoffs!$B$4&lt;&gt;"OK","Check cutoffs",IF(OR(NOT(ISNUMBER(C51)),C51&lt;0),"Check spend",IF(C51&gt;=Cutoffs!$B$3,"Gold",IF(C51&gt;=Cutoffs!$B$2,"Silver","Bronze")))))</f>
        <v/>
      </c>
    </row>
    <row r="52">
      <c r="A52" s="4" t="n"/>
      <c r="B52" s="4" t="n"/>
      <c r="C52" s="5" t="n"/>
      <c r="D52" s="6">
        <f>IF(C52="","",IF(Cutoffs!$B$4&lt;&gt;"OK","Check cutoffs",IF(OR(NOT(ISNUMBER(C52)),C52&lt;0),"Check spend",_xlfn.IFS(C52&gt;=Cutoffs!$B$3,"Gold",C52&gt;=Cutoffs!$B$2,"Silver",TRUE,"Bronze"))))</f>
        <v/>
      </c>
      <c r="E52" s="7">
        <f>IF(OR(D52="Silver",D52="Bronze"),ROUND(IF(D52="Silver",Cutoffs!$B$3,Cutoffs!$B$2)-C52,2),"")</f>
        <v/>
      </c>
      <c r="F52" s="6">
        <f>IF(C52="","",IF(Cutoffs!$B$4&lt;&gt;"OK","Check cutoffs",IF(OR(NOT(ISNUMBER(C52)),C52&lt;0),"Check spend",IF(C52&gt;=Cutoffs!$B$3,"Gold",IF(C52&gt;=Cutoffs!$B$2,"Silver","Bronze")))))</f>
        <v/>
      </c>
    </row>
    <row r="53">
      <c r="A53" s="4" t="n"/>
      <c r="B53" s="4" t="n"/>
      <c r="C53" s="5" t="n"/>
      <c r="D53" s="6">
        <f>IF(C53="","",IF(Cutoffs!$B$4&lt;&gt;"OK","Check cutoffs",IF(OR(NOT(ISNUMBER(C53)),C53&lt;0),"Check spend",_xlfn.IFS(C53&gt;=Cutoffs!$B$3,"Gold",C53&gt;=Cutoffs!$B$2,"Silver",TRUE,"Bronze"))))</f>
        <v/>
      </c>
      <c r="E53" s="7">
        <f>IF(OR(D53="Silver",D53="Bronze"),ROUND(IF(D53="Silver",Cutoffs!$B$3,Cutoffs!$B$2)-C53,2),"")</f>
        <v/>
      </c>
      <c r="F53" s="6">
        <f>IF(C53="","",IF(Cutoffs!$B$4&lt;&gt;"OK","Check cutoffs",IF(OR(NOT(ISNUMBER(C53)),C53&lt;0),"Check spend",IF(C53&gt;=Cutoffs!$B$3,"Gold",IF(C53&gt;=Cutoffs!$B$2,"Silver","Bronze")))))</f>
        <v/>
      </c>
    </row>
    <row r="54">
      <c r="A54" s="4" t="n"/>
      <c r="B54" s="4" t="n"/>
      <c r="C54" s="5" t="n"/>
      <c r="D54" s="6">
        <f>IF(C54="","",IF(Cutoffs!$B$4&lt;&gt;"OK","Check cutoffs",IF(OR(NOT(ISNUMBER(C54)),C54&lt;0),"Check spend",_xlfn.IFS(C54&gt;=Cutoffs!$B$3,"Gold",C54&gt;=Cutoffs!$B$2,"Silver",TRUE,"Bronze"))))</f>
        <v/>
      </c>
      <c r="E54" s="7">
        <f>IF(OR(D54="Silver",D54="Bronze"),ROUND(IF(D54="Silver",Cutoffs!$B$3,Cutoffs!$B$2)-C54,2),"")</f>
        <v/>
      </c>
      <c r="F54" s="6">
        <f>IF(C54="","",IF(Cutoffs!$B$4&lt;&gt;"OK","Check cutoffs",IF(OR(NOT(ISNUMBER(C54)),C54&lt;0),"Check spend",IF(C54&gt;=Cutoffs!$B$3,"Gold",IF(C54&gt;=Cutoffs!$B$2,"Silver","Bronze")))))</f>
        <v/>
      </c>
    </row>
    <row r="55">
      <c r="A55" s="4" t="n"/>
      <c r="B55" s="4" t="n"/>
      <c r="C55" s="5" t="n"/>
      <c r="D55" s="6">
        <f>IF(C55="","",IF(Cutoffs!$B$4&lt;&gt;"OK","Check cutoffs",IF(OR(NOT(ISNUMBER(C55)),C55&lt;0),"Check spend",_xlfn.IFS(C55&gt;=Cutoffs!$B$3,"Gold",C55&gt;=Cutoffs!$B$2,"Silver",TRUE,"Bronze"))))</f>
        <v/>
      </c>
      <c r="E55" s="7">
        <f>IF(OR(D55="Silver",D55="Bronze"),ROUND(IF(D55="Silver",Cutoffs!$B$3,Cutoffs!$B$2)-C55,2),"")</f>
        <v/>
      </c>
      <c r="F55" s="6">
        <f>IF(C55="","",IF(Cutoffs!$B$4&lt;&gt;"OK","Check cutoffs",IF(OR(NOT(ISNUMBER(C55)),C55&lt;0),"Check spend",IF(C55&gt;=Cutoffs!$B$3,"Gold",IF(C55&gt;=Cutoffs!$B$2,"Silver","Bronze")))))</f>
        <v/>
      </c>
    </row>
    <row r="56">
      <c r="A56" s="4" t="n"/>
      <c r="B56" s="4" t="n"/>
      <c r="C56" s="5" t="n"/>
      <c r="D56" s="6">
        <f>IF(C56="","",IF(Cutoffs!$B$4&lt;&gt;"OK","Check cutoffs",IF(OR(NOT(ISNUMBER(C56)),C56&lt;0),"Check spend",_xlfn.IFS(C56&gt;=Cutoffs!$B$3,"Gold",C56&gt;=Cutoffs!$B$2,"Silver",TRUE,"Bronze"))))</f>
        <v/>
      </c>
      <c r="E56" s="7">
        <f>IF(OR(D56="Silver",D56="Bronze"),ROUND(IF(D56="Silver",Cutoffs!$B$3,Cutoffs!$B$2)-C56,2),"")</f>
        <v/>
      </c>
      <c r="F56" s="6">
        <f>IF(C56="","",IF(Cutoffs!$B$4&lt;&gt;"OK","Check cutoffs",IF(OR(NOT(ISNUMBER(C56)),C56&lt;0),"Check spend",IF(C56&gt;=Cutoffs!$B$3,"Gold",IF(C56&gt;=Cutoffs!$B$2,"Silver","Bronze")))))</f>
        <v/>
      </c>
    </row>
    <row r="57">
      <c r="A57" s="4" t="n"/>
      <c r="B57" s="4" t="n"/>
      <c r="C57" s="5" t="n"/>
      <c r="D57" s="6">
        <f>IF(C57="","",IF(Cutoffs!$B$4&lt;&gt;"OK","Check cutoffs",IF(OR(NOT(ISNUMBER(C57)),C57&lt;0),"Check spend",_xlfn.IFS(C57&gt;=Cutoffs!$B$3,"Gold",C57&gt;=Cutoffs!$B$2,"Silver",TRUE,"Bronze"))))</f>
        <v/>
      </c>
      <c r="E57" s="7">
        <f>IF(OR(D57="Silver",D57="Bronze"),ROUND(IF(D57="Silver",Cutoffs!$B$3,Cutoffs!$B$2)-C57,2),"")</f>
        <v/>
      </c>
      <c r="F57" s="6">
        <f>IF(C57="","",IF(Cutoffs!$B$4&lt;&gt;"OK","Check cutoffs",IF(OR(NOT(ISNUMBER(C57)),C57&lt;0),"Check spend",IF(C57&gt;=Cutoffs!$B$3,"Gold",IF(C57&gt;=Cutoffs!$B$2,"Silver","Bronze")))))</f>
        <v/>
      </c>
    </row>
    <row r="58">
      <c r="A58" s="4" t="n"/>
      <c r="B58" s="4" t="n"/>
      <c r="C58" s="5" t="n"/>
      <c r="D58" s="6">
        <f>IF(C58="","",IF(Cutoffs!$B$4&lt;&gt;"OK","Check cutoffs",IF(OR(NOT(ISNUMBER(C58)),C58&lt;0),"Check spend",_xlfn.IFS(C58&gt;=Cutoffs!$B$3,"Gold",C58&gt;=Cutoffs!$B$2,"Silver",TRUE,"Bronze"))))</f>
        <v/>
      </c>
      <c r="E58" s="7">
        <f>IF(OR(D58="Silver",D58="Bronze"),ROUND(IF(D58="Silver",Cutoffs!$B$3,Cutoffs!$B$2)-C58,2),"")</f>
        <v/>
      </c>
      <c r="F58" s="6">
        <f>IF(C58="","",IF(Cutoffs!$B$4&lt;&gt;"OK","Check cutoffs",IF(OR(NOT(ISNUMBER(C58)),C58&lt;0),"Check spend",IF(C58&gt;=Cutoffs!$B$3,"Gold",IF(C58&gt;=Cutoffs!$B$2,"Silver","Bronze")))))</f>
        <v/>
      </c>
    </row>
    <row r="59">
      <c r="A59" s="4" t="n"/>
      <c r="B59" s="4" t="n"/>
      <c r="C59" s="5" t="n"/>
      <c r="D59" s="6">
        <f>IF(C59="","",IF(Cutoffs!$B$4&lt;&gt;"OK","Check cutoffs",IF(OR(NOT(ISNUMBER(C59)),C59&lt;0),"Check spend",_xlfn.IFS(C59&gt;=Cutoffs!$B$3,"Gold",C59&gt;=Cutoffs!$B$2,"Silver",TRUE,"Bronze"))))</f>
        <v/>
      </c>
      <c r="E59" s="7">
        <f>IF(OR(D59="Silver",D59="Bronze"),ROUND(IF(D59="Silver",Cutoffs!$B$3,Cutoffs!$B$2)-C59,2),"")</f>
        <v/>
      </c>
      <c r="F59" s="6">
        <f>IF(C59="","",IF(Cutoffs!$B$4&lt;&gt;"OK","Check cutoffs",IF(OR(NOT(ISNUMBER(C59)),C59&lt;0),"Check spend",IF(C59&gt;=Cutoffs!$B$3,"Gold",IF(C59&gt;=Cutoffs!$B$2,"Silver","Bronze")))))</f>
        <v/>
      </c>
    </row>
    <row r="60">
      <c r="A60" s="4" t="n"/>
      <c r="B60" s="4" t="n"/>
      <c r="C60" s="5" t="n"/>
      <c r="D60" s="6">
        <f>IF(C60="","",IF(Cutoffs!$B$4&lt;&gt;"OK","Check cutoffs",IF(OR(NOT(ISNUMBER(C60)),C60&lt;0),"Check spend",_xlfn.IFS(C60&gt;=Cutoffs!$B$3,"Gold",C60&gt;=Cutoffs!$B$2,"Silver",TRUE,"Bronze"))))</f>
        <v/>
      </c>
      <c r="E60" s="7">
        <f>IF(OR(D60="Silver",D60="Bronze"),ROUND(IF(D60="Silver",Cutoffs!$B$3,Cutoffs!$B$2)-C60,2),"")</f>
        <v/>
      </c>
      <c r="F60" s="6">
        <f>IF(C60="","",IF(Cutoffs!$B$4&lt;&gt;"OK","Check cutoffs",IF(OR(NOT(ISNUMBER(C60)),C60&lt;0),"Check spend",IF(C60&gt;=Cutoffs!$B$3,"Gold",IF(C60&gt;=Cutoffs!$B$2,"Silver","Bronze")))))</f>
        <v/>
      </c>
    </row>
    <row r="61">
      <c r="A61" s="4" t="n"/>
      <c r="B61" s="4" t="n"/>
      <c r="C61" s="5" t="n"/>
      <c r="D61" s="6">
        <f>IF(C61="","",IF(Cutoffs!$B$4&lt;&gt;"OK","Check cutoffs",IF(OR(NOT(ISNUMBER(C61)),C61&lt;0),"Check spend",_xlfn.IFS(C61&gt;=Cutoffs!$B$3,"Gold",C61&gt;=Cutoffs!$B$2,"Silver",TRUE,"Bronze"))))</f>
        <v/>
      </c>
      <c r="E61" s="7">
        <f>IF(OR(D61="Silver",D61="Bronze"),ROUND(IF(D61="Silver",Cutoffs!$B$3,Cutoffs!$B$2)-C61,2),"")</f>
        <v/>
      </c>
      <c r="F61" s="6">
        <f>IF(C61="","",IF(Cutoffs!$B$4&lt;&gt;"OK","Check cutoffs",IF(OR(NOT(ISNUMBER(C61)),C61&lt;0),"Check spend",IF(C61&gt;=Cutoffs!$B$3,"Gold",IF(C61&gt;=Cutoffs!$B$2,"Silver","Bronze")))))</f>
        <v/>
      </c>
    </row>
    <row r="62">
      <c r="A62" s="4" t="n"/>
      <c r="B62" s="4" t="n"/>
      <c r="C62" s="5" t="n"/>
      <c r="D62" s="6">
        <f>IF(C62="","",IF(Cutoffs!$B$4&lt;&gt;"OK","Check cutoffs",IF(OR(NOT(ISNUMBER(C62)),C62&lt;0),"Check spend",_xlfn.IFS(C62&gt;=Cutoffs!$B$3,"Gold",C62&gt;=Cutoffs!$B$2,"Silver",TRUE,"Bronze"))))</f>
        <v/>
      </c>
      <c r="E62" s="7">
        <f>IF(OR(D62="Silver",D62="Bronze"),ROUND(IF(D62="Silver",Cutoffs!$B$3,Cutoffs!$B$2)-C62,2),"")</f>
        <v/>
      </c>
      <c r="F62" s="6">
        <f>IF(C62="","",IF(Cutoffs!$B$4&lt;&gt;"OK","Check cutoffs",IF(OR(NOT(ISNUMBER(C62)),C62&lt;0),"Check spend",IF(C62&gt;=Cutoffs!$B$3,"Gold",IF(C62&gt;=Cutoffs!$B$2,"Silver","Bronze")))))</f>
        <v/>
      </c>
    </row>
    <row r="63">
      <c r="A63" s="4" t="n"/>
      <c r="B63" s="4" t="n"/>
      <c r="C63" s="5" t="n"/>
      <c r="D63" s="6">
        <f>IF(C63="","",IF(Cutoffs!$B$4&lt;&gt;"OK","Check cutoffs",IF(OR(NOT(ISNUMBER(C63)),C63&lt;0),"Check spend",_xlfn.IFS(C63&gt;=Cutoffs!$B$3,"Gold",C63&gt;=Cutoffs!$B$2,"Silver",TRUE,"Bronze"))))</f>
        <v/>
      </c>
      <c r="E63" s="7">
        <f>IF(OR(D63="Silver",D63="Bronze"),ROUND(IF(D63="Silver",Cutoffs!$B$3,Cutoffs!$B$2)-C63,2),"")</f>
        <v/>
      </c>
      <c r="F63" s="6">
        <f>IF(C63="","",IF(Cutoffs!$B$4&lt;&gt;"OK","Check cutoffs",IF(OR(NOT(ISNUMBER(C63)),C63&lt;0),"Check spend",IF(C63&gt;=Cutoffs!$B$3,"Gold",IF(C63&gt;=Cutoffs!$B$2,"Silver","Bronze")))))</f>
        <v/>
      </c>
    </row>
    <row r="64">
      <c r="A64" s="4" t="n"/>
      <c r="B64" s="4" t="n"/>
      <c r="C64" s="5" t="n"/>
      <c r="D64" s="6">
        <f>IF(C64="","",IF(Cutoffs!$B$4&lt;&gt;"OK","Check cutoffs",IF(OR(NOT(ISNUMBER(C64)),C64&lt;0),"Check spend",_xlfn.IFS(C64&gt;=Cutoffs!$B$3,"Gold",C64&gt;=Cutoffs!$B$2,"Silver",TRUE,"Bronze"))))</f>
        <v/>
      </c>
      <c r="E64" s="7">
        <f>IF(OR(D64="Silver",D64="Bronze"),ROUND(IF(D64="Silver",Cutoffs!$B$3,Cutoffs!$B$2)-C64,2),"")</f>
        <v/>
      </c>
      <c r="F64" s="6">
        <f>IF(C64="","",IF(Cutoffs!$B$4&lt;&gt;"OK","Check cutoffs",IF(OR(NOT(ISNUMBER(C64)),C64&lt;0),"Check spend",IF(C64&gt;=Cutoffs!$B$3,"Gold",IF(C64&gt;=Cutoffs!$B$2,"Silver","Bronze")))))</f>
        <v/>
      </c>
    </row>
    <row r="65">
      <c r="A65" s="4" t="n"/>
      <c r="B65" s="4" t="n"/>
      <c r="C65" s="5" t="n"/>
      <c r="D65" s="6">
        <f>IF(C65="","",IF(Cutoffs!$B$4&lt;&gt;"OK","Check cutoffs",IF(OR(NOT(ISNUMBER(C65)),C65&lt;0),"Check spend",_xlfn.IFS(C65&gt;=Cutoffs!$B$3,"Gold",C65&gt;=Cutoffs!$B$2,"Silver",TRUE,"Bronze"))))</f>
        <v/>
      </c>
      <c r="E65" s="7">
        <f>IF(OR(D65="Silver",D65="Bronze"),ROUND(IF(D65="Silver",Cutoffs!$B$3,Cutoffs!$B$2)-C65,2),"")</f>
        <v/>
      </c>
      <c r="F65" s="6">
        <f>IF(C65="","",IF(Cutoffs!$B$4&lt;&gt;"OK","Check cutoffs",IF(OR(NOT(ISNUMBER(C65)),C65&lt;0),"Check spend",IF(C65&gt;=Cutoffs!$B$3,"Gold",IF(C65&gt;=Cutoffs!$B$2,"Silver","Bronze")))))</f>
        <v/>
      </c>
    </row>
    <row r="66">
      <c r="A66" s="4" t="n"/>
      <c r="B66" s="4" t="n"/>
      <c r="C66" s="5" t="n"/>
      <c r="D66" s="6">
        <f>IF(C66="","",IF(Cutoffs!$B$4&lt;&gt;"OK","Check cutoffs",IF(OR(NOT(ISNUMBER(C66)),C66&lt;0),"Check spend",_xlfn.IFS(C66&gt;=Cutoffs!$B$3,"Gold",C66&gt;=Cutoffs!$B$2,"Silver",TRUE,"Bronze"))))</f>
        <v/>
      </c>
      <c r="E66" s="7">
        <f>IF(OR(D66="Silver",D66="Bronze"),ROUND(IF(D66="Silver",Cutoffs!$B$3,Cutoffs!$B$2)-C66,2),"")</f>
        <v/>
      </c>
      <c r="F66" s="6">
        <f>IF(C66="","",IF(Cutoffs!$B$4&lt;&gt;"OK","Check cutoffs",IF(OR(NOT(ISNUMBER(C66)),C66&lt;0),"Check spend",IF(C66&gt;=Cutoffs!$B$3,"Gold",IF(C66&gt;=Cutoffs!$B$2,"Silver","Bronze")))))</f>
        <v/>
      </c>
    </row>
    <row r="67">
      <c r="A67" s="4" t="n"/>
      <c r="B67" s="4" t="n"/>
      <c r="C67" s="5" t="n"/>
      <c r="D67" s="6">
        <f>IF(C67="","",IF(Cutoffs!$B$4&lt;&gt;"OK","Check cutoffs",IF(OR(NOT(ISNUMBER(C67)),C67&lt;0),"Check spend",_xlfn.IFS(C67&gt;=Cutoffs!$B$3,"Gold",C67&gt;=Cutoffs!$B$2,"Silver",TRUE,"Bronze"))))</f>
        <v/>
      </c>
      <c r="E67" s="7">
        <f>IF(OR(D67="Silver",D67="Bronze"),ROUND(IF(D67="Silver",Cutoffs!$B$3,Cutoffs!$B$2)-C67,2),"")</f>
        <v/>
      </c>
      <c r="F67" s="6">
        <f>IF(C67="","",IF(Cutoffs!$B$4&lt;&gt;"OK","Check cutoffs",IF(OR(NOT(ISNUMBER(C67)),C67&lt;0),"Check spend",IF(C67&gt;=Cutoffs!$B$3,"Gold",IF(C67&gt;=Cutoffs!$B$2,"Silver","Bronze")))))</f>
        <v/>
      </c>
    </row>
    <row r="68">
      <c r="A68" s="4" t="n"/>
      <c r="B68" s="4" t="n"/>
      <c r="C68" s="5" t="n"/>
      <c r="D68" s="6">
        <f>IF(C68="","",IF(Cutoffs!$B$4&lt;&gt;"OK","Check cutoffs",IF(OR(NOT(ISNUMBER(C68)),C68&lt;0),"Check spend",_xlfn.IFS(C68&gt;=Cutoffs!$B$3,"Gold",C68&gt;=Cutoffs!$B$2,"Silver",TRUE,"Bronze"))))</f>
        <v/>
      </c>
      <c r="E68" s="7">
        <f>IF(OR(D68="Silver",D68="Bronze"),ROUND(IF(D68="Silver",Cutoffs!$B$3,Cutoffs!$B$2)-C68,2),"")</f>
        <v/>
      </c>
      <c r="F68" s="6">
        <f>IF(C68="","",IF(Cutoffs!$B$4&lt;&gt;"OK","Check cutoffs",IF(OR(NOT(ISNUMBER(C68)),C68&lt;0),"Check spend",IF(C68&gt;=Cutoffs!$B$3,"Gold",IF(C68&gt;=Cutoffs!$B$2,"Silver","Bronze")))))</f>
        <v/>
      </c>
    </row>
    <row r="69">
      <c r="A69" s="4" t="n"/>
      <c r="B69" s="4" t="n"/>
      <c r="C69" s="5" t="n"/>
      <c r="D69" s="6">
        <f>IF(C69="","",IF(Cutoffs!$B$4&lt;&gt;"OK","Check cutoffs",IF(OR(NOT(ISNUMBER(C69)),C69&lt;0),"Check spend",_xlfn.IFS(C69&gt;=Cutoffs!$B$3,"Gold",C69&gt;=Cutoffs!$B$2,"Silver",TRUE,"Bronze"))))</f>
        <v/>
      </c>
      <c r="E69" s="7">
        <f>IF(OR(D69="Silver",D69="Bronze"),ROUND(IF(D69="Silver",Cutoffs!$B$3,Cutoffs!$B$2)-C69,2),"")</f>
        <v/>
      </c>
      <c r="F69" s="6">
        <f>IF(C69="","",IF(Cutoffs!$B$4&lt;&gt;"OK","Check cutoffs",IF(OR(NOT(ISNUMBER(C69)),C69&lt;0),"Check spend",IF(C69&gt;=Cutoffs!$B$3,"Gold",IF(C69&gt;=Cutoffs!$B$2,"Silver","Bronze")))))</f>
        <v/>
      </c>
    </row>
    <row r="70">
      <c r="A70" s="4" t="n"/>
      <c r="B70" s="4" t="n"/>
      <c r="C70" s="5" t="n"/>
      <c r="D70" s="6">
        <f>IF(C70="","",IF(Cutoffs!$B$4&lt;&gt;"OK","Check cutoffs",IF(OR(NOT(ISNUMBER(C70)),C70&lt;0),"Check spend",_xlfn.IFS(C70&gt;=Cutoffs!$B$3,"Gold",C70&gt;=Cutoffs!$B$2,"Silver",TRUE,"Bronze"))))</f>
        <v/>
      </c>
      <c r="E70" s="7">
        <f>IF(OR(D70="Silver",D70="Bronze"),ROUND(IF(D70="Silver",Cutoffs!$B$3,Cutoffs!$B$2)-C70,2),"")</f>
        <v/>
      </c>
      <c r="F70" s="6">
        <f>IF(C70="","",IF(Cutoffs!$B$4&lt;&gt;"OK","Check cutoffs",IF(OR(NOT(ISNUMBER(C70)),C70&lt;0),"Check spend",IF(C70&gt;=Cutoffs!$B$3,"Gold",IF(C70&gt;=Cutoffs!$B$2,"Silver","Bronze")))))</f>
        <v/>
      </c>
    </row>
    <row r="71">
      <c r="A71" s="4" t="n"/>
      <c r="B71" s="4" t="n"/>
      <c r="C71" s="5" t="n"/>
      <c r="D71" s="6">
        <f>IF(C71="","",IF(Cutoffs!$B$4&lt;&gt;"OK","Check cutoffs",IF(OR(NOT(ISNUMBER(C71)),C71&lt;0),"Check spend",_xlfn.IFS(C71&gt;=Cutoffs!$B$3,"Gold",C71&gt;=Cutoffs!$B$2,"Silver",TRUE,"Bronze"))))</f>
        <v/>
      </c>
      <c r="E71" s="7">
        <f>IF(OR(D71="Silver",D71="Bronze"),ROUND(IF(D71="Silver",Cutoffs!$B$3,Cutoffs!$B$2)-C71,2),"")</f>
        <v/>
      </c>
      <c r="F71" s="6">
        <f>IF(C71="","",IF(Cutoffs!$B$4&lt;&gt;"OK","Check cutoffs",IF(OR(NOT(ISNUMBER(C71)),C71&lt;0),"Check spend",IF(C71&gt;=Cutoffs!$B$3,"Gold",IF(C71&gt;=Cutoffs!$B$2,"Silver","Bronze")))))</f>
        <v/>
      </c>
    </row>
    <row r="72">
      <c r="A72" s="4" t="n"/>
      <c r="B72" s="4" t="n"/>
      <c r="C72" s="5" t="n"/>
      <c r="D72" s="6">
        <f>IF(C72="","",IF(Cutoffs!$B$4&lt;&gt;"OK","Check cutoffs",IF(OR(NOT(ISNUMBER(C72)),C72&lt;0),"Check spend",_xlfn.IFS(C72&gt;=Cutoffs!$B$3,"Gold",C72&gt;=Cutoffs!$B$2,"Silver",TRUE,"Bronze"))))</f>
        <v/>
      </c>
      <c r="E72" s="7">
        <f>IF(OR(D72="Silver",D72="Bronze"),ROUND(IF(D72="Silver",Cutoffs!$B$3,Cutoffs!$B$2)-C72,2),"")</f>
        <v/>
      </c>
      <c r="F72" s="6">
        <f>IF(C72="","",IF(Cutoffs!$B$4&lt;&gt;"OK","Check cutoffs",IF(OR(NOT(ISNUMBER(C72)),C72&lt;0),"Check spend",IF(C72&gt;=Cutoffs!$B$3,"Gold",IF(C72&gt;=Cutoffs!$B$2,"Silver","Bronze")))))</f>
        <v/>
      </c>
    </row>
    <row r="73">
      <c r="A73" s="4" t="n"/>
      <c r="B73" s="4" t="n"/>
      <c r="C73" s="5" t="n"/>
      <c r="D73" s="6">
        <f>IF(C73="","",IF(Cutoffs!$B$4&lt;&gt;"OK","Check cutoffs",IF(OR(NOT(ISNUMBER(C73)),C73&lt;0),"Check spend",_xlfn.IFS(C73&gt;=Cutoffs!$B$3,"Gold",C73&gt;=Cutoffs!$B$2,"Silver",TRUE,"Bronze"))))</f>
        <v/>
      </c>
      <c r="E73" s="7">
        <f>IF(OR(D73="Silver",D73="Bronze"),ROUND(IF(D73="Silver",Cutoffs!$B$3,Cutoffs!$B$2)-C73,2),"")</f>
        <v/>
      </c>
      <c r="F73" s="6">
        <f>IF(C73="","",IF(Cutoffs!$B$4&lt;&gt;"OK","Check cutoffs",IF(OR(NOT(ISNUMBER(C73)),C73&lt;0),"Check spend",IF(C73&gt;=Cutoffs!$B$3,"Gold",IF(C73&gt;=Cutoffs!$B$2,"Silver","Bronze")))))</f>
        <v/>
      </c>
    </row>
    <row r="74">
      <c r="A74" s="4" t="n"/>
      <c r="B74" s="4" t="n"/>
      <c r="C74" s="5" t="n"/>
      <c r="D74" s="6">
        <f>IF(C74="","",IF(Cutoffs!$B$4&lt;&gt;"OK","Check cutoffs",IF(OR(NOT(ISNUMBER(C74)),C74&lt;0),"Check spend",_xlfn.IFS(C74&gt;=Cutoffs!$B$3,"Gold",C74&gt;=Cutoffs!$B$2,"Silver",TRUE,"Bronze"))))</f>
        <v/>
      </c>
      <c r="E74" s="7">
        <f>IF(OR(D74="Silver",D74="Bronze"),ROUND(IF(D74="Silver",Cutoffs!$B$3,Cutoffs!$B$2)-C74,2),"")</f>
        <v/>
      </c>
      <c r="F74" s="6">
        <f>IF(C74="","",IF(Cutoffs!$B$4&lt;&gt;"OK","Check cutoffs",IF(OR(NOT(ISNUMBER(C74)),C74&lt;0),"Check spend",IF(C74&gt;=Cutoffs!$B$3,"Gold",IF(C74&gt;=Cutoffs!$B$2,"Silver","Bronze")))))</f>
        <v/>
      </c>
    </row>
    <row r="75">
      <c r="A75" s="4" t="n"/>
      <c r="B75" s="4" t="n"/>
      <c r="C75" s="5" t="n"/>
      <c r="D75" s="6">
        <f>IF(C75="","",IF(Cutoffs!$B$4&lt;&gt;"OK","Check cutoffs",IF(OR(NOT(ISNUMBER(C75)),C75&lt;0),"Check spend",_xlfn.IFS(C75&gt;=Cutoffs!$B$3,"Gold",C75&gt;=Cutoffs!$B$2,"Silver",TRUE,"Bronze"))))</f>
        <v/>
      </c>
      <c r="E75" s="7">
        <f>IF(OR(D75="Silver",D75="Bronze"),ROUND(IF(D75="Silver",Cutoffs!$B$3,Cutoffs!$B$2)-C75,2),"")</f>
        <v/>
      </c>
      <c r="F75" s="6">
        <f>IF(C75="","",IF(Cutoffs!$B$4&lt;&gt;"OK","Check cutoffs",IF(OR(NOT(ISNUMBER(C75)),C75&lt;0),"Check spend",IF(C75&gt;=Cutoffs!$B$3,"Gold",IF(C75&gt;=Cutoffs!$B$2,"Silver","Bronze")))))</f>
        <v/>
      </c>
    </row>
    <row r="76">
      <c r="A76" s="4" t="n"/>
      <c r="B76" s="4" t="n"/>
      <c r="C76" s="5" t="n"/>
      <c r="D76" s="6">
        <f>IF(C76="","",IF(Cutoffs!$B$4&lt;&gt;"OK","Check cutoffs",IF(OR(NOT(ISNUMBER(C76)),C76&lt;0),"Check spend",_xlfn.IFS(C76&gt;=Cutoffs!$B$3,"Gold",C76&gt;=Cutoffs!$B$2,"Silver",TRUE,"Bronze"))))</f>
        <v/>
      </c>
      <c r="E76" s="7">
        <f>IF(OR(D76="Silver",D76="Bronze"),ROUND(IF(D76="Silver",Cutoffs!$B$3,Cutoffs!$B$2)-C76,2),"")</f>
        <v/>
      </c>
      <c r="F76" s="6">
        <f>IF(C76="","",IF(Cutoffs!$B$4&lt;&gt;"OK","Check cutoffs",IF(OR(NOT(ISNUMBER(C76)),C76&lt;0),"Check spend",IF(C76&gt;=Cutoffs!$B$3,"Gold",IF(C76&gt;=Cutoffs!$B$2,"Silver","Bronze")))))</f>
        <v/>
      </c>
    </row>
    <row r="77">
      <c r="A77" s="4" t="n"/>
      <c r="B77" s="4" t="n"/>
      <c r="C77" s="5" t="n"/>
      <c r="D77" s="6">
        <f>IF(C77="","",IF(Cutoffs!$B$4&lt;&gt;"OK","Check cutoffs",IF(OR(NOT(ISNUMBER(C77)),C77&lt;0),"Check spend",_xlfn.IFS(C77&gt;=Cutoffs!$B$3,"Gold",C77&gt;=Cutoffs!$B$2,"Silver",TRUE,"Bronze"))))</f>
        <v/>
      </c>
      <c r="E77" s="7">
        <f>IF(OR(D77="Silver",D77="Bronze"),ROUND(IF(D77="Silver",Cutoffs!$B$3,Cutoffs!$B$2)-C77,2),"")</f>
        <v/>
      </c>
      <c r="F77" s="6">
        <f>IF(C77="","",IF(Cutoffs!$B$4&lt;&gt;"OK","Check cutoffs",IF(OR(NOT(ISNUMBER(C77)),C77&lt;0),"Check spend",IF(C77&gt;=Cutoffs!$B$3,"Gold",IF(C77&gt;=Cutoffs!$B$2,"Silver","Bronze")))))</f>
        <v/>
      </c>
    </row>
    <row r="78">
      <c r="A78" s="4" t="n"/>
      <c r="B78" s="4" t="n"/>
      <c r="C78" s="5" t="n"/>
      <c r="D78" s="6">
        <f>IF(C78="","",IF(Cutoffs!$B$4&lt;&gt;"OK","Check cutoffs",IF(OR(NOT(ISNUMBER(C78)),C78&lt;0),"Check spend",_xlfn.IFS(C78&gt;=Cutoffs!$B$3,"Gold",C78&gt;=Cutoffs!$B$2,"Silver",TRUE,"Bronze"))))</f>
        <v/>
      </c>
      <c r="E78" s="7">
        <f>IF(OR(D78="Silver",D78="Bronze"),ROUND(IF(D78="Silver",Cutoffs!$B$3,Cutoffs!$B$2)-C78,2),"")</f>
        <v/>
      </c>
      <c r="F78" s="6">
        <f>IF(C78="","",IF(Cutoffs!$B$4&lt;&gt;"OK","Check cutoffs",IF(OR(NOT(ISNUMBER(C78)),C78&lt;0),"Check spend",IF(C78&gt;=Cutoffs!$B$3,"Gold",IF(C78&gt;=Cutoffs!$B$2,"Silver","Bronze")))))</f>
        <v/>
      </c>
    </row>
    <row r="79">
      <c r="A79" s="4" t="n"/>
      <c r="B79" s="4" t="n"/>
      <c r="C79" s="5" t="n"/>
      <c r="D79" s="6">
        <f>IF(C79="","",IF(Cutoffs!$B$4&lt;&gt;"OK","Check cutoffs",IF(OR(NOT(ISNUMBER(C79)),C79&lt;0),"Check spend",_xlfn.IFS(C79&gt;=Cutoffs!$B$3,"Gold",C79&gt;=Cutoffs!$B$2,"Silver",TRUE,"Bronze"))))</f>
        <v/>
      </c>
      <c r="E79" s="7">
        <f>IF(OR(D79="Silver",D79="Bronze"),ROUND(IF(D79="Silver",Cutoffs!$B$3,Cutoffs!$B$2)-C79,2),"")</f>
        <v/>
      </c>
      <c r="F79" s="6">
        <f>IF(C79="","",IF(Cutoffs!$B$4&lt;&gt;"OK","Check cutoffs",IF(OR(NOT(ISNUMBER(C79)),C79&lt;0),"Check spend",IF(C79&gt;=Cutoffs!$B$3,"Gold",IF(C79&gt;=Cutoffs!$B$2,"Silver","Bronze")))))</f>
        <v/>
      </c>
    </row>
    <row r="80">
      <c r="A80" s="4" t="n"/>
      <c r="B80" s="4" t="n"/>
      <c r="C80" s="5" t="n"/>
      <c r="D80" s="6">
        <f>IF(C80="","",IF(Cutoffs!$B$4&lt;&gt;"OK","Check cutoffs",IF(OR(NOT(ISNUMBER(C80)),C80&lt;0),"Check spend",_xlfn.IFS(C80&gt;=Cutoffs!$B$3,"Gold",C80&gt;=Cutoffs!$B$2,"Silver",TRUE,"Bronze"))))</f>
        <v/>
      </c>
      <c r="E80" s="7">
        <f>IF(OR(D80="Silver",D80="Bronze"),ROUND(IF(D80="Silver",Cutoffs!$B$3,Cutoffs!$B$2)-C80,2),"")</f>
        <v/>
      </c>
      <c r="F80" s="6">
        <f>IF(C80="","",IF(Cutoffs!$B$4&lt;&gt;"OK","Check cutoffs",IF(OR(NOT(ISNUMBER(C80)),C80&lt;0),"Check spend",IF(C80&gt;=Cutoffs!$B$3,"Gold",IF(C80&gt;=Cutoffs!$B$2,"Silver","Bronze")))))</f>
        <v/>
      </c>
    </row>
    <row r="81">
      <c r="A81" s="4" t="n"/>
      <c r="B81" s="4" t="n"/>
      <c r="C81" s="5" t="n"/>
      <c r="D81" s="6">
        <f>IF(C81="","",IF(Cutoffs!$B$4&lt;&gt;"OK","Check cutoffs",IF(OR(NOT(ISNUMBER(C81)),C81&lt;0),"Check spend",_xlfn.IFS(C81&gt;=Cutoffs!$B$3,"Gold",C81&gt;=Cutoffs!$B$2,"Silver",TRUE,"Bronze"))))</f>
        <v/>
      </c>
      <c r="E81" s="7">
        <f>IF(OR(D81="Silver",D81="Bronze"),ROUND(IF(D81="Silver",Cutoffs!$B$3,Cutoffs!$B$2)-C81,2),"")</f>
        <v/>
      </c>
      <c r="F81" s="6">
        <f>IF(C81="","",IF(Cutoffs!$B$4&lt;&gt;"OK","Check cutoffs",IF(OR(NOT(ISNUMBER(C81)),C81&lt;0),"Check spend",IF(C81&gt;=Cutoffs!$B$3,"Gold",IF(C81&gt;=Cutoffs!$B$2,"Silver","Bronze")))))</f>
        <v/>
      </c>
    </row>
    <row r="82">
      <c r="A82" s="4" t="n"/>
      <c r="B82" s="4" t="n"/>
      <c r="C82" s="5" t="n"/>
      <c r="D82" s="6">
        <f>IF(C82="","",IF(Cutoffs!$B$4&lt;&gt;"OK","Check cutoffs",IF(OR(NOT(ISNUMBER(C82)),C82&lt;0),"Check spend",_xlfn.IFS(C82&gt;=Cutoffs!$B$3,"Gold",C82&gt;=Cutoffs!$B$2,"Silver",TRUE,"Bronze"))))</f>
        <v/>
      </c>
      <c r="E82" s="7">
        <f>IF(OR(D82="Silver",D82="Bronze"),ROUND(IF(D82="Silver",Cutoffs!$B$3,Cutoffs!$B$2)-C82,2),"")</f>
        <v/>
      </c>
      <c r="F82" s="6">
        <f>IF(C82="","",IF(Cutoffs!$B$4&lt;&gt;"OK","Check cutoffs",IF(OR(NOT(ISNUMBER(C82)),C82&lt;0),"Check spend",IF(C82&gt;=Cutoffs!$B$3,"Gold",IF(C82&gt;=Cutoffs!$B$2,"Silver","Bronze")))))</f>
        <v/>
      </c>
    </row>
    <row r="83">
      <c r="A83" s="4" t="n"/>
      <c r="B83" s="4" t="n"/>
      <c r="C83" s="5" t="n"/>
      <c r="D83" s="6">
        <f>IF(C83="","",IF(Cutoffs!$B$4&lt;&gt;"OK","Check cutoffs",IF(OR(NOT(ISNUMBER(C83)),C83&lt;0),"Check spend",_xlfn.IFS(C83&gt;=Cutoffs!$B$3,"Gold",C83&gt;=Cutoffs!$B$2,"Silver",TRUE,"Bronze"))))</f>
        <v/>
      </c>
      <c r="E83" s="7">
        <f>IF(OR(D83="Silver",D83="Bronze"),ROUND(IF(D83="Silver",Cutoffs!$B$3,Cutoffs!$B$2)-C83,2),"")</f>
        <v/>
      </c>
      <c r="F83" s="6">
        <f>IF(C83="","",IF(Cutoffs!$B$4&lt;&gt;"OK","Check cutoffs",IF(OR(NOT(ISNUMBER(C83)),C83&lt;0),"Check spend",IF(C83&gt;=Cutoffs!$B$3,"Gold",IF(C83&gt;=Cutoffs!$B$2,"Silver","Bronze")))))</f>
        <v/>
      </c>
    </row>
    <row r="84">
      <c r="A84" s="4" t="n"/>
      <c r="B84" s="4" t="n"/>
      <c r="C84" s="5" t="n"/>
      <c r="D84" s="6">
        <f>IF(C84="","",IF(Cutoffs!$B$4&lt;&gt;"OK","Check cutoffs",IF(OR(NOT(ISNUMBER(C84)),C84&lt;0),"Check spend",_xlfn.IFS(C84&gt;=Cutoffs!$B$3,"Gold",C84&gt;=Cutoffs!$B$2,"Silver",TRUE,"Bronze"))))</f>
        <v/>
      </c>
      <c r="E84" s="7">
        <f>IF(OR(D84="Silver",D84="Bronze"),ROUND(IF(D84="Silver",Cutoffs!$B$3,Cutoffs!$B$2)-C84,2),"")</f>
        <v/>
      </c>
      <c r="F84" s="6">
        <f>IF(C84="","",IF(Cutoffs!$B$4&lt;&gt;"OK","Check cutoffs",IF(OR(NOT(ISNUMBER(C84)),C84&lt;0),"Check spend",IF(C84&gt;=Cutoffs!$B$3,"Gold",IF(C84&gt;=Cutoffs!$B$2,"Silver","Bronze")))))</f>
        <v/>
      </c>
    </row>
    <row r="85">
      <c r="A85" s="4" t="n"/>
      <c r="B85" s="4" t="n"/>
      <c r="C85" s="5" t="n"/>
      <c r="D85" s="6">
        <f>IF(C85="","",IF(Cutoffs!$B$4&lt;&gt;"OK","Check cutoffs",IF(OR(NOT(ISNUMBER(C85)),C85&lt;0),"Check spend",_xlfn.IFS(C85&gt;=Cutoffs!$B$3,"Gold",C85&gt;=Cutoffs!$B$2,"Silver",TRUE,"Bronze"))))</f>
        <v/>
      </c>
      <c r="E85" s="7">
        <f>IF(OR(D85="Silver",D85="Bronze"),ROUND(IF(D85="Silver",Cutoffs!$B$3,Cutoffs!$B$2)-C85,2),"")</f>
        <v/>
      </c>
      <c r="F85" s="6">
        <f>IF(C85="","",IF(Cutoffs!$B$4&lt;&gt;"OK","Check cutoffs",IF(OR(NOT(ISNUMBER(C85)),C85&lt;0),"Check spend",IF(C85&gt;=Cutoffs!$B$3,"Gold",IF(C85&gt;=Cutoffs!$B$2,"Silver","Bronze")))))</f>
        <v/>
      </c>
    </row>
    <row r="86">
      <c r="A86" s="4" t="n"/>
      <c r="B86" s="4" t="n"/>
      <c r="C86" s="5" t="n"/>
      <c r="D86" s="6">
        <f>IF(C86="","",IF(Cutoffs!$B$4&lt;&gt;"OK","Check cutoffs",IF(OR(NOT(ISNUMBER(C86)),C86&lt;0),"Check spend",_xlfn.IFS(C86&gt;=Cutoffs!$B$3,"Gold",C86&gt;=Cutoffs!$B$2,"Silver",TRUE,"Bronze"))))</f>
        <v/>
      </c>
      <c r="E86" s="7">
        <f>IF(OR(D86="Silver",D86="Bronze"),ROUND(IF(D86="Silver",Cutoffs!$B$3,Cutoffs!$B$2)-C86,2),"")</f>
        <v/>
      </c>
      <c r="F86" s="6">
        <f>IF(C86="","",IF(Cutoffs!$B$4&lt;&gt;"OK","Check cutoffs",IF(OR(NOT(ISNUMBER(C86)),C86&lt;0),"Check spend",IF(C86&gt;=Cutoffs!$B$3,"Gold",IF(C86&gt;=Cutoffs!$B$2,"Silver","Bronze")))))</f>
        <v/>
      </c>
    </row>
    <row r="87">
      <c r="A87" s="4" t="n"/>
      <c r="B87" s="4" t="n"/>
      <c r="C87" s="5" t="n"/>
      <c r="D87" s="6">
        <f>IF(C87="","",IF(Cutoffs!$B$4&lt;&gt;"OK","Check cutoffs",IF(OR(NOT(ISNUMBER(C87)),C87&lt;0),"Check spend",_xlfn.IFS(C87&gt;=Cutoffs!$B$3,"Gold",C87&gt;=Cutoffs!$B$2,"Silver",TRUE,"Bronze"))))</f>
        <v/>
      </c>
      <c r="E87" s="7">
        <f>IF(OR(D87="Silver",D87="Bronze"),ROUND(IF(D87="Silver",Cutoffs!$B$3,Cutoffs!$B$2)-C87,2),"")</f>
        <v/>
      </c>
      <c r="F87" s="6">
        <f>IF(C87="","",IF(Cutoffs!$B$4&lt;&gt;"OK","Check cutoffs",IF(OR(NOT(ISNUMBER(C87)),C87&lt;0),"Check spend",IF(C87&gt;=Cutoffs!$B$3,"Gold",IF(C87&gt;=Cutoffs!$B$2,"Silver","Bronze")))))</f>
        <v/>
      </c>
    </row>
    <row r="88">
      <c r="A88" s="4" t="n"/>
      <c r="B88" s="4" t="n"/>
      <c r="C88" s="5" t="n"/>
      <c r="D88" s="6">
        <f>IF(C88="","",IF(Cutoffs!$B$4&lt;&gt;"OK","Check cutoffs",IF(OR(NOT(ISNUMBER(C88)),C88&lt;0),"Check spend",_xlfn.IFS(C88&gt;=Cutoffs!$B$3,"Gold",C88&gt;=Cutoffs!$B$2,"Silver",TRUE,"Bronze"))))</f>
        <v/>
      </c>
      <c r="E88" s="7">
        <f>IF(OR(D88="Silver",D88="Bronze"),ROUND(IF(D88="Silver",Cutoffs!$B$3,Cutoffs!$B$2)-C88,2),"")</f>
        <v/>
      </c>
      <c r="F88" s="6">
        <f>IF(C88="","",IF(Cutoffs!$B$4&lt;&gt;"OK","Check cutoffs",IF(OR(NOT(ISNUMBER(C88)),C88&lt;0),"Check spend",IF(C88&gt;=Cutoffs!$B$3,"Gold",IF(C88&gt;=Cutoffs!$B$2,"Silver","Bronze")))))</f>
        <v/>
      </c>
    </row>
    <row r="89">
      <c r="A89" s="4" t="n"/>
      <c r="B89" s="4" t="n"/>
      <c r="C89" s="5" t="n"/>
      <c r="D89" s="6">
        <f>IF(C89="","",IF(Cutoffs!$B$4&lt;&gt;"OK","Check cutoffs",IF(OR(NOT(ISNUMBER(C89)),C89&lt;0),"Check spend",_xlfn.IFS(C89&gt;=Cutoffs!$B$3,"Gold",C89&gt;=Cutoffs!$B$2,"Silver",TRUE,"Bronze"))))</f>
        <v/>
      </c>
      <c r="E89" s="7">
        <f>IF(OR(D89="Silver",D89="Bronze"),ROUND(IF(D89="Silver",Cutoffs!$B$3,Cutoffs!$B$2)-C89,2),"")</f>
        <v/>
      </c>
      <c r="F89" s="6">
        <f>IF(C89="","",IF(Cutoffs!$B$4&lt;&gt;"OK","Check cutoffs",IF(OR(NOT(ISNUMBER(C89)),C89&lt;0),"Check spend",IF(C89&gt;=Cutoffs!$B$3,"Gold",IF(C89&gt;=Cutoffs!$B$2,"Silver","Bronze")))))</f>
        <v/>
      </c>
    </row>
    <row r="90">
      <c r="A90" s="4" t="n"/>
      <c r="B90" s="4" t="n"/>
      <c r="C90" s="5" t="n"/>
      <c r="D90" s="6">
        <f>IF(C90="","",IF(Cutoffs!$B$4&lt;&gt;"OK","Check cutoffs",IF(OR(NOT(ISNUMBER(C90)),C90&lt;0),"Check spend",_xlfn.IFS(C90&gt;=Cutoffs!$B$3,"Gold",C90&gt;=Cutoffs!$B$2,"Silver",TRUE,"Bronze"))))</f>
        <v/>
      </c>
      <c r="E90" s="7">
        <f>IF(OR(D90="Silver",D90="Bronze"),ROUND(IF(D90="Silver",Cutoffs!$B$3,Cutoffs!$B$2)-C90,2),"")</f>
        <v/>
      </c>
      <c r="F90" s="6">
        <f>IF(C90="","",IF(Cutoffs!$B$4&lt;&gt;"OK","Check cutoffs",IF(OR(NOT(ISNUMBER(C90)),C90&lt;0),"Check spend",IF(C90&gt;=Cutoffs!$B$3,"Gold",IF(C90&gt;=Cutoffs!$B$2,"Silver","Bronze")))))</f>
        <v/>
      </c>
    </row>
    <row r="91">
      <c r="A91" s="4" t="n"/>
      <c r="B91" s="4" t="n"/>
      <c r="C91" s="5" t="n"/>
      <c r="D91" s="6">
        <f>IF(C91="","",IF(Cutoffs!$B$4&lt;&gt;"OK","Check cutoffs",IF(OR(NOT(ISNUMBER(C91)),C91&lt;0),"Check spend",_xlfn.IFS(C91&gt;=Cutoffs!$B$3,"Gold",C91&gt;=Cutoffs!$B$2,"Silver",TRUE,"Bronze"))))</f>
        <v/>
      </c>
      <c r="E91" s="7">
        <f>IF(OR(D91="Silver",D91="Bronze"),ROUND(IF(D91="Silver",Cutoffs!$B$3,Cutoffs!$B$2)-C91,2),"")</f>
        <v/>
      </c>
      <c r="F91" s="6">
        <f>IF(C91="","",IF(Cutoffs!$B$4&lt;&gt;"OK","Check cutoffs",IF(OR(NOT(ISNUMBER(C91)),C91&lt;0),"Check spend",IF(C91&gt;=Cutoffs!$B$3,"Gold",IF(C91&gt;=Cutoffs!$B$2,"Silver","Bronze")))))</f>
        <v/>
      </c>
    </row>
    <row r="92">
      <c r="A92" s="4" t="n"/>
      <c r="B92" s="4" t="n"/>
      <c r="C92" s="5" t="n"/>
      <c r="D92" s="6">
        <f>IF(C92="","",IF(Cutoffs!$B$4&lt;&gt;"OK","Check cutoffs",IF(OR(NOT(ISNUMBER(C92)),C92&lt;0),"Check spend",_xlfn.IFS(C92&gt;=Cutoffs!$B$3,"Gold",C92&gt;=Cutoffs!$B$2,"Silver",TRUE,"Bronze"))))</f>
        <v/>
      </c>
      <c r="E92" s="7">
        <f>IF(OR(D92="Silver",D92="Bronze"),ROUND(IF(D92="Silver",Cutoffs!$B$3,Cutoffs!$B$2)-C92,2),"")</f>
        <v/>
      </c>
      <c r="F92" s="6">
        <f>IF(C92="","",IF(Cutoffs!$B$4&lt;&gt;"OK","Check cutoffs",IF(OR(NOT(ISNUMBER(C92)),C92&lt;0),"Check spend",IF(C92&gt;=Cutoffs!$B$3,"Gold",IF(C92&gt;=Cutoffs!$B$2,"Silver","Bronze")))))</f>
        <v/>
      </c>
    </row>
    <row r="93">
      <c r="A93" s="4" t="n"/>
      <c r="B93" s="4" t="n"/>
      <c r="C93" s="5" t="n"/>
      <c r="D93" s="6">
        <f>IF(C93="","",IF(Cutoffs!$B$4&lt;&gt;"OK","Check cutoffs",IF(OR(NOT(ISNUMBER(C93)),C93&lt;0),"Check spend",_xlfn.IFS(C93&gt;=Cutoffs!$B$3,"Gold",C93&gt;=Cutoffs!$B$2,"Silver",TRUE,"Bronze"))))</f>
        <v/>
      </c>
      <c r="E93" s="7">
        <f>IF(OR(D93="Silver",D93="Bronze"),ROUND(IF(D93="Silver",Cutoffs!$B$3,Cutoffs!$B$2)-C93,2),"")</f>
        <v/>
      </c>
      <c r="F93" s="6">
        <f>IF(C93="","",IF(Cutoffs!$B$4&lt;&gt;"OK","Check cutoffs",IF(OR(NOT(ISNUMBER(C93)),C93&lt;0),"Check spend",IF(C93&gt;=Cutoffs!$B$3,"Gold",IF(C93&gt;=Cutoffs!$B$2,"Silver","Bronze")))))</f>
        <v/>
      </c>
    </row>
    <row r="94">
      <c r="A94" s="4" t="n"/>
      <c r="B94" s="4" t="n"/>
      <c r="C94" s="5" t="n"/>
      <c r="D94" s="6">
        <f>IF(C94="","",IF(Cutoffs!$B$4&lt;&gt;"OK","Check cutoffs",IF(OR(NOT(ISNUMBER(C94)),C94&lt;0),"Check spend",_xlfn.IFS(C94&gt;=Cutoffs!$B$3,"Gold",C94&gt;=Cutoffs!$B$2,"Silver",TRUE,"Bronze"))))</f>
        <v/>
      </c>
      <c r="E94" s="7">
        <f>IF(OR(D94="Silver",D94="Bronze"),ROUND(IF(D94="Silver",Cutoffs!$B$3,Cutoffs!$B$2)-C94,2),"")</f>
        <v/>
      </c>
      <c r="F94" s="6">
        <f>IF(C94="","",IF(Cutoffs!$B$4&lt;&gt;"OK","Check cutoffs",IF(OR(NOT(ISNUMBER(C94)),C94&lt;0),"Check spend",IF(C94&gt;=Cutoffs!$B$3,"Gold",IF(C94&gt;=Cutoffs!$B$2,"Silver","Bronze")))))</f>
        <v/>
      </c>
    </row>
    <row r="95">
      <c r="A95" s="4" t="n"/>
      <c r="B95" s="4" t="n"/>
      <c r="C95" s="5" t="n"/>
      <c r="D95" s="6">
        <f>IF(C95="","",IF(Cutoffs!$B$4&lt;&gt;"OK","Check cutoffs",IF(OR(NOT(ISNUMBER(C95)),C95&lt;0),"Check spend",_xlfn.IFS(C95&gt;=Cutoffs!$B$3,"Gold",C95&gt;=Cutoffs!$B$2,"Silver",TRUE,"Bronze"))))</f>
        <v/>
      </c>
      <c r="E95" s="7">
        <f>IF(OR(D95="Silver",D95="Bronze"),ROUND(IF(D95="Silver",Cutoffs!$B$3,Cutoffs!$B$2)-C95,2),"")</f>
        <v/>
      </c>
      <c r="F95" s="6">
        <f>IF(C95="","",IF(Cutoffs!$B$4&lt;&gt;"OK","Check cutoffs",IF(OR(NOT(ISNUMBER(C95)),C95&lt;0),"Check spend",IF(C95&gt;=Cutoffs!$B$3,"Gold",IF(C95&gt;=Cutoffs!$B$2,"Silver","Bronze")))))</f>
        <v/>
      </c>
    </row>
    <row r="96">
      <c r="A96" s="4" t="n"/>
      <c r="B96" s="4" t="n"/>
      <c r="C96" s="5" t="n"/>
      <c r="D96" s="6">
        <f>IF(C96="","",IF(Cutoffs!$B$4&lt;&gt;"OK","Check cutoffs",IF(OR(NOT(ISNUMBER(C96)),C96&lt;0),"Check spend",_xlfn.IFS(C96&gt;=Cutoffs!$B$3,"Gold",C96&gt;=Cutoffs!$B$2,"Silver",TRUE,"Bronze"))))</f>
        <v/>
      </c>
      <c r="E96" s="7">
        <f>IF(OR(D96="Silver",D96="Bronze"),ROUND(IF(D96="Silver",Cutoffs!$B$3,Cutoffs!$B$2)-C96,2),"")</f>
        <v/>
      </c>
      <c r="F96" s="6">
        <f>IF(C96="","",IF(Cutoffs!$B$4&lt;&gt;"OK","Check cutoffs",IF(OR(NOT(ISNUMBER(C96)),C96&lt;0),"Check spend",IF(C96&gt;=Cutoffs!$B$3,"Gold",IF(C96&gt;=Cutoffs!$B$2,"Silver","Bronze")))))</f>
        <v/>
      </c>
    </row>
    <row r="97">
      <c r="A97" s="4" t="n"/>
      <c r="B97" s="4" t="n"/>
      <c r="C97" s="5" t="n"/>
      <c r="D97" s="6">
        <f>IF(C97="","",IF(Cutoffs!$B$4&lt;&gt;"OK","Check cutoffs",IF(OR(NOT(ISNUMBER(C97)),C97&lt;0),"Check spend",_xlfn.IFS(C97&gt;=Cutoffs!$B$3,"Gold",C97&gt;=Cutoffs!$B$2,"Silver",TRUE,"Bronze"))))</f>
        <v/>
      </c>
      <c r="E97" s="7">
        <f>IF(OR(D97="Silver",D97="Bronze"),ROUND(IF(D97="Silver",Cutoffs!$B$3,Cutoffs!$B$2)-C97,2),"")</f>
        <v/>
      </c>
      <c r="F97" s="6">
        <f>IF(C97="","",IF(Cutoffs!$B$4&lt;&gt;"OK","Check cutoffs",IF(OR(NOT(ISNUMBER(C97)),C97&lt;0),"Check spend",IF(C97&gt;=Cutoffs!$B$3,"Gold",IF(C97&gt;=Cutoffs!$B$2,"Silver","Bronze")))))</f>
        <v/>
      </c>
    </row>
    <row r="98">
      <c r="A98" s="4" t="n"/>
      <c r="B98" s="4" t="n"/>
      <c r="C98" s="5" t="n"/>
      <c r="D98" s="6">
        <f>IF(C98="","",IF(Cutoffs!$B$4&lt;&gt;"OK","Check cutoffs",IF(OR(NOT(ISNUMBER(C98)),C98&lt;0),"Check spend",_xlfn.IFS(C98&gt;=Cutoffs!$B$3,"Gold",C98&gt;=Cutoffs!$B$2,"Silver",TRUE,"Bronze"))))</f>
        <v/>
      </c>
      <c r="E98" s="7">
        <f>IF(OR(D98="Silver",D98="Bronze"),ROUND(IF(D98="Silver",Cutoffs!$B$3,Cutoffs!$B$2)-C98,2),"")</f>
        <v/>
      </c>
      <c r="F98" s="6">
        <f>IF(C98="","",IF(Cutoffs!$B$4&lt;&gt;"OK","Check cutoffs",IF(OR(NOT(ISNUMBER(C98)),C98&lt;0),"Check spend",IF(C98&gt;=Cutoffs!$B$3,"Gold",IF(C98&gt;=Cutoffs!$B$2,"Silver","Bronze")))))</f>
        <v/>
      </c>
    </row>
    <row r="99">
      <c r="A99" s="4" t="n"/>
      <c r="B99" s="4" t="n"/>
      <c r="C99" s="5" t="n"/>
      <c r="D99" s="6">
        <f>IF(C99="","",IF(Cutoffs!$B$4&lt;&gt;"OK","Check cutoffs",IF(OR(NOT(ISNUMBER(C99)),C99&lt;0),"Check spend",_xlfn.IFS(C99&gt;=Cutoffs!$B$3,"Gold",C99&gt;=Cutoffs!$B$2,"Silver",TRUE,"Bronze"))))</f>
        <v/>
      </c>
      <c r="E99" s="7">
        <f>IF(OR(D99="Silver",D99="Bronze"),ROUND(IF(D99="Silver",Cutoffs!$B$3,Cutoffs!$B$2)-C99,2),"")</f>
        <v/>
      </c>
      <c r="F99" s="6">
        <f>IF(C99="","",IF(Cutoffs!$B$4&lt;&gt;"OK","Check cutoffs",IF(OR(NOT(ISNUMBER(C99)),C99&lt;0),"Check spend",IF(C99&gt;=Cutoffs!$B$3,"Gold",IF(C99&gt;=Cutoffs!$B$2,"Silver","Bronze")))))</f>
        <v/>
      </c>
    </row>
    <row r="100">
      <c r="A100" s="4" t="n"/>
      <c r="B100" s="4" t="n"/>
      <c r="C100" s="5" t="n"/>
      <c r="D100" s="6">
        <f>IF(C100="","",IF(Cutoffs!$B$4&lt;&gt;"OK","Check cutoffs",IF(OR(NOT(ISNUMBER(C100)),C100&lt;0),"Check spend",_xlfn.IFS(C100&gt;=Cutoffs!$B$3,"Gold",C100&gt;=Cutoffs!$B$2,"Silver",TRUE,"Bronze"))))</f>
        <v/>
      </c>
      <c r="E100" s="7">
        <f>IF(OR(D100="Silver",D100="Bronze"),ROUND(IF(D100="Silver",Cutoffs!$B$3,Cutoffs!$B$2)-C100,2),"")</f>
        <v/>
      </c>
      <c r="F100" s="6">
        <f>IF(C100="","",IF(Cutoffs!$B$4&lt;&gt;"OK","Check cutoffs",IF(OR(NOT(ISNUMBER(C100)),C100&lt;0),"Check spend",IF(C100&gt;=Cutoffs!$B$3,"Gold",IF(C100&gt;=Cutoffs!$B$2,"Silver","Bronze")))))</f>
        <v/>
      </c>
    </row>
    <row r="101">
      <c r="A101" s="4" t="n"/>
      <c r="B101" s="4" t="n"/>
      <c r="C101" s="5" t="n"/>
      <c r="D101" s="6">
        <f>IF(C101="","",IF(Cutoffs!$B$4&lt;&gt;"OK","Check cutoffs",IF(OR(NOT(ISNUMBER(C101)),C101&lt;0),"Check spend",_xlfn.IFS(C101&gt;=Cutoffs!$B$3,"Gold",C101&gt;=Cutoffs!$B$2,"Silver",TRUE,"Bronze"))))</f>
        <v/>
      </c>
      <c r="E101" s="7">
        <f>IF(OR(D101="Silver",D101="Bronze"),ROUND(IF(D101="Silver",Cutoffs!$B$3,Cutoffs!$B$2)-C101,2),"")</f>
        <v/>
      </c>
      <c r="F101" s="6">
        <f>IF(C101="","",IF(Cutoffs!$B$4&lt;&gt;"OK","Check cutoffs",IF(OR(NOT(ISNUMBER(C101)),C101&lt;0),"Check spend",IF(C101&gt;=Cutoffs!$B$3,"Gold",IF(C101&gt;=Cutoffs!$B$2,"Silver","Bronze")))))</f>
        <v/>
      </c>
    </row>
    <row r="102">
      <c r="A102" s="4" t="n"/>
      <c r="B102" s="4" t="n"/>
      <c r="C102" s="5" t="n"/>
      <c r="D102" s="6">
        <f>IF(C102="","",IF(Cutoffs!$B$4&lt;&gt;"OK","Check cutoffs",IF(OR(NOT(ISNUMBER(C102)),C102&lt;0),"Check spend",_xlfn.IFS(C102&gt;=Cutoffs!$B$3,"Gold",C102&gt;=Cutoffs!$B$2,"Silver",TRUE,"Bronze"))))</f>
        <v/>
      </c>
      <c r="E102" s="7">
        <f>IF(OR(D102="Silver",D102="Bronze"),ROUND(IF(D102="Silver",Cutoffs!$B$3,Cutoffs!$B$2)-C102,2),"")</f>
        <v/>
      </c>
      <c r="F102" s="6">
        <f>IF(C102="","",IF(Cutoffs!$B$4&lt;&gt;"OK","Check cutoffs",IF(OR(NOT(ISNUMBER(C102)),C102&lt;0),"Check spend",IF(C102&gt;=Cutoffs!$B$3,"Gold",IF(C102&gt;=Cutoffs!$B$2,"Silver","Bronze")))))</f>
        <v/>
      </c>
    </row>
    <row r="103">
      <c r="A103" s="4" t="n"/>
      <c r="B103" s="4" t="n"/>
      <c r="C103" s="5" t="n"/>
      <c r="D103" s="6">
        <f>IF(C103="","",IF(Cutoffs!$B$4&lt;&gt;"OK","Check cutoffs",IF(OR(NOT(ISNUMBER(C103)),C103&lt;0),"Check spend",_xlfn.IFS(C103&gt;=Cutoffs!$B$3,"Gold",C103&gt;=Cutoffs!$B$2,"Silver",TRUE,"Bronze"))))</f>
        <v/>
      </c>
      <c r="E103" s="7">
        <f>IF(OR(D103="Silver",D103="Bronze"),ROUND(IF(D103="Silver",Cutoffs!$B$3,Cutoffs!$B$2)-C103,2),"")</f>
        <v/>
      </c>
      <c r="F103" s="6">
        <f>IF(C103="","",IF(Cutoffs!$B$4&lt;&gt;"OK","Check cutoffs",IF(OR(NOT(ISNUMBER(C103)),C103&lt;0),"Check spend",IF(C103&gt;=Cutoffs!$B$3,"Gold",IF(C103&gt;=Cutoffs!$B$2,"Silver","Bronze")))))</f>
        <v/>
      </c>
    </row>
    <row r="104">
      <c r="A104" s="4" t="n"/>
      <c r="B104" s="4" t="n"/>
      <c r="C104" s="5" t="n"/>
      <c r="D104" s="6">
        <f>IF(C104="","",IF(Cutoffs!$B$4&lt;&gt;"OK","Check cutoffs",IF(OR(NOT(ISNUMBER(C104)),C104&lt;0),"Check spend",_xlfn.IFS(C104&gt;=Cutoffs!$B$3,"Gold",C104&gt;=Cutoffs!$B$2,"Silver",TRUE,"Bronze"))))</f>
        <v/>
      </c>
      <c r="E104" s="7">
        <f>IF(OR(D104="Silver",D104="Bronze"),ROUND(IF(D104="Silver",Cutoffs!$B$3,Cutoffs!$B$2)-C104,2),"")</f>
        <v/>
      </c>
      <c r="F104" s="6">
        <f>IF(C104="","",IF(Cutoffs!$B$4&lt;&gt;"OK","Check cutoffs",IF(OR(NOT(ISNUMBER(C104)),C104&lt;0),"Check spend",IF(C104&gt;=Cutoffs!$B$3,"Gold",IF(C104&gt;=Cutoffs!$B$2,"Silver","Bronze")))))</f>
        <v/>
      </c>
    </row>
  </sheetData>
  <conditionalFormatting sqref="D5:D104">
    <cfRule type="expression" priority="1" dxfId="0">
      <formula>D5="Gold"</formula>
    </cfRule>
    <cfRule type="expression" priority="2" dxfId="1">
      <formula>D5="Silver"</formula>
    </cfRule>
    <cfRule type="expression" priority="3" dxfId="2">
      <formula>D5="Bronze"</formula>
    </cfRule>
    <cfRule type="expression" priority="4" dxfId="3">
      <formula>LEFT(D5,5)="Check"</formula>
    </cfRule>
  </conditionalFormatting>
  <conditionalFormatting sqref="I10">
    <cfRule type="expression" priority="5" dxfId="3">
      <formula>AND(I10&lt;&gt;"OK",I10&lt;&gt;"")</formula>
    </cfRule>
  </conditionalFormatting>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B6"/>
  <sheetViews>
    <sheetView workbookViewId="0">
      <selection activeCell="A1" sqref="A1"/>
    </sheetView>
  </sheetViews>
  <sheetFormatPr baseColWidth="8" defaultRowHeight="15"/>
  <cols>
    <col width="16" customWidth="1" min="1" max="1"/>
    <col width="40" customWidth="1" min="2" max="2"/>
  </cols>
  <sheetData>
    <row r="1">
      <c r="A1" s="3" t="inlineStr">
        <is>
          <t>Label</t>
        </is>
      </c>
      <c r="B1" s="3" t="inlineStr">
        <is>
          <t>Lifetime spend from</t>
        </is>
      </c>
    </row>
    <row r="2">
      <c r="A2" t="inlineStr">
        <is>
          <t>Silver</t>
        </is>
      </c>
      <c r="B2" s="5" t="n">
        <v>500</v>
      </c>
    </row>
    <row r="3">
      <c r="A3" t="inlineStr">
        <is>
          <t>Gold</t>
        </is>
      </c>
      <c r="B3" s="5" t="n">
        <v>1000</v>
      </c>
    </row>
    <row r="4">
      <c r="A4" s="10" t="inlineStr">
        <is>
          <t>Cutoff check</t>
        </is>
      </c>
      <c r="B4" s="8">
        <f>IF(AND(ISNUMBER(B2),ISNUMBER(B3)),IF(AND(B2&gt;0,B2&lt;B3),"OK","Silver must be above 0 and below Gold"),"Type a number in each yellow cell")</f>
        <v/>
      </c>
    </row>
    <row r="6">
      <c r="A6" s="1" t="inlineStr">
        <is>
          <t>Bronze is anyone below the Silver cutoff. Exactly on a cutoff gets the higher label.</t>
        </is>
      </c>
    </row>
  </sheetData>
  <conditionalFormatting sqref="B4">
    <cfRule type="expression" priority="1" dxfId="3">
      <formula>$B$4&lt;&gt;"OK"</formula>
    </cfRule>
  </conditionalFormatting>
  <pageMargins left="0.75" right="0.75" top="1" bottom="1" header="0.5" footer="0.5"/>
  <pageSetup orientation="portrait" paperSize="1" fitToHeight="0" fitToWidth="1"/>
</worksheet>
</file>

<file path=xl/worksheets/sheet3.xml><?xml version="1.0" encoding="utf-8"?>
<worksheet xmlns="http://schemas.openxmlformats.org/spreadsheetml/2006/main">
  <sheetPr>
    <outlinePr summaryBelow="1" summaryRight="1"/>
    <pageSetUpPr fitToPage="1"/>
  </sheetPr>
  <dimension ref="A1:A13"/>
  <sheetViews>
    <sheetView workbookViewId="0">
      <selection activeCell="A1" sqref="A1"/>
    </sheetView>
  </sheetViews>
  <sheetFormatPr baseColWidth="8" defaultRowHeight="15"/>
  <cols>
    <col width="100" customWidth="1" min="1" max="1"/>
  </cols>
  <sheetData>
    <row r="1">
      <c r="A1" s="12" t="inlineStr">
        <is>
          <t>Tidy Tabs: Label Customers Bronze, Silver or Gold by Spend</t>
        </is>
      </c>
    </row>
    <row r="2">
      <c r="A2" s="13" t="inlineStr"/>
    </row>
    <row r="3">
      <c r="A3" s="13" t="inlineStr">
        <is>
          <t>1. Cutoffs tab: type the Silver cutoff in B2 and the Gold cutoff in B3 (yellow). The sample is Silver from $500.00 and Gold from $1,000.00. B4 shows OK when both are numbers and Silver is above 0 and below Gold.</t>
        </is>
      </c>
    </row>
    <row r="4">
      <c r="A4" s="13" t="inlineStr">
        <is>
          <t>2. Customers tab: type the customer, city and lifetime spend in A5:C104 (yellow, 100 rows; the sample is 25 fictional customers).</t>
        </is>
      </c>
    </row>
    <row r="5">
      <c r="A5" s="13" t="inlineStr">
        <is>
          <t>3. Label, D5: =IFS(C5&gt;=Cutoffs!$B$3,"Gold",C5&gt;=Cutoffs!$B$2,"Silver",TRUE,"Bronze"). IFS goes down the pairs and uses the first one that is true, so the biggest cutoff goes first. The last pair, TRUE, is a catch-all: without it, a spend below Silver gives #N/A because no test is true. The cell also shows Check cutoffs or Check spend (text or a negative number) instead of a wrong label.</t>
        </is>
      </c>
    </row>
    <row r="6">
      <c r="A6" s="13" t="inlineStr">
        <is>
          <t>4. Exactly on a cutoff gets the higher label: $500.00 is Silver, $1,000.00 is Gold, $499.99 stays Bronze.</t>
        </is>
      </c>
    </row>
    <row r="7">
      <c r="A7" s="13" t="inlineStr">
        <is>
          <t>5. To next label, E5: =IF(OR(D5="Silver",D5="Bronze"),ROUND(IF(D5="Silver",Cutoffs!$B$3,Cutoffs!$B$2)-C5,2),""). It shows how many more dollars reach the next label; Gold shows nothing.</t>
        </is>
      </c>
    </row>
    <row r="8">
      <c r="A8" s="13" t="inlineStr">
        <is>
          <t>6. Label, nested IF, F5: =IF(C5&gt;=Cutoffs!$B$3,"Gold",IF(C5&gt;=Cutoffs!$B$2,"Silver","Bronze")) (with the same checks). Same answer without IFS, for a version of Excel that does not have IFS. The summary check compares the two columns.</t>
        </is>
      </c>
    </row>
    <row r="9">
      <c r="A9" s="13" t="inlineStr">
        <is>
          <t>7. Summary, H4:J10: customers and spend per label with =COUNTIF and =SUMIF, the rows that need a look, and the customers with a spend entered. I10 shows OK when the label counts add up to the customers, the IFS and nested IF labels agree, the cutoffs are valid and nothing is typed below row 104.</t>
        </is>
      </c>
    </row>
    <row r="10">
      <c r="A10" s="13" t="inlineStr">
        <is>
          <t>8. These are labels only. They do not say what a customer should get or be owed.</t>
        </is>
      </c>
    </row>
    <row r="11">
      <c r="A11" s="13" t="inlineStr"/>
    </row>
    <row r="12">
      <c r="A12" s="13" t="inlineStr">
        <is>
          <t>Customers and amounts are fictional. Checked in LibreOffice Calc only; not opened in Excel or Google Sheets.</t>
        </is>
      </c>
    </row>
    <row r="13">
      <c r="A13" s="13"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2026-10-28T07:35:44Z</dcterms:created>
  <dcterms:modified xmlns:dcterms="http://purl.org/dc/terms/" xmlns:xsi="http://www.w3.org/2001/XMLSchema-instance" xsi:type="dcterms:W3CDTF">2026-10-28T07:35:44Z</dcterms:modified>
</cp:coreProperties>
</file>