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s" sheetId="1" state="visible" r:id="rId1"/>
    <sheet xmlns:r="http://schemas.openxmlformats.org/officeDocument/2006/relationships" name="Customers" sheetId="2" state="visible" r:id="rId2"/>
    <sheet xmlns:r="http://schemas.openxmlformats.org/officeDocument/2006/relationships" name="How to use" sheetId="3" state="visible" r:id="rId3"/>
  </sheets>
  <definedNames>
    <definedName name="_xlnm.Print_Titles" localSheetId="0">'Orders'!$1:$1</definedName>
    <definedName name="_xlnm.Print_Area" localSheetId="0">'Orders'!$A$1:$B$41</definedName>
    <definedName name="_xlnm.Print_Titles" localSheetId="1">'Customers'!$1:$1</definedName>
    <definedName name="_xlnm.Print_Area" localSheetId="1">'Customers'!$A$1:$I$21</definedName>
  </definedNames>
  <calcPr calcId="124519" fullCalcOnLoad="1"/>
</workbook>
</file>

<file path=xl/styles.xml><?xml version="1.0" encoding="utf-8"?>
<styleSheet xmlns="http://schemas.openxmlformats.org/spreadsheetml/2006/main">
  <numFmts count="3">
    <numFmt numFmtId="164" formatCode="yyyy-mm-dd"/>
    <numFmt numFmtId="165" formatCode="mm/dd/yyyy"/>
    <numFmt numFmtId="166" formatCode="0.0"/>
  </numFmts>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0" fillId="3" borderId="0" pivotButton="0" quotePrefix="0" xfId="0"/>
    <xf numFmtId="165" fontId="0" fillId="3" borderId="0" pivotButton="0" quotePrefix="0" xfId="0"/>
    <xf numFmtId="0" fontId="2" fillId="0" borderId="0" pivotButton="0" quotePrefix="0" xfId="0"/>
    <xf numFmtId="1" fontId="0" fillId="4" borderId="0" applyAlignment="1" pivotButton="0" quotePrefix="0" xfId="0">
      <alignment horizontal="right"/>
    </xf>
    <xf numFmtId="1" fontId="0" fillId="4" borderId="0" pivotButton="0" quotePrefix="0" xfId="0"/>
    <xf numFmtId="165" fontId="0" fillId="4" borderId="0" pivotButton="0" quotePrefix="0" xfId="0"/>
    <xf numFmtId="166" fontId="0" fillId="4" borderId="0" applyAlignment="1" pivotButton="0" quotePrefix="0" xfId="0">
      <alignment horizontal="right"/>
    </xf>
    <xf numFmtId="0" fontId="0" fillId="4" borderId="0" applyAlignment="1" pivotButton="0" quotePrefix="0" xfId="0">
      <alignment horizontal="right"/>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300"/>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s>
  <sheetData>
    <row r="1" ht="30" customHeight="1">
      <c r="A1" s="1" t="inlineStr">
        <is>
          <t>Customer</t>
        </is>
      </c>
      <c r="B1" s="1" t="inlineStr">
        <is>
          <t>Order date</t>
        </is>
      </c>
    </row>
    <row r="2">
      <c r="A2" s="2" t="inlineStr">
        <is>
          <t>Ann Lopez</t>
        </is>
      </c>
      <c r="B2" s="3" t="n">
        <v>46027</v>
      </c>
    </row>
    <row r="3">
      <c r="A3" s="2" t="inlineStr">
        <is>
          <t>Ellis Subscription Box</t>
        </is>
      </c>
      <c r="B3" s="3" t="n">
        <v>46030</v>
      </c>
    </row>
    <row r="4">
      <c r="A4" s="2" t="inlineStr">
        <is>
          <t>Maple Street Gift Shop</t>
        </is>
      </c>
      <c r="B4" s="3" t="n">
        <v>46034</v>
      </c>
    </row>
    <row r="5">
      <c r="A5" s="2" t="inlineStr">
        <is>
          <t>Harbor Coffee Cart</t>
        </is>
      </c>
      <c r="B5" s="3" t="n">
        <v>46042</v>
      </c>
    </row>
    <row r="6">
      <c r="A6" s="2" t="inlineStr">
        <is>
          <t>Cedar Lane Boutique</t>
        </is>
      </c>
      <c r="B6" s="3" t="n">
        <v>46049</v>
      </c>
    </row>
    <row r="7">
      <c r="A7" s="2" t="inlineStr">
        <is>
          <t>Ann Lopez</t>
        </is>
      </c>
      <c r="B7" s="3" t="n">
        <v>46055</v>
      </c>
    </row>
    <row r="8">
      <c r="A8" s="2" t="inlineStr">
        <is>
          <t>Birch and Bloom Florist</t>
        </is>
      </c>
      <c r="B8" s="3" t="n">
        <v>46056</v>
      </c>
    </row>
    <row r="9">
      <c r="A9" s="2" t="inlineStr">
        <is>
          <t>Maple Street Gift Shop</t>
        </is>
      </c>
      <c r="B9" s="3" t="n">
        <v>46062</v>
      </c>
    </row>
    <row r="10">
      <c r="A10" s="2" t="inlineStr">
        <is>
          <t>Ellis Subscription Box</t>
        </is>
      </c>
      <c r="B10" s="3" t="n">
        <v>46065</v>
      </c>
    </row>
    <row r="11">
      <c r="A11" s="2" t="inlineStr">
        <is>
          <t>Pine Hill Market</t>
        </is>
      </c>
      <c r="B11" s="3" t="n">
        <v>46070</v>
      </c>
    </row>
    <row r="12">
      <c r="A12" s="2" t="inlineStr">
        <is>
          <t>Dana Whitfield</t>
        </is>
      </c>
      <c r="B12" s="3" t="n">
        <v>46083</v>
      </c>
    </row>
    <row r="13">
      <c r="A13" s="2" t="inlineStr">
        <is>
          <t>Harbor Coffee Cart</t>
        </is>
      </c>
      <c r="B13" s="3" t="n">
        <v>46084</v>
      </c>
    </row>
    <row r="14">
      <c r="A14" s="2" t="inlineStr">
        <is>
          <t>Maple Street Gift Shop</t>
        </is>
      </c>
      <c r="B14" s="3" t="n">
        <v>46090</v>
      </c>
    </row>
    <row r="15">
      <c r="A15" s="2" t="inlineStr">
        <is>
          <t>Greenway Garden Center</t>
        </is>
      </c>
      <c r="B15" s="3" t="n">
        <v>46091</v>
      </c>
    </row>
    <row r="16">
      <c r="A16" s="2" t="inlineStr">
        <is>
          <t>Ellis Subscription Box</t>
        </is>
      </c>
      <c r="B16" s="3" t="n">
        <v>46093</v>
      </c>
    </row>
    <row r="17">
      <c r="A17" s="2" t="inlineStr">
        <is>
          <t>Birch and Bloom Florist</t>
        </is>
      </c>
      <c r="B17" s="3" t="n">
        <v>46098</v>
      </c>
    </row>
    <row r="18">
      <c r="A18" s="2" t="inlineStr">
        <is>
          <t>Pine Hill Market</t>
        </is>
      </c>
      <c r="B18" s="3" t="n">
        <v>46105</v>
      </c>
    </row>
    <row r="19">
      <c r="A19" s="2" t="inlineStr">
        <is>
          <t>Maple Street Gift Shop</t>
        </is>
      </c>
      <c r="B19" s="3" t="n">
        <v>46118</v>
      </c>
    </row>
    <row r="20">
      <c r="A20" s="2" t="inlineStr">
        <is>
          <t>Ann Lopez</t>
        </is>
      </c>
      <c r="B20" s="3" t="n">
        <v>46125</v>
      </c>
    </row>
    <row r="21">
      <c r="A21" s="2" t="inlineStr">
        <is>
          <t>Ellis Subscription Box</t>
        </is>
      </c>
      <c r="B21" s="3" t="n">
        <v>46128</v>
      </c>
    </row>
    <row r="22">
      <c r="A22" s="2" t="inlineStr">
        <is>
          <t>Cedar Lane Boutique</t>
        </is>
      </c>
      <c r="B22" s="3" t="n">
        <v>46132</v>
      </c>
    </row>
    <row r="23">
      <c r="A23" s="2" t="inlineStr">
        <is>
          <t>Pine Hill Market</t>
        </is>
      </c>
      <c r="B23" s="3" t="n">
        <v>46133</v>
      </c>
    </row>
    <row r="24">
      <c r="A24" s="2" t="inlineStr">
        <is>
          <t>Birch and Bloom Florist</t>
        </is>
      </c>
      <c r="B24" s="3" t="n">
        <v>46140</v>
      </c>
    </row>
    <row r="25">
      <c r="A25" s="2" t="inlineStr">
        <is>
          <t>Maple Street Gift Shop</t>
        </is>
      </c>
      <c r="B25" s="3" t="n">
        <v>46146</v>
      </c>
    </row>
    <row r="26">
      <c r="A26" s="2" t="inlineStr">
        <is>
          <t>Harbor Coffee Cart</t>
        </is>
      </c>
      <c r="B26" s="3" t="n">
        <v>46147</v>
      </c>
    </row>
    <row r="27">
      <c r="A27" s="2" t="inlineStr">
        <is>
          <t>Greenway Garden Center</t>
        </is>
      </c>
      <c r="B27" s="3" t="n">
        <v>46154</v>
      </c>
    </row>
    <row r="28">
      <c r="A28" s="2" t="inlineStr">
        <is>
          <t>Ellis Subscription Box</t>
        </is>
      </c>
      <c r="B28" s="3" t="n">
        <v>46156</v>
      </c>
    </row>
    <row r="29">
      <c r="A29" s="2" t="inlineStr">
        <is>
          <t>Noah Chen</t>
        </is>
      </c>
      <c r="B29" s="3" t="n">
        <v>46161</v>
      </c>
    </row>
    <row r="30">
      <c r="A30" s="2" t="inlineStr">
        <is>
          <t>Pine Hill Market</t>
        </is>
      </c>
      <c r="B30" s="3" t="n">
        <v>46168</v>
      </c>
    </row>
    <row r="31">
      <c r="A31" s="2" t="inlineStr">
        <is>
          <t>Maple Street Gift Shop</t>
        </is>
      </c>
      <c r="B31" s="3" t="n">
        <v>46174</v>
      </c>
    </row>
    <row r="32">
      <c r="A32" s="2" t="inlineStr">
        <is>
          <t>Birch and Bloom Florist</t>
        </is>
      </c>
      <c r="B32" s="3" t="n">
        <v>46182</v>
      </c>
    </row>
    <row r="33">
      <c r="A33" s="2" t="inlineStr">
        <is>
          <t>Pine Hill Market</t>
        </is>
      </c>
      <c r="B33" s="3" t="n">
        <v>46203</v>
      </c>
    </row>
    <row r="34">
      <c r="A34" s="2" t="inlineStr">
        <is>
          <t>Greenway Garden Center</t>
        </is>
      </c>
      <c r="B34" s="3" t="n">
        <v>46210</v>
      </c>
    </row>
    <row r="35">
      <c r="A35" s="2" t="inlineStr">
        <is>
          <t>Harbor Coffee Cart</t>
        </is>
      </c>
      <c r="B35" s="3" t="n">
        <v>46217</v>
      </c>
    </row>
    <row r="36">
      <c r="A36" s="2" t="inlineStr">
        <is>
          <t>Birch and Bloom Florist</t>
        </is>
      </c>
      <c r="B36" s="3" t="n">
        <v>46238</v>
      </c>
    </row>
    <row r="37">
      <c r="A37" s="2" t="inlineStr">
        <is>
          <t>Pine Hill Market</t>
        </is>
      </c>
      <c r="B37" s="3" t="n">
        <v>46238</v>
      </c>
    </row>
    <row r="38">
      <c r="A38" s="2" t="inlineStr">
        <is>
          <t>Cedar Lane Boutique</t>
        </is>
      </c>
      <c r="B38" s="3" t="n">
        <v>46244</v>
      </c>
    </row>
    <row r="39">
      <c r="A39" s="2" t="inlineStr">
        <is>
          <t>Pine Hill Market</t>
        </is>
      </c>
      <c r="B39" s="3" t="n">
        <v>46273</v>
      </c>
    </row>
    <row r="40">
      <c r="A40" s="2" t="inlineStr">
        <is>
          <t>Noah Chen</t>
        </is>
      </c>
      <c r="B40" s="3" t="n">
        <v>46280</v>
      </c>
    </row>
    <row r="41">
      <c r="A41" s="2" t="inlineStr">
        <is>
          <t>Harbor Coffee Cart</t>
        </is>
      </c>
      <c r="B41" s="3" t="n">
        <v>46287</v>
      </c>
    </row>
    <row r="42">
      <c r="A42" s="2" t="n"/>
      <c r="B42" s="3" t="n"/>
    </row>
    <row r="43">
      <c r="A43" s="2" t="n"/>
      <c r="B43" s="3" t="n"/>
    </row>
    <row r="44">
      <c r="A44" s="2" t="n"/>
      <c r="B44" s="3" t="n"/>
    </row>
    <row r="45">
      <c r="A45" s="2" t="n"/>
      <c r="B45" s="3" t="n"/>
    </row>
    <row r="46">
      <c r="A46" s="2" t="n"/>
      <c r="B46" s="3" t="n"/>
    </row>
    <row r="47">
      <c r="A47" s="2" t="n"/>
      <c r="B47" s="3" t="n"/>
    </row>
    <row r="48">
      <c r="A48" s="2" t="n"/>
      <c r="B48" s="3" t="n"/>
    </row>
    <row r="49">
      <c r="A49" s="2" t="n"/>
      <c r="B49" s="3" t="n"/>
    </row>
    <row r="50">
      <c r="A50" s="2" t="n"/>
      <c r="B50" s="3" t="n"/>
    </row>
    <row r="51">
      <c r="A51" s="2" t="n"/>
      <c r="B51" s="3" t="n"/>
    </row>
    <row r="52">
      <c r="A52" s="2" t="n"/>
      <c r="B52" s="3" t="n"/>
    </row>
    <row r="53">
      <c r="A53" s="2" t="n"/>
      <c r="B53" s="3" t="n"/>
    </row>
    <row r="54">
      <c r="A54" s="2" t="n"/>
      <c r="B54" s="3" t="n"/>
    </row>
    <row r="55">
      <c r="A55" s="2" t="n"/>
      <c r="B55" s="3" t="n"/>
    </row>
    <row r="56">
      <c r="A56" s="2" t="n"/>
      <c r="B56" s="3" t="n"/>
    </row>
    <row r="57">
      <c r="A57" s="2" t="n"/>
      <c r="B57" s="3" t="n"/>
    </row>
    <row r="58">
      <c r="A58" s="2" t="n"/>
      <c r="B58" s="3" t="n"/>
    </row>
    <row r="59">
      <c r="A59" s="2" t="n"/>
      <c r="B59" s="3" t="n"/>
    </row>
    <row r="60">
      <c r="A60" s="2" t="n"/>
      <c r="B60" s="3" t="n"/>
    </row>
    <row r="61">
      <c r="A61" s="2" t="n"/>
      <c r="B61" s="3" t="n"/>
    </row>
    <row r="62">
      <c r="A62" s="2" t="n"/>
      <c r="B62" s="3" t="n"/>
    </row>
    <row r="63">
      <c r="A63" s="2" t="n"/>
      <c r="B63" s="3" t="n"/>
    </row>
    <row r="64">
      <c r="A64" s="2" t="n"/>
      <c r="B64" s="3" t="n"/>
    </row>
    <row r="65">
      <c r="A65" s="2" t="n"/>
      <c r="B65" s="3" t="n"/>
    </row>
    <row r="66">
      <c r="A66" s="2" t="n"/>
      <c r="B66" s="3" t="n"/>
    </row>
    <row r="67">
      <c r="A67" s="2" t="n"/>
      <c r="B67" s="3" t="n"/>
    </row>
    <row r="68">
      <c r="A68" s="2" t="n"/>
      <c r="B68" s="3" t="n"/>
    </row>
    <row r="69">
      <c r="A69" s="2" t="n"/>
      <c r="B69" s="3" t="n"/>
    </row>
    <row r="70">
      <c r="A70" s="2" t="n"/>
      <c r="B70" s="3" t="n"/>
    </row>
    <row r="71">
      <c r="A71" s="2" t="n"/>
      <c r="B71" s="3" t="n"/>
    </row>
    <row r="72">
      <c r="A72" s="2" t="n"/>
      <c r="B72" s="3" t="n"/>
    </row>
    <row r="73">
      <c r="A73" s="2" t="n"/>
      <c r="B73" s="3" t="n"/>
    </row>
    <row r="74">
      <c r="A74" s="2" t="n"/>
      <c r="B74" s="3" t="n"/>
    </row>
    <row r="75">
      <c r="A75" s="2" t="n"/>
      <c r="B75" s="3" t="n"/>
    </row>
    <row r="76">
      <c r="A76" s="2" t="n"/>
      <c r="B76" s="3" t="n"/>
    </row>
    <row r="77">
      <c r="A77" s="2" t="n"/>
      <c r="B77" s="3" t="n"/>
    </row>
    <row r="78">
      <c r="A78" s="2" t="n"/>
      <c r="B78" s="3" t="n"/>
    </row>
    <row r="79">
      <c r="A79" s="2" t="n"/>
      <c r="B79" s="3" t="n"/>
    </row>
    <row r="80">
      <c r="A80" s="2" t="n"/>
      <c r="B80" s="3" t="n"/>
    </row>
    <row r="81">
      <c r="A81" s="2" t="n"/>
      <c r="B81" s="3" t="n"/>
    </row>
    <row r="82">
      <c r="A82" s="2" t="n"/>
      <c r="B82" s="3" t="n"/>
    </row>
    <row r="83">
      <c r="A83" s="2" t="n"/>
      <c r="B83" s="3" t="n"/>
    </row>
    <row r="84">
      <c r="A84" s="2" t="n"/>
      <c r="B84" s="3" t="n"/>
    </row>
    <row r="85">
      <c r="A85" s="2" t="n"/>
      <c r="B85" s="3" t="n"/>
    </row>
    <row r="86">
      <c r="A86" s="2" t="n"/>
      <c r="B86" s="3" t="n"/>
    </row>
    <row r="87">
      <c r="A87" s="2" t="n"/>
      <c r="B87" s="3" t="n"/>
    </row>
    <row r="88">
      <c r="A88" s="2" t="n"/>
      <c r="B88" s="3" t="n"/>
    </row>
    <row r="89">
      <c r="A89" s="2" t="n"/>
      <c r="B89" s="3" t="n"/>
    </row>
    <row r="90">
      <c r="A90" s="2" t="n"/>
      <c r="B90" s="3" t="n"/>
    </row>
    <row r="91">
      <c r="A91" s="2" t="n"/>
      <c r="B91" s="3" t="n"/>
    </row>
    <row r="92">
      <c r="A92" s="2" t="n"/>
      <c r="B92" s="3" t="n"/>
    </row>
    <row r="93">
      <c r="A93" s="2" t="n"/>
      <c r="B93" s="3" t="n"/>
    </row>
    <row r="94">
      <c r="A94" s="2" t="n"/>
      <c r="B94" s="3" t="n"/>
    </row>
    <row r="95">
      <c r="A95" s="2" t="n"/>
      <c r="B95" s="3" t="n"/>
    </row>
    <row r="96">
      <c r="A96" s="2" t="n"/>
      <c r="B96" s="3" t="n"/>
    </row>
    <row r="97">
      <c r="A97" s="2" t="n"/>
      <c r="B97" s="3" t="n"/>
    </row>
    <row r="98">
      <c r="A98" s="2" t="n"/>
      <c r="B98" s="3" t="n"/>
    </row>
    <row r="99">
      <c r="A99" s="2" t="n"/>
      <c r="B99" s="3" t="n"/>
    </row>
    <row r="100">
      <c r="A100" s="2" t="n"/>
      <c r="B100" s="3" t="n"/>
    </row>
    <row r="101">
      <c r="A101" s="2" t="n"/>
      <c r="B101" s="3" t="n"/>
    </row>
    <row r="102">
      <c r="A102" s="2" t="n"/>
      <c r="B102" s="3" t="n"/>
    </row>
    <row r="103">
      <c r="A103" s="2" t="n"/>
      <c r="B103" s="3" t="n"/>
    </row>
    <row r="104">
      <c r="A104" s="2" t="n"/>
      <c r="B104" s="3" t="n"/>
    </row>
    <row r="105">
      <c r="A105" s="2" t="n"/>
      <c r="B105" s="3" t="n"/>
    </row>
    <row r="106">
      <c r="A106" s="2" t="n"/>
      <c r="B106" s="3" t="n"/>
    </row>
    <row r="107">
      <c r="A107" s="2" t="n"/>
      <c r="B107" s="3" t="n"/>
    </row>
    <row r="108">
      <c r="A108" s="2" t="n"/>
      <c r="B108" s="3" t="n"/>
    </row>
    <row r="109">
      <c r="A109" s="2" t="n"/>
      <c r="B109" s="3" t="n"/>
    </row>
    <row r="110">
      <c r="A110" s="2" t="n"/>
      <c r="B110" s="3" t="n"/>
    </row>
    <row r="111">
      <c r="A111" s="2" t="n"/>
      <c r="B111" s="3" t="n"/>
    </row>
    <row r="112">
      <c r="A112" s="2" t="n"/>
      <c r="B112" s="3" t="n"/>
    </row>
    <row r="113">
      <c r="A113" s="2" t="n"/>
      <c r="B113" s="3" t="n"/>
    </row>
    <row r="114">
      <c r="A114" s="2" t="n"/>
      <c r="B114" s="3" t="n"/>
    </row>
    <row r="115">
      <c r="A115" s="2" t="n"/>
      <c r="B115" s="3" t="n"/>
    </row>
    <row r="116">
      <c r="A116" s="2" t="n"/>
      <c r="B116" s="3" t="n"/>
    </row>
    <row r="117">
      <c r="A117" s="2" t="n"/>
      <c r="B117" s="3" t="n"/>
    </row>
    <row r="118">
      <c r="A118" s="2" t="n"/>
      <c r="B118" s="3" t="n"/>
    </row>
    <row r="119">
      <c r="A119" s="2" t="n"/>
      <c r="B119" s="3" t="n"/>
    </row>
    <row r="120">
      <c r="A120" s="2" t="n"/>
      <c r="B120" s="3" t="n"/>
    </row>
    <row r="121">
      <c r="A121" s="2" t="n"/>
      <c r="B121" s="3" t="n"/>
    </row>
    <row r="122">
      <c r="A122" s="2" t="n"/>
      <c r="B122" s="3" t="n"/>
    </row>
    <row r="123">
      <c r="A123" s="2" t="n"/>
      <c r="B123" s="3" t="n"/>
    </row>
    <row r="124">
      <c r="A124" s="2" t="n"/>
      <c r="B124" s="3" t="n"/>
    </row>
    <row r="125">
      <c r="A125" s="2" t="n"/>
      <c r="B125" s="3" t="n"/>
    </row>
    <row r="126">
      <c r="A126" s="2" t="n"/>
      <c r="B126" s="3" t="n"/>
    </row>
    <row r="127">
      <c r="A127" s="2" t="n"/>
      <c r="B127" s="3" t="n"/>
    </row>
    <row r="128">
      <c r="A128" s="2" t="n"/>
      <c r="B128" s="3" t="n"/>
    </row>
    <row r="129">
      <c r="A129" s="2" t="n"/>
      <c r="B129" s="3" t="n"/>
    </row>
    <row r="130">
      <c r="A130" s="2" t="n"/>
      <c r="B130" s="3" t="n"/>
    </row>
    <row r="131">
      <c r="A131" s="2" t="n"/>
      <c r="B131" s="3" t="n"/>
    </row>
    <row r="132">
      <c r="A132" s="2" t="n"/>
      <c r="B132" s="3" t="n"/>
    </row>
    <row r="133">
      <c r="A133" s="2" t="n"/>
      <c r="B133" s="3" t="n"/>
    </row>
    <row r="134">
      <c r="A134" s="2" t="n"/>
      <c r="B134" s="3" t="n"/>
    </row>
    <row r="135">
      <c r="A135" s="2" t="n"/>
      <c r="B135" s="3" t="n"/>
    </row>
    <row r="136">
      <c r="A136" s="2" t="n"/>
      <c r="B136" s="3" t="n"/>
    </row>
    <row r="137">
      <c r="A137" s="2" t="n"/>
      <c r="B137" s="3" t="n"/>
    </row>
    <row r="138">
      <c r="A138" s="2" t="n"/>
      <c r="B138" s="3" t="n"/>
    </row>
    <row r="139">
      <c r="A139" s="2" t="n"/>
      <c r="B139" s="3" t="n"/>
    </row>
    <row r="140">
      <c r="A140" s="2" t="n"/>
      <c r="B140" s="3" t="n"/>
    </row>
    <row r="141">
      <c r="A141" s="2" t="n"/>
      <c r="B141" s="3" t="n"/>
    </row>
    <row r="142">
      <c r="A142" s="2" t="n"/>
      <c r="B142" s="3" t="n"/>
    </row>
    <row r="143">
      <c r="A143" s="2" t="n"/>
      <c r="B143" s="3" t="n"/>
    </row>
    <row r="144">
      <c r="A144" s="2" t="n"/>
      <c r="B144" s="3" t="n"/>
    </row>
    <row r="145">
      <c r="A145" s="2" t="n"/>
      <c r="B145" s="3" t="n"/>
    </row>
    <row r="146">
      <c r="A146" s="2" t="n"/>
      <c r="B146" s="3" t="n"/>
    </row>
    <row r="147">
      <c r="A147" s="2" t="n"/>
      <c r="B147" s="3" t="n"/>
    </row>
    <row r="148">
      <c r="A148" s="2" t="n"/>
      <c r="B148" s="3" t="n"/>
    </row>
    <row r="149">
      <c r="A149" s="2" t="n"/>
      <c r="B149" s="3" t="n"/>
    </row>
    <row r="150">
      <c r="A150" s="2" t="n"/>
      <c r="B150" s="3" t="n"/>
    </row>
    <row r="151">
      <c r="A151" s="2" t="n"/>
      <c r="B151" s="3" t="n"/>
    </row>
    <row r="152">
      <c r="A152" s="2" t="n"/>
      <c r="B152" s="3" t="n"/>
    </row>
    <row r="153">
      <c r="A153" s="2" t="n"/>
      <c r="B153" s="3" t="n"/>
    </row>
    <row r="154">
      <c r="A154" s="2" t="n"/>
      <c r="B154" s="3" t="n"/>
    </row>
    <row r="155">
      <c r="A155" s="2" t="n"/>
      <c r="B155" s="3" t="n"/>
    </row>
    <row r="156">
      <c r="A156" s="2" t="n"/>
      <c r="B156" s="3" t="n"/>
    </row>
    <row r="157">
      <c r="A157" s="2" t="n"/>
      <c r="B157" s="3" t="n"/>
    </row>
    <row r="158">
      <c r="A158" s="2" t="n"/>
      <c r="B158" s="3" t="n"/>
    </row>
    <row r="159">
      <c r="A159" s="2" t="n"/>
      <c r="B159" s="3" t="n"/>
    </row>
    <row r="160">
      <c r="A160" s="2" t="n"/>
      <c r="B160" s="3" t="n"/>
    </row>
    <row r="161">
      <c r="A161" s="2" t="n"/>
      <c r="B161" s="3" t="n"/>
    </row>
    <row r="162">
      <c r="A162" s="2" t="n"/>
      <c r="B162" s="3" t="n"/>
    </row>
    <row r="163">
      <c r="A163" s="2" t="n"/>
      <c r="B163" s="3" t="n"/>
    </row>
    <row r="164">
      <c r="A164" s="2" t="n"/>
      <c r="B164" s="3" t="n"/>
    </row>
    <row r="165">
      <c r="A165" s="2" t="n"/>
      <c r="B165" s="3" t="n"/>
    </row>
    <row r="166">
      <c r="A166" s="2" t="n"/>
      <c r="B166" s="3" t="n"/>
    </row>
    <row r="167">
      <c r="A167" s="2" t="n"/>
      <c r="B167" s="3" t="n"/>
    </row>
    <row r="168">
      <c r="A168" s="2" t="n"/>
      <c r="B168" s="3" t="n"/>
    </row>
    <row r="169">
      <c r="A169" s="2" t="n"/>
      <c r="B169" s="3" t="n"/>
    </row>
    <row r="170">
      <c r="A170" s="2" t="n"/>
      <c r="B170" s="3" t="n"/>
    </row>
    <row r="171">
      <c r="A171" s="2" t="n"/>
      <c r="B171" s="3" t="n"/>
    </row>
    <row r="172">
      <c r="A172" s="2" t="n"/>
      <c r="B172" s="3" t="n"/>
    </row>
    <row r="173">
      <c r="A173" s="2" t="n"/>
      <c r="B173" s="3" t="n"/>
    </row>
    <row r="174">
      <c r="A174" s="2" t="n"/>
      <c r="B174" s="3" t="n"/>
    </row>
    <row r="175">
      <c r="A175" s="2" t="n"/>
      <c r="B175" s="3" t="n"/>
    </row>
    <row r="176">
      <c r="A176" s="2" t="n"/>
      <c r="B176" s="3" t="n"/>
    </row>
    <row r="177">
      <c r="A177" s="2" t="n"/>
      <c r="B177" s="3" t="n"/>
    </row>
    <row r="178">
      <c r="A178" s="2" t="n"/>
      <c r="B178" s="3" t="n"/>
    </row>
    <row r="179">
      <c r="A179" s="2" t="n"/>
      <c r="B179" s="3" t="n"/>
    </row>
    <row r="180">
      <c r="A180" s="2" t="n"/>
      <c r="B180" s="3" t="n"/>
    </row>
    <row r="181">
      <c r="A181" s="2" t="n"/>
      <c r="B181" s="3" t="n"/>
    </row>
    <row r="182">
      <c r="A182" s="2" t="n"/>
      <c r="B182" s="3" t="n"/>
    </row>
    <row r="183">
      <c r="A183" s="2" t="n"/>
      <c r="B183" s="3" t="n"/>
    </row>
    <row r="184">
      <c r="A184" s="2" t="n"/>
      <c r="B184" s="3" t="n"/>
    </row>
    <row r="185">
      <c r="A185" s="2" t="n"/>
      <c r="B185" s="3" t="n"/>
    </row>
    <row r="186">
      <c r="A186" s="2" t="n"/>
      <c r="B186" s="3" t="n"/>
    </row>
    <row r="187">
      <c r="A187" s="2" t="n"/>
      <c r="B187" s="3" t="n"/>
    </row>
    <row r="188">
      <c r="A188" s="2" t="n"/>
      <c r="B188" s="3" t="n"/>
    </row>
    <row r="189">
      <c r="A189" s="2" t="n"/>
      <c r="B189" s="3" t="n"/>
    </row>
    <row r="190">
      <c r="A190" s="2" t="n"/>
      <c r="B190" s="3" t="n"/>
    </row>
    <row r="191">
      <c r="A191" s="2" t="n"/>
      <c r="B191" s="3" t="n"/>
    </row>
    <row r="192">
      <c r="A192" s="2" t="n"/>
      <c r="B192" s="3" t="n"/>
    </row>
    <row r="193">
      <c r="A193" s="2" t="n"/>
      <c r="B193" s="3" t="n"/>
    </row>
    <row r="194">
      <c r="A194" s="2" t="n"/>
      <c r="B194" s="3" t="n"/>
    </row>
    <row r="195">
      <c r="A195" s="2" t="n"/>
      <c r="B195" s="3" t="n"/>
    </row>
    <row r="196">
      <c r="A196" s="2" t="n"/>
      <c r="B196" s="3" t="n"/>
    </row>
    <row r="197">
      <c r="A197" s="2" t="n"/>
      <c r="B197" s="3" t="n"/>
    </row>
    <row r="198">
      <c r="A198" s="2" t="n"/>
      <c r="B198" s="3" t="n"/>
    </row>
    <row r="199">
      <c r="A199" s="2" t="n"/>
      <c r="B199" s="3" t="n"/>
    </row>
    <row r="200">
      <c r="A200" s="2" t="n"/>
      <c r="B200" s="3" t="n"/>
    </row>
    <row r="201">
      <c r="A201" s="2" t="n"/>
      <c r="B201" s="3" t="n"/>
    </row>
    <row r="202">
      <c r="A202" s="2" t="n"/>
      <c r="B202" s="3" t="n"/>
    </row>
    <row r="203">
      <c r="A203" s="2" t="n"/>
      <c r="B203" s="3" t="n"/>
    </row>
    <row r="204">
      <c r="A204" s="2" t="n"/>
      <c r="B204" s="3" t="n"/>
    </row>
    <row r="205">
      <c r="A205" s="2" t="n"/>
      <c r="B205" s="3" t="n"/>
    </row>
    <row r="206">
      <c r="A206" s="2" t="n"/>
      <c r="B206" s="3" t="n"/>
    </row>
    <row r="207">
      <c r="A207" s="2" t="n"/>
      <c r="B207" s="3" t="n"/>
    </row>
    <row r="208">
      <c r="A208" s="2" t="n"/>
      <c r="B208" s="3" t="n"/>
    </row>
    <row r="209">
      <c r="A209" s="2" t="n"/>
      <c r="B209" s="3" t="n"/>
    </row>
    <row r="210">
      <c r="A210" s="2" t="n"/>
      <c r="B210" s="3" t="n"/>
    </row>
    <row r="211">
      <c r="A211" s="2" t="n"/>
      <c r="B211" s="3" t="n"/>
    </row>
    <row r="212">
      <c r="A212" s="2" t="n"/>
      <c r="B212" s="3" t="n"/>
    </row>
    <row r="213">
      <c r="A213" s="2" t="n"/>
      <c r="B213" s="3" t="n"/>
    </row>
    <row r="214">
      <c r="A214" s="2" t="n"/>
      <c r="B214" s="3" t="n"/>
    </row>
    <row r="215">
      <c r="A215" s="2" t="n"/>
      <c r="B215" s="3" t="n"/>
    </row>
    <row r="216">
      <c r="A216" s="2" t="n"/>
      <c r="B216" s="3" t="n"/>
    </row>
    <row r="217">
      <c r="A217" s="2" t="n"/>
      <c r="B217" s="3" t="n"/>
    </row>
    <row r="218">
      <c r="A218" s="2" t="n"/>
      <c r="B218" s="3" t="n"/>
    </row>
    <row r="219">
      <c r="A219" s="2" t="n"/>
      <c r="B219" s="3" t="n"/>
    </row>
    <row r="220">
      <c r="A220" s="2" t="n"/>
      <c r="B220" s="3" t="n"/>
    </row>
    <row r="221">
      <c r="A221" s="2" t="n"/>
      <c r="B221" s="3" t="n"/>
    </row>
    <row r="222">
      <c r="A222" s="2" t="n"/>
      <c r="B222" s="3" t="n"/>
    </row>
    <row r="223">
      <c r="A223" s="2" t="n"/>
      <c r="B223" s="3" t="n"/>
    </row>
    <row r="224">
      <c r="A224" s="2" t="n"/>
      <c r="B224" s="3" t="n"/>
    </row>
    <row r="225">
      <c r="A225" s="2" t="n"/>
      <c r="B225" s="3" t="n"/>
    </row>
    <row r="226">
      <c r="A226" s="2" t="n"/>
      <c r="B226" s="3" t="n"/>
    </row>
    <row r="227">
      <c r="A227" s="2" t="n"/>
      <c r="B227" s="3" t="n"/>
    </row>
    <row r="228">
      <c r="A228" s="2" t="n"/>
      <c r="B228" s="3" t="n"/>
    </row>
    <row r="229">
      <c r="A229" s="2" t="n"/>
      <c r="B229" s="3" t="n"/>
    </row>
    <row r="230">
      <c r="A230" s="2" t="n"/>
      <c r="B230" s="3" t="n"/>
    </row>
    <row r="231">
      <c r="A231" s="2" t="n"/>
      <c r="B231" s="3" t="n"/>
    </row>
    <row r="232">
      <c r="A232" s="2" t="n"/>
      <c r="B232" s="3" t="n"/>
    </row>
    <row r="233">
      <c r="A233" s="2" t="n"/>
      <c r="B233" s="3" t="n"/>
    </row>
    <row r="234">
      <c r="A234" s="2" t="n"/>
      <c r="B234" s="3" t="n"/>
    </row>
    <row r="235">
      <c r="A235" s="2" t="n"/>
      <c r="B235" s="3" t="n"/>
    </row>
    <row r="236">
      <c r="A236" s="2" t="n"/>
      <c r="B236" s="3" t="n"/>
    </row>
    <row r="237">
      <c r="A237" s="2" t="n"/>
      <c r="B237" s="3" t="n"/>
    </row>
    <row r="238">
      <c r="A238" s="2" t="n"/>
      <c r="B238" s="3" t="n"/>
    </row>
    <row r="239">
      <c r="A239" s="2" t="n"/>
      <c r="B239" s="3" t="n"/>
    </row>
    <row r="240">
      <c r="A240" s="2" t="n"/>
      <c r="B240" s="3" t="n"/>
    </row>
    <row r="241">
      <c r="A241" s="2" t="n"/>
      <c r="B241" s="3" t="n"/>
    </row>
    <row r="242">
      <c r="A242" s="2" t="n"/>
      <c r="B242" s="3" t="n"/>
    </row>
    <row r="243">
      <c r="A243" s="2" t="n"/>
      <c r="B243" s="3" t="n"/>
    </row>
    <row r="244">
      <c r="A244" s="2" t="n"/>
      <c r="B244" s="3" t="n"/>
    </row>
    <row r="245">
      <c r="A245" s="2" t="n"/>
      <c r="B245" s="3" t="n"/>
    </row>
    <row r="246">
      <c r="A246" s="2" t="n"/>
      <c r="B246" s="3" t="n"/>
    </row>
    <row r="247">
      <c r="A247" s="2" t="n"/>
      <c r="B247" s="3" t="n"/>
    </row>
    <row r="248">
      <c r="A248" s="2" t="n"/>
      <c r="B248" s="3" t="n"/>
    </row>
    <row r="249">
      <c r="A249" s="2" t="n"/>
      <c r="B249" s="3" t="n"/>
    </row>
    <row r="250">
      <c r="A250" s="2" t="n"/>
      <c r="B250" s="3" t="n"/>
    </row>
    <row r="251">
      <c r="A251" s="2" t="n"/>
      <c r="B251" s="3" t="n"/>
    </row>
    <row r="252">
      <c r="A252" s="2" t="n"/>
      <c r="B252" s="3" t="n"/>
    </row>
    <row r="253">
      <c r="A253" s="2" t="n"/>
      <c r="B253" s="3" t="n"/>
    </row>
    <row r="254">
      <c r="A254" s="2" t="n"/>
      <c r="B254" s="3" t="n"/>
    </row>
    <row r="255">
      <c r="A255" s="2" t="n"/>
      <c r="B255" s="3" t="n"/>
    </row>
    <row r="256">
      <c r="A256" s="2" t="n"/>
      <c r="B256" s="3" t="n"/>
    </row>
    <row r="257">
      <c r="A257" s="2" t="n"/>
      <c r="B257" s="3" t="n"/>
    </row>
    <row r="258">
      <c r="A258" s="2" t="n"/>
      <c r="B258" s="3" t="n"/>
    </row>
    <row r="259">
      <c r="A259" s="2" t="n"/>
      <c r="B259" s="3" t="n"/>
    </row>
    <row r="260">
      <c r="A260" s="2" t="n"/>
      <c r="B260" s="3" t="n"/>
    </row>
    <row r="261">
      <c r="A261" s="2" t="n"/>
      <c r="B261" s="3" t="n"/>
    </row>
    <row r="262">
      <c r="A262" s="2" t="n"/>
      <c r="B262" s="3" t="n"/>
    </row>
    <row r="263">
      <c r="A263" s="2" t="n"/>
      <c r="B263" s="3" t="n"/>
    </row>
    <row r="264">
      <c r="A264" s="2" t="n"/>
      <c r="B264" s="3" t="n"/>
    </row>
    <row r="265">
      <c r="A265" s="2" t="n"/>
      <c r="B265" s="3" t="n"/>
    </row>
    <row r="266">
      <c r="A266" s="2" t="n"/>
      <c r="B266" s="3" t="n"/>
    </row>
    <row r="267">
      <c r="A267" s="2" t="n"/>
      <c r="B267" s="3" t="n"/>
    </row>
    <row r="268">
      <c r="A268" s="2" t="n"/>
      <c r="B268" s="3" t="n"/>
    </row>
    <row r="269">
      <c r="A269" s="2" t="n"/>
      <c r="B269" s="3" t="n"/>
    </row>
    <row r="270">
      <c r="A270" s="2" t="n"/>
      <c r="B270" s="3" t="n"/>
    </row>
    <row r="271">
      <c r="A271" s="2" t="n"/>
      <c r="B271" s="3" t="n"/>
    </row>
    <row r="272">
      <c r="A272" s="2" t="n"/>
      <c r="B272" s="3" t="n"/>
    </row>
    <row r="273">
      <c r="A273" s="2" t="n"/>
      <c r="B273" s="3" t="n"/>
    </row>
    <row r="274">
      <c r="A274" s="2" t="n"/>
      <c r="B274" s="3" t="n"/>
    </row>
    <row r="275">
      <c r="A275" s="2" t="n"/>
      <c r="B275" s="3" t="n"/>
    </row>
    <row r="276">
      <c r="A276" s="2" t="n"/>
      <c r="B276" s="3" t="n"/>
    </row>
    <row r="277">
      <c r="A277" s="2" t="n"/>
      <c r="B277" s="3" t="n"/>
    </row>
    <row r="278">
      <c r="A278" s="2" t="n"/>
      <c r="B278" s="3" t="n"/>
    </row>
    <row r="279">
      <c r="A279" s="2" t="n"/>
      <c r="B279" s="3" t="n"/>
    </row>
    <row r="280">
      <c r="A280" s="2" t="n"/>
      <c r="B280" s="3" t="n"/>
    </row>
    <row r="281">
      <c r="A281" s="2" t="n"/>
      <c r="B281" s="3" t="n"/>
    </row>
    <row r="282">
      <c r="A282" s="2" t="n"/>
      <c r="B282" s="3" t="n"/>
    </row>
    <row r="283">
      <c r="A283" s="2" t="n"/>
      <c r="B283" s="3" t="n"/>
    </row>
    <row r="284">
      <c r="A284" s="2" t="n"/>
      <c r="B284" s="3" t="n"/>
    </row>
    <row r="285">
      <c r="A285" s="2" t="n"/>
      <c r="B285" s="3" t="n"/>
    </row>
    <row r="286">
      <c r="A286" s="2" t="n"/>
      <c r="B286" s="3" t="n"/>
    </row>
    <row r="287">
      <c r="A287" s="2" t="n"/>
      <c r="B287" s="3" t="n"/>
    </row>
    <row r="288">
      <c r="A288" s="2" t="n"/>
      <c r="B288" s="3" t="n"/>
    </row>
    <row r="289">
      <c r="A289" s="2" t="n"/>
      <c r="B289" s="3" t="n"/>
    </row>
    <row r="290">
      <c r="A290" s="2" t="n"/>
      <c r="B290" s="3" t="n"/>
    </row>
    <row r="291">
      <c r="A291" s="2" t="n"/>
      <c r="B291" s="3" t="n"/>
    </row>
    <row r="292">
      <c r="A292" s="2" t="n"/>
      <c r="B292" s="3" t="n"/>
    </row>
    <row r="293">
      <c r="A293" s="2" t="n"/>
      <c r="B293" s="3" t="n"/>
    </row>
    <row r="294">
      <c r="A294" s="2" t="n"/>
      <c r="B294" s="3" t="n"/>
    </row>
    <row r="295">
      <c r="A295" s="2" t="n"/>
      <c r="B295" s="3" t="n"/>
    </row>
    <row r="296">
      <c r="A296" s="2" t="n"/>
      <c r="B296" s="3" t="n"/>
    </row>
    <row r="297">
      <c r="A297" s="2" t="n"/>
      <c r="B297" s="3" t="n"/>
    </row>
    <row r="298">
      <c r="A298" s="2" t="n"/>
      <c r="B298" s="3" t="n"/>
    </row>
    <row r="299">
      <c r="A299" s="2" t="n"/>
      <c r="B299" s="3" t="n"/>
    </row>
    <row r="300">
      <c r="A300" s="2" t="n"/>
      <c r="B300" s="3" t="n"/>
    </row>
  </sheetData>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I21"/>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3" customWidth="1" min="3" max="3"/>
    <col width="13" customWidth="1" min="4" max="4"/>
    <col width="16" customWidth="1" min="5" max="5"/>
    <col width="14" customWidth="1" min="6" max="6"/>
    <col width="3" customWidth="1" min="7" max="7"/>
    <col width="38" customWidth="1" min="8" max="8"/>
    <col width="14" customWidth="1" min="9" max="9"/>
  </cols>
  <sheetData>
    <row r="1" ht="46" customHeight="1">
      <c r="A1" s="1" t="inlineStr">
        <is>
          <t>Customer</t>
        </is>
      </c>
      <c r="B1" s="1" t="inlineStr">
        <is>
          <t>Orders</t>
        </is>
      </c>
      <c r="C1" s="1" t="inlineStr">
        <is>
          <t>First order</t>
        </is>
      </c>
      <c r="D1" s="1" t="inlineStr">
        <is>
          <t>Last order</t>
        </is>
      </c>
      <c r="E1" s="1" t="inlineStr">
        <is>
          <t>Average days between orders</t>
        </is>
      </c>
      <c r="F1" s="1" t="inlineStr">
        <is>
          <t>Reorder window</t>
        </is>
      </c>
      <c r="H1" s="4" t="inlineStr">
        <is>
          <t>Order rows with a customer name</t>
        </is>
      </c>
      <c r="I1" s="5">
        <f>COUNTA(Orders!$A$2:$A$300)</f>
        <v/>
      </c>
    </row>
    <row r="2">
      <c r="A2" s="2" t="inlineStr">
        <is>
          <t>Ann Lopez</t>
        </is>
      </c>
      <c r="B2" s="6">
        <f>IF(A2="","",COUNTIF(Orders!$A$2:$A$300,A2))</f>
        <v/>
      </c>
      <c r="C2" s="7">
        <f>IF(OR(A2="",B2=0),"",_xlfn.MINIFS(Orders!$B$2:$B$300,Orders!$A$2:$A$300,A2))</f>
        <v/>
      </c>
      <c r="D2" s="7">
        <f>IF(OR(A2="",B2=0),"",_xlfn.MAXIFS(Orders!$B$2:$B$300,Orders!$A$2:$A$300,A2))</f>
        <v/>
      </c>
      <c r="E2" s="8">
        <f>IF(A2="","",IF(B2=0,"Not in Orders",IF(COUNTIFS(Orders!$A$2:$A$300,A2,Orders!$B$2:$B$300,"&gt;0")&lt;B2,"Check dates",IF(B2&lt;2,"One order",(D2-C2)/(B2-1)))))</f>
        <v/>
      </c>
      <c r="F2" s="7">
        <f>IF(ISNUMBER(E2),D2+E2,"")</f>
        <v/>
      </c>
      <c r="H2" s="4" t="inlineStr">
        <is>
          <t>Orders counted on this tab</t>
        </is>
      </c>
      <c r="I2" s="5">
        <f>SUM(B2:B21)</f>
        <v/>
      </c>
    </row>
    <row r="3">
      <c r="A3" s="2" t="inlineStr">
        <is>
          <t>Maple Street Gift Shop</t>
        </is>
      </c>
      <c r="B3" s="6">
        <f>IF(A3="","",COUNTIF(Orders!$A$2:$A$300,A3))</f>
        <v/>
      </c>
      <c r="C3" s="7">
        <f>IF(OR(A3="",B3=0),"",_xlfn.MINIFS(Orders!$B$2:$B$300,Orders!$A$2:$A$300,A3))</f>
        <v/>
      </c>
      <c r="D3" s="7">
        <f>IF(OR(A3="",B3=0),"",_xlfn.MAXIFS(Orders!$B$2:$B$300,Orders!$A$2:$A$300,A3))</f>
        <v/>
      </c>
      <c r="E3" s="8">
        <f>IF(A3="","",IF(B3=0,"Not in Orders",IF(COUNTIFS(Orders!$A$2:$A$300,A3,Orders!$B$2:$B$300,"&gt;0")&lt;B3,"Check dates",IF(B3&lt;2,"One order",(D3-C3)/(B3-1)))))</f>
        <v/>
      </c>
      <c r="F3" s="7">
        <f>IF(ISNUMBER(E3),D3+E3,"")</f>
        <v/>
      </c>
      <c r="H3" s="4" t="inlineStr">
        <is>
          <t>Order rows with a real date</t>
        </is>
      </c>
      <c r="I3" s="5">
        <f>COUNT(Orders!$B$2:$B$300)</f>
        <v/>
      </c>
    </row>
    <row r="4">
      <c r="A4" s="2" t="inlineStr">
        <is>
          <t>Harbor Coffee Cart</t>
        </is>
      </c>
      <c r="B4" s="6">
        <f>IF(A4="","",COUNTIF(Orders!$A$2:$A$300,A4))</f>
        <v/>
      </c>
      <c r="C4" s="7">
        <f>IF(OR(A4="",B4=0),"",_xlfn.MINIFS(Orders!$B$2:$B$300,Orders!$A$2:$A$300,A4))</f>
        <v/>
      </c>
      <c r="D4" s="7">
        <f>IF(OR(A4="",B4=0),"",_xlfn.MAXIFS(Orders!$B$2:$B$300,Orders!$A$2:$A$300,A4))</f>
        <v/>
      </c>
      <c r="E4" s="8">
        <f>IF(A4="","",IF(B4=0,"Not in Orders",IF(COUNTIFS(Orders!$A$2:$A$300,A4,Orders!$B$2:$B$300,"&gt;0")&lt;B4,"Check dates",IF(B4&lt;2,"One order",(D4-C4)/(B4-1)))))</f>
        <v/>
      </c>
      <c r="F4" s="7">
        <f>IF(ISNUMBER(E4),D4+E4,"")</f>
        <v/>
      </c>
      <c r="H4" s="4" t="inlineStr">
        <is>
          <t>Customers with 2 or more orders</t>
        </is>
      </c>
      <c r="I4" s="5">
        <f>COUNTIF(B2:B21,"&gt;=2")</f>
        <v/>
      </c>
    </row>
    <row r="5">
      <c r="A5" s="2" t="inlineStr">
        <is>
          <t>Birch and Bloom Florist</t>
        </is>
      </c>
      <c r="B5" s="6">
        <f>IF(A5="","",COUNTIF(Orders!$A$2:$A$300,A5))</f>
        <v/>
      </c>
      <c r="C5" s="7">
        <f>IF(OR(A5="",B5=0),"",_xlfn.MINIFS(Orders!$B$2:$B$300,Orders!$A$2:$A$300,A5))</f>
        <v/>
      </c>
      <c r="D5" s="7">
        <f>IF(OR(A5="",B5=0),"",_xlfn.MAXIFS(Orders!$B$2:$B$300,Orders!$A$2:$A$300,A5))</f>
        <v/>
      </c>
      <c r="E5" s="8">
        <f>IF(A5="","",IF(B5=0,"Not in Orders",IF(COUNTIFS(Orders!$A$2:$A$300,A5,Orders!$B$2:$B$300,"&gt;0")&lt;B5,"Check dates",IF(B5&lt;2,"One order",(D5-C5)/(B5-1)))))</f>
        <v/>
      </c>
      <c r="F5" s="7">
        <f>IF(ISNUMBER(E5),D5+E5,"")</f>
        <v/>
      </c>
      <c r="H5" s="4" t="inlineStr">
        <is>
          <t>Check: counts = Orders tab</t>
        </is>
      </c>
      <c r="I5" s="9">
        <f>IF(AND(I2=I1,I3=I1),"OK","CHECK")</f>
        <v/>
      </c>
    </row>
    <row r="6">
      <c r="A6" s="2" t="inlineStr">
        <is>
          <t>Cedar Lane Boutique</t>
        </is>
      </c>
      <c r="B6" s="6">
        <f>IF(A6="","",COUNTIF(Orders!$A$2:$A$300,A6))</f>
        <v/>
      </c>
      <c r="C6" s="7">
        <f>IF(OR(A6="",B6=0),"",_xlfn.MINIFS(Orders!$B$2:$B$300,Orders!$A$2:$A$300,A6))</f>
        <v/>
      </c>
      <c r="D6" s="7">
        <f>IF(OR(A6="",B6=0),"",_xlfn.MAXIFS(Orders!$B$2:$B$300,Orders!$A$2:$A$300,A6))</f>
        <v/>
      </c>
      <c r="E6" s="8">
        <f>IF(A6="","",IF(B6=0,"Not in Orders",IF(COUNTIFS(Orders!$A$2:$A$300,A6,Orders!$B$2:$B$300,"&gt;0")&lt;B6,"Check dates",IF(B6&lt;2,"One order",(D6-C6)/(B6-1)))))</f>
        <v/>
      </c>
      <c r="F6" s="7">
        <f>IF(ISNUMBER(E6),D6+E6,"")</f>
        <v/>
      </c>
    </row>
    <row r="7">
      <c r="A7" s="2" t="inlineStr">
        <is>
          <t>Dana Whitfield</t>
        </is>
      </c>
      <c r="B7" s="6">
        <f>IF(A7="","",COUNTIF(Orders!$A$2:$A$300,A7))</f>
        <v/>
      </c>
      <c r="C7" s="7">
        <f>IF(OR(A7="",B7=0),"",_xlfn.MINIFS(Orders!$B$2:$B$300,Orders!$A$2:$A$300,A7))</f>
        <v/>
      </c>
      <c r="D7" s="7">
        <f>IF(OR(A7="",B7=0),"",_xlfn.MAXIFS(Orders!$B$2:$B$300,Orders!$A$2:$A$300,A7))</f>
        <v/>
      </c>
      <c r="E7" s="8">
        <f>IF(A7="","",IF(B7=0,"Not in Orders",IF(COUNTIFS(Orders!$A$2:$A$300,A7,Orders!$B$2:$B$300,"&gt;0")&lt;B7,"Check dates",IF(B7&lt;2,"One order",(D7-C7)/(B7-1)))))</f>
        <v/>
      </c>
      <c r="F7" s="7">
        <f>IF(ISNUMBER(E7),D7+E7,"")</f>
        <v/>
      </c>
    </row>
    <row r="8">
      <c r="A8" s="2" t="inlineStr">
        <is>
          <t>Pine Hill Market</t>
        </is>
      </c>
      <c r="B8" s="6">
        <f>IF(A8="","",COUNTIF(Orders!$A$2:$A$300,A8))</f>
        <v/>
      </c>
      <c r="C8" s="7">
        <f>IF(OR(A8="",B8=0),"",_xlfn.MINIFS(Orders!$B$2:$B$300,Orders!$A$2:$A$300,A8))</f>
        <v/>
      </c>
      <c r="D8" s="7">
        <f>IF(OR(A8="",B8=0),"",_xlfn.MAXIFS(Orders!$B$2:$B$300,Orders!$A$2:$A$300,A8))</f>
        <v/>
      </c>
      <c r="E8" s="8">
        <f>IF(A8="","",IF(B8=0,"Not in Orders",IF(COUNTIFS(Orders!$A$2:$A$300,A8,Orders!$B$2:$B$300,"&gt;0")&lt;B8,"Check dates",IF(B8&lt;2,"One order",(D8-C8)/(B8-1)))))</f>
        <v/>
      </c>
      <c r="F8" s="7">
        <f>IF(ISNUMBER(E8),D8+E8,"")</f>
        <v/>
      </c>
    </row>
    <row r="9">
      <c r="A9" s="2" t="inlineStr">
        <is>
          <t>Ellis Subscription Box</t>
        </is>
      </c>
      <c r="B9" s="6">
        <f>IF(A9="","",COUNTIF(Orders!$A$2:$A$300,A9))</f>
        <v/>
      </c>
      <c r="C9" s="7">
        <f>IF(OR(A9="",B9=0),"",_xlfn.MINIFS(Orders!$B$2:$B$300,Orders!$A$2:$A$300,A9))</f>
        <v/>
      </c>
      <c r="D9" s="7">
        <f>IF(OR(A9="",B9=0),"",_xlfn.MAXIFS(Orders!$B$2:$B$300,Orders!$A$2:$A$300,A9))</f>
        <v/>
      </c>
      <c r="E9" s="8">
        <f>IF(A9="","",IF(B9=0,"Not in Orders",IF(COUNTIFS(Orders!$A$2:$A$300,A9,Orders!$B$2:$B$300,"&gt;0")&lt;B9,"Check dates",IF(B9&lt;2,"One order",(D9-C9)/(B9-1)))))</f>
        <v/>
      </c>
      <c r="F9" s="7">
        <f>IF(ISNUMBER(E9),D9+E9,"")</f>
        <v/>
      </c>
    </row>
    <row r="10">
      <c r="A10" s="2" t="inlineStr">
        <is>
          <t>Greenway Garden Center</t>
        </is>
      </c>
      <c r="B10" s="6">
        <f>IF(A10="","",COUNTIF(Orders!$A$2:$A$300,A10))</f>
        <v/>
      </c>
      <c r="C10" s="7">
        <f>IF(OR(A10="",B10=0),"",_xlfn.MINIFS(Orders!$B$2:$B$300,Orders!$A$2:$A$300,A10))</f>
        <v/>
      </c>
      <c r="D10" s="7">
        <f>IF(OR(A10="",B10=0),"",_xlfn.MAXIFS(Orders!$B$2:$B$300,Orders!$A$2:$A$300,A10))</f>
        <v/>
      </c>
      <c r="E10" s="8">
        <f>IF(A10="","",IF(B10=0,"Not in Orders",IF(COUNTIFS(Orders!$A$2:$A$300,A10,Orders!$B$2:$B$300,"&gt;0")&lt;B10,"Check dates",IF(B10&lt;2,"One order",(D10-C10)/(B10-1)))))</f>
        <v/>
      </c>
      <c r="F10" s="7">
        <f>IF(ISNUMBER(E10),D10+E10,"")</f>
        <v/>
      </c>
    </row>
    <row r="11">
      <c r="A11" s="2" t="inlineStr">
        <is>
          <t>Noah Chen</t>
        </is>
      </c>
      <c r="B11" s="6">
        <f>IF(A11="","",COUNTIF(Orders!$A$2:$A$300,A11))</f>
        <v/>
      </c>
      <c r="C11" s="7">
        <f>IF(OR(A11="",B11=0),"",_xlfn.MINIFS(Orders!$B$2:$B$300,Orders!$A$2:$A$300,A11))</f>
        <v/>
      </c>
      <c r="D11" s="7">
        <f>IF(OR(A11="",B11=0),"",_xlfn.MAXIFS(Orders!$B$2:$B$300,Orders!$A$2:$A$300,A11))</f>
        <v/>
      </c>
      <c r="E11" s="8">
        <f>IF(A11="","",IF(B11=0,"Not in Orders",IF(COUNTIFS(Orders!$A$2:$A$300,A11,Orders!$B$2:$B$300,"&gt;0")&lt;B11,"Check dates",IF(B11&lt;2,"One order",(D11-C11)/(B11-1)))))</f>
        <v/>
      </c>
      <c r="F11" s="7">
        <f>IF(ISNUMBER(E11),D11+E11,"")</f>
        <v/>
      </c>
    </row>
    <row r="12">
      <c r="A12" s="2" t="n"/>
      <c r="B12" s="6">
        <f>IF(A12="","",COUNTIF(Orders!$A$2:$A$300,A12))</f>
        <v/>
      </c>
      <c r="C12" s="7">
        <f>IF(OR(A12="",B12=0),"",_xlfn.MINIFS(Orders!$B$2:$B$300,Orders!$A$2:$A$300,A12))</f>
        <v/>
      </c>
      <c r="D12" s="7">
        <f>IF(OR(A12="",B12=0),"",_xlfn.MAXIFS(Orders!$B$2:$B$300,Orders!$A$2:$A$300,A12))</f>
        <v/>
      </c>
      <c r="E12" s="8">
        <f>IF(A12="","",IF(B12=0,"Not in Orders",IF(COUNTIFS(Orders!$A$2:$A$300,A12,Orders!$B$2:$B$300,"&gt;0")&lt;B12,"Check dates",IF(B12&lt;2,"One order",(D12-C12)/(B12-1)))))</f>
        <v/>
      </c>
      <c r="F12" s="7">
        <f>IF(ISNUMBER(E12),D12+E12,"")</f>
        <v/>
      </c>
    </row>
    <row r="13">
      <c r="A13" s="2" t="n"/>
      <c r="B13" s="6">
        <f>IF(A13="","",COUNTIF(Orders!$A$2:$A$300,A13))</f>
        <v/>
      </c>
      <c r="C13" s="7">
        <f>IF(OR(A13="",B13=0),"",_xlfn.MINIFS(Orders!$B$2:$B$300,Orders!$A$2:$A$300,A13))</f>
        <v/>
      </c>
      <c r="D13" s="7">
        <f>IF(OR(A13="",B13=0),"",_xlfn.MAXIFS(Orders!$B$2:$B$300,Orders!$A$2:$A$300,A13))</f>
        <v/>
      </c>
      <c r="E13" s="8">
        <f>IF(A13="","",IF(B13=0,"Not in Orders",IF(COUNTIFS(Orders!$A$2:$A$300,A13,Orders!$B$2:$B$300,"&gt;0")&lt;B13,"Check dates",IF(B13&lt;2,"One order",(D13-C13)/(B13-1)))))</f>
        <v/>
      </c>
      <c r="F13" s="7">
        <f>IF(ISNUMBER(E13),D13+E13,"")</f>
        <v/>
      </c>
    </row>
    <row r="14">
      <c r="A14" s="2" t="n"/>
      <c r="B14" s="6">
        <f>IF(A14="","",COUNTIF(Orders!$A$2:$A$300,A14))</f>
        <v/>
      </c>
      <c r="C14" s="7">
        <f>IF(OR(A14="",B14=0),"",_xlfn.MINIFS(Orders!$B$2:$B$300,Orders!$A$2:$A$300,A14))</f>
        <v/>
      </c>
      <c r="D14" s="7">
        <f>IF(OR(A14="",B14=0),"",_xlfn.MAXIFS(Orders!$B$2:$B$300,Orders!$A$2:$A$300,A14))</f>
        <v/>
      </c>
      <c r="E14" s="8">
        <f>IF(A14="","",IF(B14=0,"Not in Orders",IF(COUNTIFS(Orders!$A$2:$A$300,A14,Orders!$B$2:$B$300,"&gt;0")&lt;B14,"Check dates",IF(B14&lt;2,"One order",(D14-C14)/(B14-1)))))</f>
        <v/>
      </c>
      <c r="F14" s="7">
        <f>IF(ISNUMBER(E14),D14+E14,"")</f>
        <v/>
      </c>
    </row>
    <row r="15">
      <c r="A15" s="2" t="n"/>
      <c r="B15" s="6">
        <f>IF(A15="","",COUNTIF(Orders!$A$2:$A$300,A15))</f>
        <v/>
      </c>
      <c r="C15" s="7">
        <f>IF(OR(A15="",B15=0),"",_xlfn.MINIFS(Orders!$B$2:$B$300,Orders!$A$2:$A$300,A15))</f>
        <v/>
      </c>
      <c r="D15" s="7">
        <f>IF(OR(A15="",B15=0),"",_xlfn.MAXIFS(Orders!$B$2:$B$300,Orders!$A$2:$A$300,A15))</f>
        <v/>
      </c>
      <c r="E15" s="8">
        <f>IF(A15="","",IF(B15=0,"Not in Orders",IF(COUNTIFS(Orders!$A$2:$A$300,A15,Orders!$B$2:$B$300,"&gt;0")&lt;B15,"Check dates",IF(B15&lt;2,"One order",(D15-C15)/(B15-1)))))</f>
        <v/>
      </c>
      <c r="F15" s="7">
        <f>IF(ISNUMBER(E15),D15+E15,"")</f>
        <v/>
      </c>
    </row>
    <row r="16">
      <c r="A16" s="2" t="n"/>
      <c r="B16" s="6">
        <f>IF(A16="","",COUNTIF(Orders!$A$2:$A$300,A16))</f>
        <v/>
      </c>
      <c r="C16" s="7">
        <f>IF(OR(A16="",B16=0),"",_xlfn.MINIFS(Orders!$B$2:$B$300,Orders!$A$2:$A$300,A16))</f>
        <v/>
      </c>
      <c r="D16" s="7">
        <f>IF(OR(A16="",B16=0),"",_xlfn.MAXIFS(Orders!$B$2:$B$300,Orders!$A$2:$A$300,A16))</f>
        <v/>
      </c>
      <c r="E16" s="8">
        <f>IF(A16="","",IF(B16=0,"Not in Orders",IF(COUNTIFS(Orders!$A$2:$A$300,A16,Orders!$B$2:$B$300,"&gt;0")&lt;B16,"Check dates",IF(B16&lt;2,"One order",(D16-C16)/(B16-1)))))</f>
        <v/>
      </c>
      <c r="F16" s="7">
        <f>IF(ISNUMBER(E16),D16+E16,"")</f>
        <v/>
      </c>
    </row>
    <row r="17">
      <c r="A17" s="2" t="n"/>
      <c r="B17" s="6">
        <f>IF(A17="","",COUNTIF(Orders!$A$2:$A$300,A17))</f>
        <v/>
      </c>
      <c r="C17" s="7">
        <f>IF(OR(A17="",B17=0),"",_xlfn.MINIFS(Orders!$B$2:$B$300,Orders!$A$2:$A$300,A17))</f>
        <v/>
      </c>
      <c r="D17" s="7">
        <f>IF(OR(A17="",B17=0),"",_xlfn.MAXIFS(Orders!$B$2:$B$300,Orders!$A$2:$A$300,A17))</f>
        <v/>
      </c>
      <c r="E17" s="8">
        <f>IF(A17="","",IF(B17=0,"Not in Orders",IF(COUNTIFS(Orders!$A$2:$A$300,A17,Orders!$B$2:$B$300,"&gt;0")&lt;B17,"Check dates",IF(B17&lt;2,"One order",(D17-C17)/(B17-1)))))</f>
        <v/>
      </c>
      <c r="F17" s="7">
        <f>IF(ISNUMBER(E17),D17+E17,"")</f>
        <v/>
      </c>
    </row>
    <row r="18">
      <c r="A18" s="2" t="n"/>
      <c r="B18" s="6">
        <f>IF(A18="","",COUNTIF(Orders!$A$2:$A$300,A18))</f>
        <v/>
      </c>
      <c r="C18" s="7">
        <f>IF(OR(A18="",B18=0),"",_xlfn.MINIFS(Orders!$B$2:$B$300,Orders!$A$2:$A$300,A18))</f>
        <v/>
      </c>
      <c r="D18" s="7">
        <f>IF(OR(A18="",B18=0),"",_xlfn.MAXIFS(Orders!$B$2:$B$300,Orders!$A$2:$A$300,A18))</f>
        <v/>
      </c>
      <c r="E18" s="8">
        <f>IF(A18="","",IF(B18=0,"Not in Orders",IF(COUNTIFS(Orders!$A$2:$A$300,A18,Orders!$B$2:$B$300,"&gt;0")&lt;B18,"Check dates",IF(B18&lt;2,"One order",(D18-C18)/(B18-1)))))</f>
        <v/>
      </c>
      <c r="F18" s="7">
        <f>IF(ISNUMBER(E18),D18+E18,"")</f>
        <v/>
      </c>
    </row>
    <row r="19">
      <c r="A19" s="2" t="n"/>
      <c r="B19" s="6">
        <f>IF(A19="","",COUNTIF(Orders!$A$2:$A$300,A19))</f>
        <v/>
      </c>
      <c r="C19" s="7">
        <f>IF(OR(A19="",B19=0),"",_xlfn.MINIFS(Orders!$B$2:$B$300,Orders!$A$2:$A$300,A19))</f>
        <v/>
      </c>
      <c r="D19" s="7">
        <f>IF(OR(A19="",B19=0),"",_xlfn.MAXIFS(Orders!$B$2:$B$300,Orders!$A$2:$A$300,A19))</f>
        <v/>
      </c>
      <c r="E19" s="8">
        <f>IF(A19="","",IF(B19=0,"Not in Orders",IF(COUNTIFS(Orders!$A$2:$A$300,A19,Orders!$B$2:$B$300,"&gt;0")&lt;B19,"Check dates",IF(B19&lt;2,"One order",(D19-C19)/(B19-1)))))</f>
        <v/>
      </c>
      <c r="F19" s="7">
        <f>IF(ISNUMBER(E19),D19+E19,"")</f>
        <v/>
      </c>
    </row>
    <row r="20">
      <c r="A20" s="2" t="n"/>
      <c r="B20" s="6">
        <f>IF(A20="","",COUNTIF(Orders!$A$2:$A$300,A20))</f>
        <v/>
      </c>
      <c r="C20" s="7">
        <f>IF(OR(A20="",B20=0),"",_xlfn.MINIFS(Orders!$B$2:$B$300,Orders!$A$2:$A$300,A20))</f>
        <v/>
      </c>
      <c r="D20" s="7">
        <f>IF(OR(A20="",B20=0),"",_xlfn.MAXIFS(Orders!$B$2:$B$300,Orders!$A$2:$A$300,A20))</f>
        <v/>
      </c>
      <c r="E20" s="8">
        <f>IF(A20="","",IF(B20=0,"Not in Orders",IF(COUNTIFS(Orders!$A$2:$A$300,A20,Orders!$B$2:$B$300,"&gt;0")&lt;B20,"Check dates",IF(B20&lt;2,"One order",(D20-C20)/(B20-1)))))</f>
        <v/>
      </c>
      <c r="F20" s="7">
        <f>IF(ISNUMBER(E20),D20+E20,"")</f>
        <v/>
      </c>
    </row>
    <row r="21">
      <c r="A21" s="2" t="n"/>
      <c r="B21" s="6">
        <f>IF(A21="","",COUNTIF(Orders!$A$2:$A$300,A21))</f>
        <v/>
      </c>
      <c r="C21" s="7">
        <f>IF(OR(A21="",B21=0),"",_xlfn.MINIFS(Orders!$B$2:$B$300,Orders!$A$2:$A$300,A21))</f>
        <v/>
      </c>
      <c r="D21" s="7">
        <f>IF(OR(A21="",B21=0),"",_xlfn.MAXIFS(Orders!$B$2:$B$300,Orders!$A$2:$A$300,A21))</f>
        <v/>
      </c>
      <c r="E21" s="8">
        <f>IF(A21="","",IF(B21=0,"Not in Orders",IF(COUNTIFS(Orders!$A$2:$A$300,A21,Orders!$B$2:$B$300,"&gt;0")&lt;B21,"Check dates",IF(B21&lt;2,"One order",(D21-C21)/(B21-1)))))</f>
        <v/>
      </c>
      <c r="F21" s="7">
        <f>IF(ISNUMBER(E21),D21+E21,"")</f>
        <v/>
      </c>
    </row>
  </sheetData>
  <conditionalFormatting sqref="E2:E21">
    <cfRule type="expression" priority="1" dxfId="0">
      <formula>OR(E2="Check dates",E2="Not in Orders")</formula>
    </cfRule>
  </conditionalFormatting>
  <conditionalFormatting sqref="I5">
    <cfRule type="expression" priority="2" dxfId="0">
      <formula>AND(I5&lt;&gt;"OK",I5&lt;&gt;"")</formula>
    </cfRule>
  </conditionalFormatting>
  <pageMargins left="0.75" right="0.75" top="1" bottom="1" header="0.5" footer="0.5"/>
  <pageSetup orientation="portrait" paperSize="1" fitToHeight="0" fitToWidth="1"/>
</worksheet>
</file>

<file path=xl/worksheets/sheet3.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00" customWidth="1" min="1" max="1"/>
  </cols>
  <sheetData>
    <row r="1">
      <c r="A1" s="10" t="inlineStr">
        <is>
          <t>Tidy Tabs: Average Days Between a Customer's Orders</t>
        </is>
      </c>
    </row>
    <row r="2">
      <c r="A2" s="11" t="inlineStr"/>
    </row>
    <row r="3">
      <c r="A3" s="11" t="inlineStr">
        <is>
          <t>1. Orders tab: one row per order, customer (A) and order date (B). Yellow, rows 2 to 300. Dates must be real dates, not text. The order of the rows does not matter.</t>
        </is>
      </c>
    </row>
    <row r="4">
      <c r="A4" s="11" t="inlineStr">
        <is>
          <t>2. Customers tab, A2:A21: type each customer name once, exactly as it appears on the Orders tab (up to 20). Yellow.</t>
        </is>
      </c>
    </row>
    <row r="5">
      <c r="A5" s="11" t="inlineStr">
        <is>
          <t>3. Orders, B2: =COUNTIF(Orders!$A$2:$A$300,A2). First order, C2: MINIFS of the dates for that customer. Last order, D2: MAXIFS. In this file they are stored as _xlfn.MINIFS and _xlfn.MAXIFS, which Excel and LibreOffice read as MINIFS and MAXIFS. They need Excel 2019 or later; Google Sheets has them.</t>
        </is>
      </c>
    </row>
    <row r="6">
      <c r="A6" s="11" t="inlineStr">
        <is>
          <t>4. Average days between orders, E2: =IF(B2&lt;2,"One order",(D2-C2)/(B2-1)). The days from the first to the last order divided by the number of gaps, which is the orders minus 1. Three orders have two gaps. A customer with one order shows One order, not #DIV/0!. Two orders on the same day give 0.0.</t>
        </is>
      </c>
    </row>
    <row r="7">
      <c r="A7" s="11" t="inlineStr">
        <is>
          <t>5. The average hides uneven gaps: orders 10, 10 and 80 days apart and orders 45, 45 and 45 days apart give the same average. Look at the dates when it matters.</t>
        </is>
      </c>
    </row>
    <row r="8">
      <c r="A8" s="11" t="inlineStr">
        <is>
          <t>6. Reorder window, F2: =D2+E2, the last order date plus the average, as a date to look at. It is arithmetic on past orders, not a prediction. The file does not use today's date.</t>
        </is>
      </c>
    </row>
    <row r="9">
      <c r="A9" s="11" t="inlineStr">
        <is>
          <t>7. I5 shows OK when every order row's customer is on the Customers list and every order has a real date. A name with a trailing space or a different spelling counts as a different customer and gives CHECK. A date typed as text shows Check dates in column E.</t>
        </is>
      </c>
    </row>
    <row r="10">
      <c r="A10" s="11" t="inlineStr">
        <is>
          <t>8. Before Excel 2019, MINIFS and MAXIFS do not exist. A plain alternative for the first order is =MIN(IF(Orders!$A$2:$A$300=A2,Orders!$B$2:$B$300)) entered as an array formula (Ctrl+Shift+Enter in older Excel), and the same with MAX for the last order. In LibreOffice Calc 24.2 the MIN(IF()) and MAX(IF()) array formulas gave the same first and last dates as MINIFS and MAXIFS on a small test. They are not in this file, and were not run in Excel.</t>
        </is>
      </c>
    </row>
    <row r="11">
      <c r="A11" s="11" t="inlineStr"/>
    </row>
    <row r="12">
      <c r="A12" s="11" t="inlineStr">
        <is>
          <t>Customers and dates are fictional. Checked in LibreOffice Calc only; not opened in Excel or Google Sheets.</t>
        </is>
      </c>
    </row>
    <row r="13">
      <c r="A13" s="11"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2026-10-21T07:37:13Z</dcterms:created>
  <dcterms:modified xmlns:dcterms="http://purl.org/dc/terms/" xmlns:xsi="http://www.w3.org/2001/XMLSchema-instance" xsi:type="dcterms:W3CDTF">2026-10-21T07:37:13Z</dcterms:modified>
</cp:coreProperties>
</file>