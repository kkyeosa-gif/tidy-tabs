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ow to use" sheetId="4" state="visible" r:id="rId4"/>
  </sheets>
  <definedNames>
    <definedName name="_xlnm.Print_Titles" localSheetId="0">'Products'!$4:$4</definedName>
    <definedName name="_xlnm.Print_Area" localSheetId="0">'Products'!$A$1:$K$44</definedName>
    <definedName name="_xlnm.Print_Titles" localSheetId="1">'Sales'!$4:$4</definedName>
    <definedName name="_xlnm.Print_Area" localSheetId="1">'Sales'!$A$1:$C$64</definedName>
    <definedName name="_xlnm.Print_Titles" localSheetId="2">'Settings'!$1:$1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"/>
  </numFmts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" fontId="0" fillId="4" borderId="0" applyAlignment="1" pivotButton="0" quotePrefix="0" xfId="0">
      <alignment horizontal="right"/>
    </xf>
    <xf numFmtId="2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164" fontId="0" fillId="3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1" customWidth="1" min="4" max="4"/>
    <col width="11" customWidth="1" min="5" max="5"/>
    <col width="15" customWidth="1" min="6" max="6"/>
    <col width="14" customWidth="1" min="7" max="7"/>
    <col width="16" customWidth="1" min="8" max="8"/>
    <col width="3" customWidth="1" min="9" max="9"/>
    <col width="52" customWidth="1" min="10" max="10"/>
    <col width="16" customWidth="1" min="11" max="11"/>
  </cols>
  <sheetData>
    <row r="1">
      <c r="A1" s="1" t="inlineStr">
        <is>
          <t>Fictional shop. As-of date, look-back days and the warning level are on the Settings tab. Days left is rounded down.</t>
        </is>
      </c>
    </row>
    <row r="4" ht="32" customHeight="1">
      <c r="A4" s="2" t="inlineStr">
        <is>
          <t>SKU</t>
        </is>
      </c>
      <c r="B4" s="2" t="inlineStr">
        <is>
          <t>Product</t>
        </is>
      </c>
      <c r="C4" s="2" t="inlineStr">
        <is>
          <t>On hand</t>
        </is>
      </c>
      <c r="D4" s="2" t="inlineStr">
        <is>
          <t>Sold in window</t>
        </is>
      </c>
      <c r="E4" s="2" t="inlineStr">
        <is>
          <t>Average per day</t>
        </is>
      </c>
      <c r="F4" s="2" t="inlineStr">
        <is>
          <t>Days left</t>
        </is>
      </c>
      <c r="G4" s="2" t="inlineStr">
        <is>
          <t>Runs out about</t>
        </is>
      </c>
      <c r="H4" s="2" t="inlineStr">
        <is>
          <t>Status</t>
        </is>
      </c>
    </row>
    <row r="5">
      <c r="A5" s="3" t="inlineStr">
        <is>
          <t>TEE-S</t>
        </is>
      </c>
      <c r="B5" s="3" t="inlineStr">
        <is>
          <t>Logo tee, small</t>
        </is>
      </c>
      <c r="C5" s="3" t="n">
        <v>16</v>
      </c>
      <c r="D5" s="4">
        <f>IF(A5="","",IF(Settings!$B$4&lt;&gt;"OK","",SUMIFS(Sales!$C$5:$C$204,Sales!$B$5:$B$204,A5,Sales!$A$5:$A$204,"&gt;"&amp;Settings!$B$1-Settings!$B$2,Sales!$A$5:$A$204,"&lt;="&amp;Settings!$B$1)))</f>
        <v/>
      </c>
      <c r="E5" s="5">
        <f>IF(A5="","",IF(ISNUMBER(D5),ROUND(D5/Settings!$B$2,2),""))</f>
        <v/>
      </c>
      <c r="F5" s="4">
        <f>IF(A5="","",IF(OR(NOT(ISNUMBER(C5)),C5&lt;0),"Check on hand",IF(NOT(ISNUMBER(E5)),"",IF(E5=0,"No recent sales",INT(C5/E5)))))</f>
        <v/>
      </c>
      <c r="G5" s="6">
        <f>IF(ISNUMBER(F5),Settings!$B$1+F5,"")</f>
        <v/>
      </c>
      <c r="H5" s="7">
        <f>IF(A5="","",IF(Settings!$B$4&lt;&gt;"OK","Check settings",IF(F5="Check on hand","Check on hand",IF(C5=0,"Out of stock",IF(F5="No recent sales","No recent sales",IF(F5&lt;Settings!$B$3,"Order soon","OK"))))))</f>
        <v/>
      </c>
      <c r="J5" s="8" t="inlineStr">
        <is>
          <t>Products counted</t>
        </is>
      </c>
      <c r="K5" s="4">
        <f>COUNTA(A5:A44)</f>
        <v/>
      </c>
    </row>
    <row r="6">
      <c r="A6" s="3" t="inlineStr">
        <is>
          <t>TEE-M</t>
        </is>
      </c>
      <c r="B6" s="3" t="inlineStr">
        <is>
          <t>Logo tee, medium</t>
        </is>
      </c>
      <c r="C6" s="3" t="n">
        <v>30</v>
      </c>
      <c r="D6" s="4">
        <f>IF(A6="","",IF(Settings!$B$4&lt;&gt;"OK","",SUMIFS(Sales!$C$5:$C$204,Sales!$B$5:$B$204,A6,Sales!$A$5:$A$204,"&gt;"&amp;Settings!$B$1-Settings!$B$2,Sales!$A$5:$A$204,"&lt;="&amp;Settings!$B$1)))</f>
        <v/>
      </c>
      <c r="E6" s="5">
        <f>IF(A6="","",IF(ISNUMBER(D6),ROUND(D6/Settings!$B$2,2),""))</f>
        <v/>
      </c>
      <c r="F6" s="4">
        <f>IF(A6="","",IF(OR(NOT(ISNUMBER(C6)),C6&lt;0),"Check on hand",IF(NOT(ISNUMBER(E6)),"",IF(E6=0,"No recent sales",INT(C6/E6)))))</f>
        <v/>
      </c>
      <c r="G6" s="6">
        <f>IF(ISNUMBER(F6),Settings!$B$1+F6,"")</f>
        <v/>
      </c>
      <c r="H6" s="7">
        <f>IF(A6="","",IF(Settings!$B$4&lt;&gt;"OK","Check settings",IF(F6="Check on hand","Check on hand",IF(C6=0,"Out of stock",IF(F6="No recent sales","No recent sales",IF(F6&lt;Settings!$B$3,"Order soon","OK"))))))</f>
        <v/>
      </c>
      <c r="J6" s="8" t="inlineStr">
        <is>
          <t>Order soon</t>
        </is>
      </c>
      <c r="K6" s="4">
        <f>COUNTIF(H5:H44,"Order soon")</f>
        <v/>
      </c>
    </row>
    <row r="7">
      <c r="A7" s="3" t="inlineStr">
        <is>
          <t>TEE-L</t>
        </is>
      </c>
      <c r="B7" s="3" t="inlineStr">
        <is>
          <t>Logo tee, large</t>
        </is>
      </c>
      <c r="C7" s="3" t="n">
        <v>0</v>
      </c>
      <c r="D7" s="4">
        <f>IF(A7="","",IF(Settings!$B$4&lt;&gt;"OK","",SUMIFS(Sales!$C$5:$C$204,Sales!$B$5:$B$204,A7,Sales!$A$5:$A$204,"&gt;"&amp;Settings!$B$1-Settings!$B$2,Sales!$A$5:$A$204,"&lt;="&amp;Settings!$B$1)))</f>
        <v/>
      </c>
      <c r="E7" s="5">
        <f>IF(A7="","",IF(ISNUMBER(D7),ROUND(D7/Settings!$B$2,2),""))</f>
        <v/>
      </c>
      <c r="F7" s="4">
        <f>IF(A7="","",IF(OR(NOT(ISNUMBER(C7)),C7&lt;0),"Check on hand",IF(NOT(ISNUMBER(E7)),"",IF(E7=0,"No recent sales",INT(C7/E7)))))</f>
        <v/>
      </c>
      <c r="G7" s="6">
        <f>IF(ISNUMBER(F7),Settings!$B$1+F7,"")</f>
        <v/>
      </c>
      <c r="H7" s="7">
        <f>IF(A7="","",IF(Settings!$B$4&lt;&gt;"OK","Check settings",IF(F7="Check on hand","Check on hand",IF(C7=0,"Out of stock",IF(F7="No recent sales","No recent sales",IF(F7&lt;Settings!$B$3,"Order soon","OK"))))))</f>
        <v/>
      </c>
      <c r="J7" s="8" t="inlineStr">
        <is>
          <t>Out of stock</t>
        </is>
      </c>
      <c r="K7" s="4">
        <f>COUNTIF(H5:H44,"Out of stock")</f>
        <v/>
      </c>
    </row>
    <row r="8">
      <c r="A8" s="3" t="inlineStr">
        <is>
          <t>MUG-01</t>
        </is>
      </c>
      <c r="B8" s="3" t="inlineStr">
        <is>
          <t>Enamel mug</t>
        </is>
      </c>
      <c r="C8" s="3" t="n">
        <v>24</v>
      </c>
      <c r="D8" s="4">
        <f>IF(A8="","",IF(Settings!$B$4&lt;&gt;"OK","",SUMIFS(Sales!$C$5:$C$204,Sales!$B$5:$B$204,A8,Sales!$A$5:$A$204,"&gt;"&amp;Settings!$B$1-Settings!$B$2,Sales!$A$5:$A$204,"&lt;="&amp;Settings!$B$1)))</f>
        <v/>
      </c>
      <c r="E8" s="5">
        <f>IF(A8="","",IF(ISNUMBER(D8),ROUND(D8/Settings!$B$2,2),""))</f>
        <v/>
      </c>
      <c r="F8" s="4">
        <f>IF(A8="","",IF(OR(NOT(ISNUMBER(C8)),C8&lt;0),"Check on hand",IF(NOT(ISNUMBER(E8)),"",IF(E8=0,"No recent sales",INT(C8/E8)))))</f>
        <v/>
      </c>
      <c r="G8" s="6">
        <f>IF(ISNUMBER(F8),Settings!$B$1+F8,"")</f>
        <v/>
      </c>
      <c r="H8" s="7">
        <f>IF(A8="","",IF(Settings!$B$4&lt;&gt;"OK","Check settings",IF(F8="Check on hand","Check on hand",IF(C8=0,"Out of stock",IF(F8="No recent sales","No recent sales",IF(F8&lt;Settings!$B$3,"Order soon","OK"))))))</f>
        <v/>
      </c>
      <c r="J8" s="8" t="inlineStr">
        <is>
          <t>No recent sales</t>
        </is>
      </c>
      <c r="K8" s="4">
        <f>COUNTIF(H5:H44,"No recent sales")</f>
        <v/>
      </c>
    </row>
    <row r="9">
      <c r="A9" s="3" t="inlineStr">
        <is>
          <t>STK-10</t>
        </is>
      </c>
      <c r="B9" s="3" t="inlineStr">
        <is>
          <t>Sticker pack</t>
        </is>
      </c>
      <c r="C9" s="3" t="n">
        <v>240</v>
      </c>
      <c r="D9" s="4">
        <f>IF(A9="","",IF(Settings!$B$4&lt;&gt;"OK","",SUMIFS(Sales!$C$5:$C$204,Sales!$B$5:$B$204,A9,Sales!$A$5:$A$204,"&gt;"&amp;Settings!$B$1-Settings!$B$2,Sales!$A$5:$A$204,"&lt;="&amp;Settings!$B$1)))</f>
        <v/>
      </c>
      <c r="E9" s="5">
        <f>IF(A9="","",IF(ISNUMBER(D9),ROUND(D9/Settings!$B$2,2),""))</f>
        <v/>
      </c>
      <c r="F9" s="4">
        <f>IF(A9="","",IF(OR(NOT(ISNUMBER(C9)),C9&lt;0),"Check on hand",IF(NOT(ISNUMBER(E9)),"",IF(E9=0,"No recent sales",INT(C9/E9)))))</f>
        <v/>
      </c>
      <c r="G9" s="6">
        <f>IF(ISNUMBER(F9),Settings!$B$1+F9,"")</f>
        <v/>
      </c>
      <c r="H9" s="7">
        <f>IF(A9="","",IF(Settings!$B$4&lt;&gt;"OK","Check settings",IF(F9="Check on hand","Check on hand",IF(C9=0,"Out of stock",IF(F9="No recent sales","No recent sales",IF(F9&lt;Settings!$B$3,"Order soon","OK"))))))</f>
        <v/>
      </c>
      <c r="J9" s="8" t="inlineStr">
        <is>
          <t>Fewest days left</t>
        </is>
      </c>
      <c r="K9" s="4">
        <f>IF(COUNT(F5:F44)=0,"n/a",MIN(F5:F44))</f>
        <v/>
      </c>
    </row>
    <row r="10">
      <c r="A10" s="3" t="inlineStr">
        <is>
          <t>TOT-02</t>
        </is>
      </c>
      <c r="B10" s="3" t="inlineStr">
        <is>
          <t>Canvas tote bag</t>
        </is>
      </c>
      <c r="C10" s="3" t="n">
        <v>9</v>
      </c>
      <c r="D10" s="4">
        <f>IF(A10="","",IF(Settings!$B$4&lt;&gt;"OK","",SUMIFS(Sales!$C$5:$C$204,Sales!$B$5:$B$204,A10,Sales!$A$5:$A$204,"&gt;"&amp;Settings!$B$1-Settings!$B$2,Sales!$A$5:$A$204,"&lt;="&amp;Settings!$B$1)))</f>
        <v/>
      </c>
      <c r="E10" s="5">
        <f>IF(A10="","",IF(ISNUMBER(D10),ROUND(D10/Settings!$B$2,2),""))</f>
        <v/>
      </c>
      <c r="F10" s="4">
        <f>IF(A10="","",IF(OR(NOT(ISNUMBER(C10)),C10&lt;0),"Check on hand",IF(NOT(ISNUMBER(E10)),"",IF(E10=0,"No recent sales",INT(C10/E10)))))</f>
        <v/>
      </c>
      <c r="G10" s="6">
        <f>IF(ISNUMBER(F10),Settings!$B$1+F10,"")</f>
        <v/>
      </c>
      <c r="H10" s="7">
        <f>IF(A10="","",IF(Settings!$B$4&lt;&gt;"OK","Check settings",IF(F10="Check on hand","Check on hand",IF(C10=0,"Out of stock",IF(F10="No recent sales","No recent sales",IF(F10&lt;Settings!$B$3,"Order soon","OK"))))))</f>
        <v/>
      </c>
      <c r="J10" s="8" t="inlineStr">
        <is>
          <t>Product with the fewest days left</t>
        </is>
      </c>
      <c r="K10" s="7">
        <f>IF(COUNT(F5:F44)=0,"n/a",INDEX(B5:B44,MATCH(MIN(F5:F44),F5:F44,0)))</f>
        <v/>
      </c>
    </row>
    <row r="11">
      <c r="A11" s="3" t="inlineStr">
        <is>
          <t>CAP-01</t>
        </is>
      </c>
      <c r="B11" s="3" t="inlineStr">
        <is>
          <t>Embroidered cap</t>
        </is>
      </c>
      <c r="C11" s="3" t="n">
        <v>60</v>
      </c>
      <c r="D11" s="4">
        <f>IF(A11="","",IF(Settings!$B$4&lt;&gt;"OK","",SUMIFS(Sales!$C$5:$C$204,Sales!$B$5:$B$204,A11,Sales!$A$5:$A$204,"&gt;"&amp;Settings!$B$1-Settings!$B$2,Sales!$A$5:$A$204,"&lt;="&amp;Settings!$B$1)))</f>
        <v/>
      </c>
      <c r="E11" s="5">
        <f>IF(A11="","",IF(ISNUMBER(D11),ROUND(D11/Settings!$B$2,2),""))</f>
        <v/>
      </c>
      <c r="F11" s="4">
        <f>IF(A11="","",IF(OR(NOT(ISNUMBER(C11)),C11&lt;0),"Check on hand",IF(NOT(ISNUMBER(E11)),"",IF(E11=0,"No recent sales",INT(C11/E11)))))</f>
        <v/>
      </c>
      <c r="G11" s="6">
        <f>IF(ISNUMBER(F11),Settings!$B$1+F11,"")</f>
        <v/>
      </c>
      <c r="H11" s="7">
        <f>IF(A11="","",IF(Settings!$B$4&lt;&gt;"OK","Check settings",IF(F11="Check on hand","Check on hand",IF(C11=0,"Out of stock",IF(F11="No recent sales","No recent sales",IF(F11&lt;Settings!$B$3,"Order soon","OK"))))))</f>
        <v/>
      </c>
      <c r="J11" s="8" t="inlineStr">
        <is>
          <t>Units sold in the window, all of the Sales tab</t>
        </is>
      </c>
      <c r="K11" s="4">
        <f>IF(Settings!$B$4&lt;&gt;"OK","",SUMIFS(Sales!$C$5:$C$204,Sales!$A$5:$A$204,"&gt;"&amp;Settings!$B$1-Settings!$B$2,Sales!$A$5:$A$204,"&lt;="&amp;Settings!$B$1))</f>
        <v/>
      </c>
    </row>
    <row r="12">
      <c r="A12" s="3" t="inlineStr">
        <is>
          <t>PIN-05</t>
        </is>
      </c>
      <c r="B12" s="3" t="inlineStr">
        <is>
          <t>Enamel pin</t>
        </is>
      </c>
      <c r="C12" s="3" t="n">
        <v>42</v>
      </c>
      <c r="D12" s="4">
        <f>IF(A12="","",IF(Settings!$B$4&lt;&gt;"OK","",SUMIFS(Sales!$C$5:$C$204,Sales!$B$5:$B$204,A12,Sales!$A$5:$A$204,"&gt;"&amp;Settings!$B$1-Settings!$B$2,Sales!$A$5:$A$204,"&lt;="&amp;Settings!$B$1)))</f>
        <v/>
      </c>
      <c r="E12" s="5">
        <f>IF(A12="","",IF(ISNUMBER(D12),ROUND(D12/Settings!$B$2,2),""))</f>
        <v/>
      </c>
      <c r="F12" s="4">
        <f>IF(A12="","",IF(OR(NOT(ISNUMBER(C12)),C12&lt;0),"Check on hand",IF(NOT(ISNUMBER(E12)),"",IF(E12=0,"No recent sales",INT(C12/E12)))))</f>
        <v/>
      </c>
      <c r="G12" s="6">
        <f>IF(ISNUMBER(F12),Settings!$B$1+F12,"")</f>
        <v/>
      </c>
      <c r="H12" s="7">
        <f>IF(A12="","",IF(Settings!$B$4&lt;&gt;"OK","Check settings",IF(F12="Check on hand","Check on hand",IF(C12=0,"Out of stock",IF(F12="No recent sales","No recent sales",IF(F12&lt;Settings!$B$3,"Order soon","OK"))))))</f>
        <v/>
      </c>
      <c r="J12" s="8" t="inlineStr">
        <is>
          <t>Units in the window for a SKU not in Products</t>
        </is>
      </c>
      <c r="K12" s="4">
        <f>IF(K11="","",ROUND(K11-SUM(D5:D44),2))</f>
        <v/>
      </c>
    </row>
    <row r="13">
      <c r="A13" s="3" t="inlineStr">
        <is>
          <t>PRT-810</t>
        </is>
      </c>
      <c r="B13" s="3" t="inlineStr">
        <is>
          <t>Art print, 8 x 10 in</t>
        </is>
      </c>
      <c r="C13" s="3" t="n">
        <v>21</v>
      </c>
      <c r="D13" s="4">
        <f>IF(A13="","",IF(Settings!$B$4&lt;&gt;"OK","",SUMIFS(Sales!$C$5:$C$204,Sales!$B$5:$B$204,A13,Sales!$A$5:$A$204,"&gt;"&amp;Settings!$B$1-Settings!$B$2,Sales!$A$5:$A$204,"&lt;="&amp;Settings!$B$1)))</f>
        <v/>
      </c>
      <c r="E13" s="5">
        <f>IF(A13="","",IF(ISNUMBER(D13),ROUND(D13/Settings!$B$2,2),""))</f>
        <v/>
      </c>
      <c r="F13" s="4">
        <f>IF(A13="","",IF(OR(NOT(ISNUMBER(C13)),C13&lt;0),"Check on hand",IF(NOT(ISNUMBER(E13)),"",IF(E13=0,"No recent sales",INT(C13/E13)))))</f>
        <v/>
      </c>
      <c r="G13" s="6">
        <f>IF(ISNUMBER(F13),Settings!$B$1+F13,"")</f>
        <v/>
      </c>
      <c r="H13" s="7">
        <f>IF(A13="","",IF(Settings!$B$4&lt;&gt;"OK","Check settings",IF(F13="Check on hand","Check on hand",IF(C13=0,"Out of stock",IF(F13="No recent sales","No recent sales",IF(F13&lt;Settings!$B$3,"Order soon","OK"))))))</f>
        <v/>
      </c>
      <c r="J13" s="8" t="inlineStr">
        <is>
          <t>Sales rows to fix (bad date, qty or blank SKU)</t>
        </is>
      </c>
      <c r="K13" s="4">
        <f>SUMPRODUCT(((Sales!$A$5:$A$204&lt;&gt;"")+(Sales!$B$5:$B$204&lt;&gt;"")+(Sales!$C$5:$C$204&lt;&gt;"")&gt;0)*(1-ISNUMBER(Sales!$A$5:$A$204)*ISNUMBER(Sales!$C$5:$C$204)*(Sales!$B$5:$B$204&lt;&gt;"")))</f>
        <v/>
      </c>
    </row>
    <row r="14">
      <c r="A14" s="3" t="inlineStr">
        <is>
          <t>NTB-01</t>
        </is>
      </c>
      <c r="B14" s="3" t="inlineStr">
        <is>
          <t>Pocket notebook</t>
        </is>
      </c>
      <c r="C14" s="3" t="n">
        <v>21</v>
      </c>
      <c r="D14" s="4">
        <f>IF(A14="","",IF(Settings!$B$4&lt;&gt;"OK","",SUMIFS(Sales!$C$5:$C$204,Sales!$B$5:$B$204,A14,Sales!$A$5:$A$204,"&gt;"&amp;Settings!$B$1-Settings!$B$2,Sales!$A$5:$A$204,"&lt;="&amp;Settings!$B$1)))</f>
        <v/>
      </c>
      <c r="E14" s="5">
        <f>IF(A14="","",IF(ISNUMBER(D14),ROUND(D14/Settings!$B$2,2),""))</f>
        <v/>
      </c>
      <c r="F14" s="4">
        <f>IF(A14="","",IF(OR(NOT(ISNUMBER(C14)),C14&lt;0),"Check on hand",IF(NOT(ISNUMBER(E14)),"",IF(E14=0,"No recent sales",INT(C14/E14)))))</f>
        <v/>
      </c>
      <c r="G14" s="6">
        <f>IF(ISNUMBER(F14),Settings!$B$1+F14,"")</f>
        <v/>
      </c>
      <c r="H14" s="7">
        <f>IF(A14="","",IF(Settings!$B$4&lt;&gt;"OK","Check settings",IF(F14="Check on hand","Check on hand",IF(C14=0,"Out of stock",IF(F14="No recent sales","No recent sales",IF(F14&lt;Settings!$B$3,"Order soon","OK"))))))</f>
        <v/>
      </c>
      <c r="J14" s="8" t="inlineStr">
        <is>
          <t>SKUs listed twice in Products</t>
        </is>
      </c>
      <c r="K14" s="4">
        <f>SUMPRODUCT((A5:A44&lt;&gt;"")*(COUNTIF(A5:A44,A5:A44)&gt;1))</f>
        <v/>
      </c>
    </row>
    <row r="15" ht="32" customHeight="1">
      <c r="A15" s="3" t="inlineStr">
        <is>
          <t>CND-08</t>
        </is>
      </c>
      <c r="B15" s="3" t="inlineStr">
        <is>
          <t>Soy candle, 8 oz</t>
        </is>
      </c>
      <c r="C15" s="3" t="n">
        <v>12</v>
      </c>
      <c r="D15" s="4">
        <f>IF(A15="","",IF(Settings!$B$4&lt;&gt;"OK","",SUMIFS(Sales!$C$5:$C$204,Sales!$B$5:$B$204,A15,Sales!$A$5:$A$204,"&gt;"&amp;Settings!$B$1-Settings!$B$2,Sales!$A$5:$A$204,"&lt;="&amp;Settings!$B$1)))</f>
        <v/>
      </c>
      <c r="E15" s="5">
        <f>IF(A15="","",IF(ISNUMBER(D15),ROUND(D15/Settings!$B$2,2),""))</f>
        <v/>
      </c>
      <c r="F15" s="4">
        <f>IF(A15="","",IF(OR(NOT(ISNUMBER(C15)),C15&lt;0),"Check on hand",IF(NOT(ISNUMBER(E15)),"",IF(E15=0,"No recent sales",INT(C15/E15)))))</f>
        <v/>
      </c>
      <c r="G15" s="6">
        <f>IF(ISNUMBER(F15),Settings!$B$1+F15,"")</f>
        <v/>
      </c>
      <c r="H15" s="7">
        <f>IF(A15="","",IF(Settings!$B$4&lt;&gt;"OK","Check settings",IF(F15="Check on hand","Check on hand",IF(C15=0,"Out of stock",IF(F15="No recent sales","No recent sales",IF(F15&lt;Settings!$B$3,"Order soon","OK"))))))</f>
        <v/>
      </c>
      <c r="J15" s="9" t="inlineStr">
        <is>
          <t>Check: window units match the products, no bad sales rows, no repeated SKU</t>
        </is>
      </c>
      <c r="K15" s="7">
        <f>IF(Settings!$B$4&lt;&gt;"OK","CHECK",IF(AND(K12=0,K13=0,K14=0,COUNTA(A45:A500)=0,COUNTA(Sales!A205:C500)=0),"OK","CHECK"))</f>
        <v/>
      </c>
    </row>
    <row r="16">
      <c r="A16" s="3" t="inlineStr">
        <is>
          <t>GFT-SET</t>
        </is>
      </c>
      <c r="B16" s="3" t="inlineStr">
        <is>
          <t>Gift set box</t>
        </is>
      </c>
      <c r="C16" s="3" t="n">
        <v>3</v>
      </c>
      <c r="D16" s="4">
        <f>IF(A16="","",IF(Settings!$B$4&lt;&gt;"OK","",SUMIFS(Sales!$C$5:$C$204,Sales!$B$5:$B$204,A16,Sales!$A$5:$A$204,"&gt;"&amp;Settings!$B$1-Settings!$B$2,Sales!$A$5:$A$204,"&lt;="&amp;Settings!$B$1)))</f>
        <v/>
      </c>
      <c r="E16" s="5">
        <f>IF(A16="","",IF(ISNUMBER(D16),ROUND(D16/Settings!$B$2,2),""))</f>
        <v/>
      </c>
      <c r="F16" s="4">
        <f>IF(A16="","",IF(OR(NOT(ISNUMBER(C16)),C16&lt;0),"Check on hand",IF(NOT(ISNUMBER(E16)),"",IF(E16=0,"No recent sales",INT(C16/E16)))))</f>
        <v/>
      </c>
      <c r="G16" s="6">
        <f>IF(ISNUMBER(F16),Settings!$B$1+F16,"")</f>
        <v/>
      </c>
      <c r="H16" s="7">
        <f>IF(A16="","",IF(Settings!$B$4&lt;&gt;"OK","Check settings",IF(F16="Check on hand","Check on hand",IF(C16=0,"Out of stock",IF(F16="No recent sales","No recent sales",IF(F16&lt;Settings!$B$3,"Order soon","OK"))))))</f>
        <v/>
      </c>
    </row>
    <row r="17">
      <c r="A17" s="3" t="n"/>
      <c r="B17" s="3" t="n"/>
      <c r="C17" s="3" t="n"/>
      <c r="D17" s="4">
        <f>IF(A17="","",IF(Settings!$B$4&lt;&gt;"OK","",SUMIFS(Sales!$C$5:$C$204,Sales!$B$5:$B$204,A17,Sales!$A$5:$A$204,"&gt;"&amp;Settings!$B$1-Settings!$B$2,Sales!$A$5:$A$204,"&lt;="&amp;Settings!$B$1)))</f>
        <v/>
      </c>
      <c r="E17" s="5">
        <f>IF(A17="","",IF(ISNUMBER(D17),ROUND(D17/Settings!$B$2,2),""))</f>
        <v/>
      </c>
      <c r="F17" s="4">
        <f>IF(A17="","",IF(OR(NOT(ISNUMBER(C17)),C17&lt;0),"Check on hand",IF(NOT(ISNUMBER(E17)),"",IF(E17=0,"No recent sales",INT(C17/E17)))))</f>
        <v/>
      </c>
      <c r="G17" s="6">
        <f>IF(ISNUMBER(F17),Settings!$B$1+F17,"")</f>
        <v/>
      </c>
      <c r="H17" s="7">
        <f>IF(A17="","",IF(Settings!$B$4&lt;&gt;"OK","Check settings",IF(F17="Check on hand","Check on hand",IF(C17=0,"Out of stock",IF(F17="No recent sales","No recent sales",IF(F17&lt;Settings!$B$3,"Order soon","OK"))))))</f>
        <v/>
      </c>
    </row>
    <row r="18">
      <c r="A18" s="3" t="n"/>
      <c r="B18" s="3" t="n"/>
      <c r="C18" s="3" t="n"/>
      <c r="D18" s="4">
        <f>IF(A18="","",IF(Settings!$B$4&lt;&gt;"OK","",SUMIFS(Sales!$C$5:$C$204,Sales!$B$5:$B$204,A18,Sales!$A$5:$A$204,"&gt;"&amp;Settings!$B$1-Settings!$B$2,Sales!$A$5:$A$204,"&lt;="&amp;Settings!$B$1)))</f>
        <v/>
      </c>
      <c r="E18" s="5">
        <f>IF(A18="","",IF(ISNUMBER(D18),ROUND(D18/Settings!$B$2,2),""))</f>
        <v/>
      </c>
      <c r="F18" s="4">
        <f>IF(A18="","",IF(OR(NOT(ISNUMBER(C18)),C18&lt;0),"Check on hand",IF(NOT(ISNUMBER(E18)),"",IF(E18=0,"No recent sales",INT(C18/E18)))))</f>
        <v/>
      </c>
      <c r="G18" s="6">
        <f>IF(ISNUMBER(F18),Settings!$B$1+F18,"")</f>
        <v/>
      </c>
      <c r="H18" s="7">
        <f>IF(A18="","",IF(Settings!$B$4&lt;&gt;"OK","Check settings",IF(F18="Check on hand","Check on hand",IF(C18=0,"Out of stock",IF(F18="No recent sales","No recent sales",IF(F18&lt;Settings!$B$3,"Order soon","OK"))))))</f>
        <v/>
      </c>
    </row>
    <row r="19">
      <c r="A19" s="3" t="n"/>
      <c r="B19" s="3" t="n"/>
      <c r="C19" s="3" t="n"/>
      <c r="D19" s="4">
        <f>IF(A19="","",IF(Settings!$B$4&lt;&gt;"OK","",SUMIFS(Sales!$C$5:$C$204,Sales!$B$5:$B$204,A19,Sales!$A$5:$A$204,"&gt;"&amp;Settings!$B$1-Settings!$B$2,Sales!$A$5:$A$204,"&lt;="&amp;Settings!$B$1)))</f>
        <v/>
      </c>
      <c r="E19" s="5">
        <f>IF(A19="","",IF(ISNUMBER(D19),ROUND(D19/Settings!$B$2,2),""))</f>
        <v/>
      </c>
      <c r="F19" s="4">
        <f>IF(A19="","",IF(OR(NOT(ISNUMBER(C19)),C19&lt;0),"Check on hand",IF(NOT(ISNUMBER(E19)),"",IF(E19=0,"No recent sales",INT(C19/E19)))))</f>
        <v/>
      </c>
      <c r="G19" s="6">
        <f>IF(ISNUMBER(F19),Settings!$B$1+F19,"")</f>
        <v/>
      </c>
      <c r="H19" s="7">
        <f>IF(A19="","",IF(Settings!$B$4&lt;&gt;"OK","Check settings",IF(F19="Check on hand","Check on hand",IF(C19=0,"Out of stock",IF(F19="No recent sales","No recent sales",IF(F19&lt;Settings!$B$3,"Order soon","OK"))))))</f>
        <v/>
      </c>
    </row>
    <row r="20">
      <c r="A20" s="3" t="n"/>
      <c r="B20" s="3" t="n"/>
      <c r="C20" s="3" t="n"/>
      <c r="D20" s="4">
        <f>IF(A20="","",IF(Settings!$B$4&lt;&gt;"OK","",SUMIFS(Sales!$C$5:$C$204,Sales!$B$5:$B$204,A20,Sales!$A$5:$A$204,"&gt;"&amp;Settings!$B$1-Settings!$B$2,Sales!$A$5:$A$204,"&lt;="&amp;Settings!$B$1)))</f>
        <v/>
      </c>
      <c r="E20" s="5">
        <f>IF(A20="","",IF(ISNUMBER(D20),ROUND(D20/Settings!$B$2,2),""))</f>
        <v/>
      </c>
      <c r="F20" s="4">
        <f>IF(A20="","",IF(OR(NOT(ISNUMBER(C20)),C20&lt;0),"Check on hand",IF(NOT(ISNUMBER(E20)),"",IF(E20=0,"No recent sales",INT(C20/E20)))))</f>
        <v/>
      </c>
      <c r="G20" s="6">
        <f>IF(ISNUMBER(F20),Settings!$B$1+F20,"")</f>
        <v/>
      </c>
      <c r="H20" s="7">
        <f>IF(A20="","",IF(Settings!$B$4&lt;&gt;"OK","Check settings",IF(F20="Check on hand","Check on hand",IF(C20=0,"Out of stock",IF(F20="No recent sales","No recent sales",IF(F20&lt;Settings!$B$3,"Order soon","OK"))))))</f>
        <v/>
      </c>
    </row>
    <row r="21">
      <c r="A21" s="3" t="n"/>
      <c r="B21" s="3" t="n"/>
      <c r="C21" s="3" t="n"/>
      <c r="D21" s="4">
        <f>IF(A21="","",IF(Settings!$B$4&lt;&gt;"OK","",SUMIFS(Sales!$C$5:$C$204,Sales!$B$5:$B$204,A21,Sales!$A$5:$A$204,"&gt;"&amp;Settings!$B$1-Settings!$B$2,Sales!$A$5:$A$204,"&lt;="&amp;Settings!$B$1)))</f>
        <v/>
      </c>
      <c r="E21" s="5">
        <f>IF(A21="","",IF(ISNUMBER(D21),ROUND(D21/Settings!$B$2,2),""))</f>
        <v/>
      </c>
      <c r="F21" s="4">
        <f>IF(A21="","",IF(OR(NOT(ISNUMBER(C21)),C21&lt;0),"Check on hand",IF(NOT(ISNUMBER(E21)),"",IF(E21=0,"No recent sales",INT(C21/E21)))))</f>
        <v/>
      </c>
      <c r="G21" s="6">
        <f>IF(ISNUMBER(F21),Settings!$B$1+F21,"")</f>
        <v/>
      </c>
      <c r="H21" s="7">
        <f>IF(A21="","",IF(Settings!$B$4&lt;&gt;"OK","Check settings",IF(F21="Check on hand","Check on hand",IF(C21=0,"Out of stock",IF(F21="No recent sales","No recent sales",IF(F21&lt;Settings!$B$3,"Order soon","OK"))))))</f>
        <v/>
      </c>
    </row>
    <row r="22">
      <c r="A22" s="3" t="n"/>
      <c r="B22" s="3" t="n"/>
      <c r="C22" s="3" t="n"/>
      <c r="D22" s="4">
        <f>IF(A22="","",IF(Settings!$B$4&lt;&gt;"OK","",SUMIFS(Sales!$C$5:$C$204,Sales!$B$5:$B$204,A22,Sales!$A$5:$A$204,"&gt;"&amp;Settings!$B$1-Settings!$B$2,Sales!$A$5:$A$204,"&lt;="&amp;Settings!$B$1)))</f>
        <v/>
      </c>
      <c r="E22" s="5">
        <f>IF(A22="","",IF(ISNUMBER(D22),ROUND(D22/Settings!$B$2,2),""))</f>
        <v/>
      </c>
      <c r="F22" s="4">
        <f>IF(A22="","",IF(OR(NOT(ISNUMBER(C22)),C22&lt;0),"Check on hand",IF(NOT(ISNUMBER(E22)),"",IF(E22=0,"No recent sales",INT(C22/E22)))))</f>
        <v/>
      </c>
      <c r="G22" s="6">
        <f>IF(ISNUMBER(F22),Settings!$B$1+F22,"")</f>
        <v/>
      </c>
      <c r="H22" s="7">
        <f>IF(A22="","",IF(Settings!$B$4&lt;&gt;"OK","Check settings",IF(F22="Check on hand","Check on hand",IF(C22=0,"Out of stock",IF(F22="No recent sales","No recent sales",IF(F22&lt;Settings!$B$3,"Order soon","OK"))))))</f>
        <v/>
      </c>
    </row>
    <row r="23">
      <c r="A23" s="3" t="n"/>
      <c r="B23" s="3" t="n"/>
      <c r="C23" s="3" t="n"/>
      <c r="D23" s="4">
        <f>IF(A23="","",IF(Settings!$B$4&lt;&gt;"OK","",SUMIFS(Sales!$C$5:$C$204,Sales!$B$5:$B$204,A23,Sales!$A$5:$A$204,"&gt;"&amp;Settings!$B$1-Settings!$B$2,Sales!$A$5:$A$204,"&lt;="&amp;Settings!$B$1)))</f>
        <v/>
      </c>
      <c r="E23" s="5">
        <f>IF(A23="","",IF(ISNUMBER(D23),ROUND(D23/Settings!$B$2,2),""))</f>
        <v/>
      </c>
      <c r="F23" s="4">
        <f>IF(A23="","",IF(OR(NOT(ISNUMBER(C23)),C23&lt;0),"Check on hand",IF(NOT(ISNUMBER(E23)),"",IF(E23=0,"No recent sales",INT(C23/E23)))))</f>
        <v/>
      </c>
      <c r="G23" s="6">
        <f>IF(ISNUMBER(F23),Settings!$B$1+F23,"")</f>
        <v/>
      </c>
      <c r="H23" s="7">
        <f>IF(A23="","",IF(Settings!$B$4&lt;&gt;"OK","Check settings",IF(F23="Check on hand","Check on hand",IF(C23=0,"Out of stock",IF(F23="No recent sales","No recent sales",IF(F23&lt;Settings!$B$3,"Order soon","OK"))))))</f>
        <v/>
      </c>
    </row>
    <row r="24">
      <c r="A24" s="3" t="n"/>
      <c r="B24" s="3" t="n"/>
      <c r="C24" s="3" t="n"/>
      <c r="D24" s="4">
        <f>IF(A24="","",IF(Settings!$B$4&lt;&gt;"OK","",SUMIFS(Sales!$C$5:$C$204,Sales!$B$5:$B$204,A24,Sales!$A$5:$A$204,"&gt;"&amp;Settings!$B$1-Settings!$B$2,Sales!$A$5:$A$204,"&lt;="&amp;Settings!$B$1)))</f>
        <v/>
      </c>
      <c r="E24" s="5">
        <f>IF(A24="","",IF(ISNUMBER(D24),ROUND(D24/Settings!$B$2,2),""))</f>
        <v/>
      </c>
      <c r="F24" s="4">
        <f>IF(A24="","",IF(OR(NOT(ISNUMBER(C24)),C24&lt;0),"Check on hand",IF(NOT(ISNUMBER(E24)),"",IF(E24=0,"No recent sales",INT(C24/E24)))))</f>
        <v/>
      </c>
      <c r="G24" s="6">
        <f>IF(ISNUMBER(F24),Settings!$B$1+F24,"")</f>
        <v/>
      </c>
      <c r="H24" s="7">
        <f>IF(A24="","",IF(Settings!$B$4&lt;&gt;"OK","Check settings",IF(F24="Check on hand","Check on hand",IF(C24=0,"Out of stock",IF(F24="No recent sales","No recent sales",IF(F24&lt;Settings!$B$3,"Order soon","OK"))))))</f>
        <v/>
      </c>
    </row>
    <row r="25">
      <c r="A25" s="3" t="n"/>
      <c r="B25" s="3" t="n"/>
      <c r="C25" s="3" t="n"/>
      <c r="D25" s="4">
        <f>IF(A25="","",IF(Settings!$B$4&lt;&gt;"OK","",SUMIFS(Sales!$C$5:$C$204,Sales!$B$5:$B$204,A25,Sales!$A$5:$A$204,"&gt;"&amp;Settings!$B$1-Settings!$B$2,Sales!$A$5:$A$204,"&lt;="&amp;Settings!$B$1)))</f>
        <v/>
      </c>
      <c r="E25" s="5">
        <f>IF(A25="","",IF(ISNUMBER(D25),ROUND(D25/Settings!$B$2,2),""))</f>
        <v/>
      </c>
      <c r="F25" s="4">
        <f>IF(A25="","",IF(OR(NOT(ISNUMBER(C25)),C25&lt;0),"Check on hand",IF(NOT(ISNUMBER(E25)),"",IF(E25=0,"No recent sales",INT(C25/E25)))))</f>
        <v/>
      </c>
      <c r="G25" s="6">
        <f>IF(ISNUMBER(F25),Settings!$B$1+F25,"")</f>
        <v/>
      </c>
      <c r="H25" s="7">
        <f>IF(A25="","",IF(Settings!$B$4&lt;&gt;"OK","Check settings",IF(F25="Check on hand","Check on hand",IF(C25=0,"Out of stock",IF(F25="No recent sales","No recent sales",IF(F25&lt;Settings!$B$3,"Order soon","OK"))))))</f>
        <v/>
      </c>
    </row>
    <row r="26">
      <c r="A26" s="3" t="n"/>
      <c r="B26" s="3" t="n"/>
      <c r="C26" s="3" t="n"/>
      <c r="D26" s="4">
        <f>IF(A26="","",IF(Settings!$B$4&lt;&gt;"OK","",SUMIFS(Sales!$C$5:$C$204,Sales!$B$5:$B$204,A26,Sales!$A$5:$A$204,"&gt;"&amp;Settings!$B$1-Settings!$B$2,Sales!$A$5:$A$204,"&lt;="&amp;Settings!$B$1)))</f>
        <v/>
      </c>
      <c r="E26" s="5">
        <f>IF(A26="","",IF(ISNUMBER(D26),ROUND(D26/Settings!$B$2,2),""))</f>
        <v/>
      </c>
      <c r="F26" s="4">
        <f>IF(A26="","",IF(OR(NOT(ISNUMBER(C26)),C26&lt;0),"Check on hand",IF(NOT(ISNUMBER(E26)),"",IF(E26=0,"No recent sales",INT(C26/E26)))))</f>
        <v/>
      </c>
      <c r="G26" s="6">
        <f>IF(ISNUMBER(F26),Settings!$B$1+F26,"")</f>
        <v/>
      </c>
      <c r="H26" s="7">
        <f>IF(A26="","",IF(Settings!$B$4&lt;&gt;"OK","Check settings",IF(F26="Check on hand","Check on hand",IF(C26=0,"Out of stock",IF(F26="No recent sales","No recent sales",IF(F26&lt;Settings!$B$3,"Order soon","OK"))))))</f>
        <v/>
      </c>
    </row>
    <row r="27">
      <c r="A27" s="3" t="n"/>
      <c r="B27" s="3" t="n"/>
      <c r="C27" s="3" t="n"/>
      <c r="D27" s="4">
        <f>IF(A27="","",IF(Settings!$B$4&lt;&gt;"OK","",SUMIFS(Sales!$C$5:$C$204,Sales!$B$5:$B$204,A27,Sales!$A$5:$A$204,"&gt;"&amp;Settings!$B$1-Settings!$B$2,Sales!$A$5:$A$204,"&lt;="&amp;Settings!$B$1)))</f>
        <v/>
      </c>
      <c r="E27" s="5">
        <f>IF(A27="","",IF(ISNUMBER(D27),ROUND(D27/Settings!$B$2,2),""))</f>
        <v/>
      </c>
      <c r="F27" s="4">
        <f>IF(A27="","",IF(OR(NOT(ISNUMBER(C27)),C27&lt;0),"Check on hand",IF(NOT(ISNUMBER(E27)),"",IF(E27=0,"No recent sales",INT(C27/E27)))))</f>
        <v/>
      </c>
      <c r="G27" s="6">
        <f>IF(ISNUMBER(F27),Settings!$B$1+F27,"")</f>
        <v/>
      </c>
      <c r="H27" s="7">
        <f>IF(A27="","",IF(Settings!$B$4&lt;&gt;"OK","Check settings",IF(F27="Check on hand","Check on hand",IF(C27=0,"Out of stock",IF(F27="No recent sales","No recent sales",IF(F27&lt;Settings!$B$3,"Order soon","OK"))))))</f>
        <v/>
      </c>
    </row>
    <row r="28">
      <c r="A28" s="3" t="n"/>
      <c r="B28" s="3" t="n"/>
      <c r="C28" s="3" t="n"/>
      <c r="D28" s="4">
        <f>IF(A28="","",IF(Settings!$B$4&lt;&gt;"OK","",SUMIFS(Sales!$C$5:$C$204,Sales!$B$5:$B$204,A28,Sales!$A$5:$A$204,"&gt;"&amp;Settings!$B$1-Settings!$B$2,Sales!$A$5:$A$204,"&lt;="&amp;Settings!$B$1)))</f>
        <v/>
      </c>
      <c r="E28" s="5">
        <f>IF(A28="","",IF(ISNUMBER(D28),ROUND(D28/Settings!$B$2,2),""))</f>
        <v/>
      </c>
      <c r="F28" s="4">
        <f>IF(A28="","",IF(OR(NOT(ISNUMBER(C28)),C28&lt;0),"Check on hand",IF(NOT(ISNUMBER(E28)),"",IF(E28=0,"No recent sales",INT(C28/E28)))))</f>
        <v/>
      </c>
      <c r="G28" s="6">
        <f>IF(ISNUMBER(F28),Settings!$B$1+F28,"")</f>
        <v/>
      </c>
      <c r="H28" s="7">
        <f>IF(A28="","",IF(Settings!$B$4&lt;&gt;"OK","Check settings",IF(F28="Check on hand","Check on hand",IF(C28=0,"Out of stock",IF(F28="No recent sales","No recent sales",IF(F28&lt;Settings!$B$3,"Order soon","OK"))))))</f>
        <v/>
      </c>
    </row>
    <row r="29">
      <c r="A29" s="3" t="n"/>
      <c r="B29" s="3" t="n"/>
      <c r="C29" s="3" t="n"/>
      <c r="D29" s="4">
        <f>IF(A29="","",IF(Settings!$B$4&lt;&gt;"OK","",SUMIFS(Sales!$C$5:$C$204,Sales!$B$5:$B$204,A29,Sales!$A$5:$A$204,"&gt;"&amp;Settings!$B$1-Settings!$B$2,Sales!$A$5:$A$204,"&lt;="&amp;Settings!$B$1)))</f>
        <v/>
      </c>
      <c r="E29" s="5">
        <f>IF(A29="","",IF(ISNUMBER(D29),ROUND(D29/Settings!$B$2,2),""))</f>
        <v/>
      </c>
      <c r="F29" s="4">
        <f>IF(A29="","",IF(OR(NOT(ISNUMBER(C29)),C29&lt;0),"Check on hand",IF(NOT(ISNUMBER(E29)),"",IF(E29=0,"No recent sales",INT(C29/E29)))))</f>
        <v/>
      </c>
      <c r="G29" s="6">
        <f>IF(ISNUMBER(F29),Settings!$B$1+F29,"")</f>
        <v/>
      </c>
      <c r="H29" s="7">
        <f>IF(A29="","",IF(Settings!$B$4&lt;&gt;"OK","Check settings",IF(F29="Check on hand","Check on hand",IF(C29=0,"Out of stock",IF(F29="No recent sales","No recent sales",IF(F29&lt;Settings!$B$3,"Order soon","OK"))))))</f>
        <v/>
      </c>
    </row>
    <row r="30">
      <c r="A30" s="3" t="n"/>
      <c r="B30" s="3" t="n"/>
      <c r="C30" s="3" t="n"/>
      <c r="D30" s="4">
        <f>IF(A30="","",IF(Settings!$B$4&lt;&gt;"OK","",SUMIFS(Sales!$C$5:$C$204,Sales!$B$5:$B$204,A30,Sales!$A$5:$A$204,"&gt;"&amp;Settings!$B$1-Settings!$B$2,Sales!$A$5:$A$204,"&lt;="&amp;Settings!$B$1)))</f>
        <v/>
      </c>
      <c r="E30" s="5">
        <f>IF(A30="","",IF(ISNUMBER(D30),ROUND(D30/Settings!$B$2,2),""))</f>
        <v/>
      </c>
      <c r="F30" s="4">
        <f>IF(A30="","",IF(OR(NOT(ISNUMBER(C30)),C30&lt;0),"Check on hand",IF(NOT(ISNUMBER(E30)),"",IF(E30=0,"No recent sales",INT(C30/E30)))))</f>
        <v/>
      </c>
      <c r="G30" s="6">
        <f>IF(ISNUMBER(F30),Settings!$B$1+F30,"")</f>
        <v/>
      </c>
      <c r="H30" s="7">
        <f>IF(A30="","",IF(Settings!$B$4&lt;&gt;"OK","Check settings",IF(F30="Check on hand","Check on hand",IF(C30=0,"Out of stock",IF(F30="No recent sales","No recent sales",IF(F30&lt;Settings!$B$3,"Order soon","OK"))))))</f>
        <v/>
      </c>
    </row>
    <row r="31">
      <c r="A31" s="3" t="n"/>
      <c r="B31" s="3" t="n"/>
      <c r="C31" s="3" t="n"/>
      <c r="D31" s="4">
        <f>IF(A31="","",IF(Settings!$B$4&lt;&gt;"OK","",SUMIFS(Sales!$C$5:$C$204,Sales!$B$5:$B$204,A31,Sales!$A$5:$A$204,"&gt;"&amp;Settings!$B$1-Settings!$B$2,Sales!$A$5:$A$204,"&lt;="&amp;Settings!$B$1)))</f>
        <v/>
      </c>
      <c r="E31" s="5">
        <f>IF(A31="","",IF(ISNUMBER(D31),ROUND(D31/Settings!$B$2,2),""))</f>
        <v/>
      </c>
      <c r="F31" s="4">
        <f>IF(A31="","",IF(OR(NOT(ISNUMBER(C31)),C31&lt;0),"Check on hand",IF(NOT(ISNUMBER(E31)),"",IF(E31=0,"No recent sales",INT(C31/E31)))))</f>
        <v/>
      </c>
      <c r="G31" s="6">
        <f>IF(ISNUMBER(F31),Settings!$B$1+F31,"")</f>
        <v/>
      </c>
      <c r="H31" s="7">
        <f>IF(A31="","",IF(Settings!$B$4&lt;&gt;"OK","Check settings",IF(F31="Check on hand","Check on hand",IF(C31=0,"Out of stock",IF(F31="No recent sales","No recent sales",IF(F31&lt;Settings!$B$3,"Order soon","OK"))))))</f>
        <v/>
      </c>
    </row>
    <row r="32">
      <c r="A32" s="3" t="n"/>
      <c r="B32" s="3" t="n"/>
      <c r="C32" s="3" t="n"/>
      <c r="D32" s="4">
        <f>IF(A32="","",IF(Settings!$B$4&lt;&gt;"OK","",SUMIFS(Sales!$C$5:$C$204,Sales!$B$5:$B$204,A32,Sales!$A$5:$A$204,"&gt;"&amp;Settings!$B$1-Settings!$B$2,Sales!$A$5:$A$204,"&lt;="&amp;Settings!$B$1)))</f>
        <v/>
      </c>
      <c r="E32" s="5">
        <f>IF(A32="","",IF(ISNUMBER(D32),ROUND(D32/Settings!$B$2,2),""))</f>
        <v/>
      </c>
      <c r="F32" s="4">
        <f>IF(A32="","",IF(OR(NOT(ISNUMBER(C32)),C32&lt;0),"Check on hand",IF(NOT(ISNUMBER(E32)),"",IF(E32=0,"No recent sales",INT(C32/E32)))))</f>
        <v/>
      </c>
      <c r="G32" s="6">
        <f>IF(ISNUMBER(F32),Settings!$B$1+F32,"")</f>
        <v/>
      </c>
      <c r="H32" s="7">
        <f>IF(A32="","",IF(Settings!$B$4&lt;&gt;"OK","Check settings",IF(F32="Check on hand","Check on hand",IF(C32=0,"Out of stock",IF(F32="No recent sales","No recent sales",IF(F32&lt;Settings!$B$3,"Order soon","OK"))))))</f>
        <v/>
      </c>
    </row>
    <row r="33">
      <c r="A33" s="3" t="n"/>
      <c r="B33" s="3" t="n"/>
      <c r="C33" s="3" t="n"/>
      <c r="D33" s="4">
        <f>IF(A33="","",IF(Settings!$B$4&lt;&gt;"OK","",SUMIFS(Sales!$C$5:$C$204,Sales!$B$5:$B$204,A33,Sales!$A$5:$A$204,"&gt;"&amp;Settings!$B$1-Settings!$B$2,Sales!$A$5:$A$204,"&lt;="&amp;Settings!$B$1)))</f>
        <v/>
      </c>
      <c r="E33" s="5">
        <f>IF(A33="","",IF(ISNUMBER(D33),ROUND(D33/Settings!$B$2,2),""))</f>
        <v/>
      </c>
      <c r="F33" s="4">
        <f>IF(A33="","",IF(OR(NOT(ISNUMBER(C33)),C33&lt;0),"Check on hand",IF(NOT(ISNUMBER(E33)),"",IF(E33=0,"No recent sales",INT(C33/E33)))))</f>
        <v/>
      </c>
      <c r="G33" s="6">
        <f>IF(ISNUMBER(F33),Settings!$B$1+F33,"")</f>
        <v/>
      </c>
      <c r="H33" s="7">
        <f>IF(A33="","",IF(Settings!$B$4&lt;&gt;"OK","Check settings",IF(F33="Check on hand","Check on hand",IF(C33=0,"Out of stock",IF(F33="No recent sales","No recent sales",IF(F33&lt;Settings!$B$3,"Order soon","OK"))))))</f>
        <v/>
      </c>
    </row>
    <row r="34">
      <c r="A34" s="3" t="n"/>
      <c r="B34" s="3" t="n"/>
      <c r="C34" s="3" t="n"/>
      <c r="D34" s="4">
        <f>IF(A34="","",IF(Settings!$B$4&lt;&gt;"OK","",SUMIFS(Sales!$C$5:$C$204,Sales!$B$5:$B$204,A34,Sales!$A$5:$A$204,"&gt;"&amp;Settings!$B$1-Settings!$B$2,Sales!$A$5:$A$204,"&lt;="&amp;Settings!$B$1)))</f>
        <v/>
      </c>
      <c r="E34" s="5">
        <f>IF(A34="","",IF(ISNUMBER(D34),ROUND(D34/Settings!$B$2,2),""))</f>
        <v/>
      </c>
      <c r="F34" s="4">
        <f>IF(A34="","",IF(OR(NOT(ISNUMBER(C34)),C34&lt;0),"Check on hand",IF(NOT(ISNUMBER(E34)),"",IF(E34=0,"No recent sales",INT(C34/E34)))))</f>
        <v/>
      </c>
      <c r="G34" s="6">
        <f>IF(ISNUMBER(F34),Settings!$B$1+F34,"")</f>
        <v/>
      </c>
      <c r="H34" s="7">
        <f>IF(A34="","",IF(Settings!$B$4&lt;&gt;"OK","Check settings",IF(F34="Check on hand","Check on hand",IF(C34=0,"Out of stock",IF(F34="No recent sales","No recent sales",IF(F34&lt;Settings!$B$3,"Order soon","OK"))))))</f>
        <v/>
      </c>
    </row>
    <row r="35">
      <c r="A35" s="3" t="n"/>
      <c r="B35" s="3" t="n"/>
      <c r="C35" s="3" t="n"/>
      <c r="D35" s="4">
        <f>IF(A35="","",IF(Settings!$B$4&lt;&gt;"OK","",SUMIFS(Sales!$C$5:$C$204,Sales!$B$5:$B$204,A35,Sales!$A$5:$A$204,"&gt;"&amp;Settings!$B$1-Settings!$B$2,Sales!$A$5:$A$204,"&lt;="&amp;Settings!$B$1)))</f>
        <v/>
      </c>
      <c r="E35" s="5">
        <f>IF(A35="","",IF(ISNUMBER(D35),ROUND(D35/Settings!$B$2,2),""))</f>
        <v/>
      </c>
      <c r="F35" s="4">
        <f>IF(A35="","",IF(OR(NOT(ISNUMBER(C35)),C35&lt;0),"Check on hand",IF(NOT(ISNUMBER(E35)),"",IF(E35=0,"No recent sales",INT(C35/E35)))))</f>
        <v/>
      </c>
      <c r="G35" s="6">
        <f>IF(ISNUMBER(F35),Settings!$B$1+F35,"")</f>
        <v/>
      </c>
      <c r="H35" s="7">
        <f>IF(A35="","",IF(Settings!$B$4&lt;&gt;"OK","Check settings",IF(F35="Check on hand","Check on hand",IF(C35=0,"Out of stock",IF(F35="No recent sales","No recent sales",IF(F35&lt;Settings!$B$3,"Order soon","OK"))))))</f>
        <v/>
      </c>
    </row>
    <row r="36">
      <c r="A36" s="3" t="n"/>
      <c r="B36" s="3" t="n"/>
      <c r="C36" s="3" t="n"/>
      <c r="D36" s="4">
        <f>IF(A36="","",IF(Settings!$B$4&lt;&gt;"OK","",SUMIFS(Sales!$C$5:$C$204,Sales!$B$5:$B$204,A36,Sales!$A$5:$A$204,"&gt;"&amp;Settings!$B$1-Settings!$B$2,Sales!$A$5:$A$204,"&lt;="&amp;Settings!$B$1)))</f>
        <v/>
      </c>
      <c r="E36" s="5">
        <f>IF(A36="","",IF(ISNUMBER(D36),ROUND(D36/Settings!$B$2,2),""))</f>
        <v/>
      </c>
      <c r="F36" s="4">
        <f>IF(A36="","",IF(OR(NOT(ISNUMBER(C36)),C36&lt;0),"Check on hand",IF(NOT(ISNUMBER(E36)),"",IF(E36=0,"No recent sales",INT(C36/E36)))))</f>
        <v/>
      </c>
      <c r="G36" s="6">
        <f>IF(ISNUMBER(F36),Settings!$B$1+F36,"")</f>
        <v/>
      </c>
      <c r="H36" s="7">
        <f>IF(A36="","",IF(Settings!$B$4&lt;&gt;"OK","Check settings",IF(F36="Check on hand","Check on hand",IF(C36=0,"Out of stock",IF(F36="No recent sales","No recent sales",IF(F36&lt;Settings!$B$3,"Order soon","OK"))))))</f>
        <v/>
      </c>
    </row>
    <row r="37">
      <c r="A37" s="3" t="n"/>
      <c r="B37" s="3" t="n"/>
      <c r="C37" s="3" t="n"/>
      <c r="D37" s="4">
        <f>IF(A37="","",IF(Settings!$B$4&lt;&gt;"OK","",SUMIFS(Sales!$C$5:$C$204,Sales!$B$5:$B$204,A37,Sales!$A$5:$A$204,"&gt;"&amp;Settings!$B$1-Settings!$B$2,Sales!$A$5:$A$204,"&lt;="&amp;Settings!$B$1)))</f>
        <v/>
      </c>
      <c r="E37" s="5">
        <f>IF(A37="","",IF(ISNUMBER(D37),ROUND(D37/Settings!$B$2,2),""))</f>
        <v/>
      </c>
      <c r="F37" s="4">
        <f>IF(A37="","",IF(OR(NOT(ISNUMBER(C37)),C37&lt;0),"Check on hand",IF(NOT(ISNUMBER(E37)),"",IF(E37=0,"No recent sales",INT(C37/E37)))))</f>
        <v/>
      </c>
      <c r="G37" s="6">
        <f>IF(ISNUMBER(F37),Settings!$B$1+F37,"")</f>
        <v/>
      </c>
      <c r="H37" s="7">
        <f>IF(A37="","",IF(Settings!$B$4&lt;&gt;"OK","Check settings",IF(F37="Check on hand","Check on hand",IF(C37=0,"Out of stock",IF(F37="No recent sales","No recent sales",IF(F37&lt;Settings!$B$3,"Order soon","OK"))))))</f>
        <v/>
      </c>
    </row>
    <row r="38">
      <c r="A38" s="3" t="n"/>
      <c r="B38" s="3" t="n"/>
      <c r="C38" s="3" t="n"/>
      <c r="D38" s="4">
        <f>IF(A38="","",IF(Settings!$B$4&lt;&gt;"OK","",SUMIFS(Sales!$C$5:$C$204,Sales!$B$5:$B$204,A38,Sales!$A$5:$A$204,"&gt;"&amp;Settings!$B$1-Settings!$B$2,Sales!$A$5:$A$204,"&lt;="&amp;Settings!$B$1)))</f>
        <v/>
      </c>
      <c r="E38" s="5">
        <f>IF(A38="","",IF(ISNUMBER(D38),ROUND(D38/Settings!$B$2,2),""))</f>
        <v/>
      </c>
      <c r="F38" s="4">
        <f>IF(A38="","",IF(OR(NOT(ISNUMBER(C38)),C38&lt;0),"Check on hand",IF(NOT(ISNUMBER(E38)),"",IF(E38=0,"No recent sales",INT(C38/E38)))))</f>
        <v/>
      </c>
      <c r="G38" s="6">
        <f>IF(ISNUMBER(F38),Settings!$B$1+F38,"")</f>
        <v/>
      </c>
      <c r="H38" s="7">
        <f>IF(A38="","",IF(Settings!$B$4&lt;&gt;"OK","Check settings",IF(F38="Check on hand","Check on hand",IF(C38=0,"Out of stock",IF(F38="No recent sales","No recent sales",IF(F38&lt;Settings!$B$3,"Order soon","OK"))))))</f>
        <v/>
      </c>
    </row>
    <row r="39">
      <c r="A39" s="3" t="n"/>
      <c r="B39" s="3" t="n"/>
      <c r="C39" s="3" t="n"/>
      <c r="D39" s="4">
        <f>IF(A39="","",IF(Settings!$B$4&lt;&gt;"OK","",SUMIFS(Sales!$C$5:$C$204,Sales!$B$5:$B$204,A39,Sales!$A$5:$A$204,"&gt;"&amp;Settings!$B$1-Settings!$B$2,Sales!$A$5:$A$204,"&lt;="&amp;Settings!$B$1)))</f>
        <v/>
      </c>
      <c r="E39" s="5">
        <f>IF(A39="","",IF(ISNUMBER(D39),ROUND(D39/Settings!$B$2,2),""))</f>
        <v/>
      </c>
      <c r="F39" s="4">
        <f>IF(A39="","",IF(OR(NOT(ISNUMBER(C39)),C39&lt;0),"Check on hand",IF(NOT(ISNUMBER(E39)),"",IF(E39=0,"No recent sales",INT(C39/E39)))))</f>
        <v/>
      </c>
      <c r="G39" s="6">
        <f>IF(ISNUMBER(F39),Settings!$B$1+F39,"")</f>
        <v/>
      </c>
      <c r="H39" s="7">
        <f>IF(A39="","",IF(Settings!$B$4&lt;&gt;"OK","Check settings",IF(F39="Check on hand","Check on hand",IF(C39=0,"Out of stock",IF(F39="No recent sales","No recent sales",IF(F39&lt;Settings!$B$3,"Order soon","OK"))))))</f>
        <v/>
      </c>
    </row>
    <row r="40">
      <c r="A40" s="3" t="n"/>
      <c r="B40" s="3" t="n"/>
      <c r="C40" s="3" t="n"/>
      <c r="D40" s="4">
        <f>IF(A40="","",IF(Settings!$B$4&lt;&gt;"OK","",SUMIFS(Sales!$C$5:$C$204,Sales!$B$5:$B$204,A40,Sales!$A$5:$A$204,"&gt;"&amp;Settings!$B$1-Settings!$B$2,Sales!$A$5:$A$204,"&lt;="&amp;Settings!$B$1)))</f>
        <v/>
      </c>
      <c r="E40" s="5">
        <f>IF(A40="","",IF(ISNUMBER(D40),ROUND(D40/Settings!$B$2,2),""))</f>
        <v/>
      </c>
      <c r="F40" s="4">
        <f>IF(A40="","",IF(OR(NOT(ISNUMBER(C40)),C40&lt;0),"Check on hand",IF(NOT(ISNUMBER(E40)),"",IF(E40=0,"No recent sales",INT(C40/E40)))))</f>
        <v/>
      </c>
      <c r="G40" s="6">
        <f>IF(ISNUMBER(F40),Settings!$B$1+F40,"")</f>
        <v/>
      </c>
      <c r="H40" s="7">
        <f>IF(A40="","",IF(Settings!$B$4&lt;&gt;"OK","Check settings",IF(F40="Check on hand","Check on hand",IF(C40=0,"Out of stock",IF(F40="No recent sales","No recent sales",IF(F40&lt;Settings!$B$3,"Order soon","OK"))))))</f>
        <v/>
      </c>
    </row>
    <row r="41">
      <c r="A41" s="3" t="n"/>
      <c r="B41" s="3" t="n"/>
      <c r="C41" s="3" t="n"/>
      <c r="D41" s="4">
        <f>IF(A41="","",IF(Settings!$B$4&lt;&gt;"OK","",SUMIFS(Sales!$C$5:$C$204,Sales!$B$5:$B$204,A41,Sales!$A$5:$A$204,"&gt;"&amp;Settings!$B$1-Settings!$B$2,Sales!$A$5:$A$204,"&lt;="&amp;Settings!$B$1)))</f>
        <v/>
      </c>
      <c r="E41" s="5">
        <f>IF(A41="","",IF(ISNUMBER(D41),ROUND(D41/Settings!$B$2,2),""))</f>
        <v/>
      </c>
      <c r="F41" s="4">
        <f>IF(A41="","",IF(OR(NOT(ISNUMBER(C41)),C41&lt;0),"Check on hand",IF(NOT(ISNUMBER(E41)),"",IF(E41=0,"No recent sales",INT(C41/E41)))))</f>
        <v/>
      </c>
      <c r="G41" s="6">
        <f>IF(ISNUMBER(F41),Settings!$B$1+F41,"")</f>
        <v/>
      </c>
      <c r="H41" s="7">
        <f>IF(A41="","",IF(Settings!$B$4&lt;&gt;"OK","Check settings",IF(F41="Check on hand","Check on hand",IF(C41=0,"Out of stock",IF(F41="No recent sales","No recent sales",IF(F41&lt;Settings!$B$3,"Order soon","OK"))))))</f>
        <v/>
      </c>
    </row>
    <row r="42">
      <c r="A42" s="3" t="n"/>
      <c r="B42" s="3" t="n"/>
      <c r="C42" s="3" t="n"/>
      <c r="D42" s="4">
        <f>IF(A42="","",IF(Settings!$B$4&lt;&gt;"OK","",SUMIFS(Sales!$C$5:$C$204,Sales!$B$5:$B$204,A42,Sales!$A$5:$A$204,"&gt;"&amp;Settings!$B$1-Settings!$B$2,Sales!$A$5:$A$204,"&lt;="&amp;Settings!$B$1)))</f>
        <v/>
      </c>
      <c r="E42" s="5">
        <f>IF(A42="","",IF(ISNUMBER(D42),ROUND(D42/Settings!$B$2,2),""))</f>
        <v/>
      </c>
      <c r="F42" s="4">
        <f>IF(A42="","",IF(OR(NOT(ISNUMBER(C42)),C42&lt;0),"Check on hand",IF(NOT(ISNUMBER(E42)),"",IF(E42=0,"No recent sales",INT(C42/E42)))))</f>
        <v/>
      </c>
      <c r="G42" s="6">
        <f>IF(ISNUMBER(F42),Settings!$B$1+F42,"")</f>
        <v/>
      </c>
      <c r="H42" s="7">
        <f>IF(A42="","",IF(Settings!$B$4&lt;&gt;"OK","Check settings",IF(F42="Check on hand","Check on hand",IF(C42=0,"Out of stock",IF(F42="No recent sales","No recent sales",IF(F42&lt;Settings!$B$3,"Order soon","OK"))))))</f>
        <v/>
      </c>
    </row>
    <row r="43">
      <c r="A43" s="3" t="n"/>
      <c r="B43" s="3" t="n"/>
      <c r="C43" s="3" t="n"/>
      <c r="D43" s="4">
        <f>IF(A43="","",IF(Settings!$B$4&lt;&gt;"OK","",SUMIFS(Sales!$C$5:$C$204,Sales!$B$5:$B$204,A43,Sales!$A$5:$A$204,"&gt;"&amp;Settings!$B$1-Settings!$B$2,Sales!$A$5:$A$204,"&lt;="&amp;Settings!$B$1)))</f>
        <v/>
      </c>
      <c r="E43" s="5">
        <f>IF(A43="","",IF(ISNUMBER(D43),ROUND(D43/Settings!$B$2,2),""))</f>
        <v/>
      </c>
      <c r="F43" s="4">
        <f>IF(A43="","",IF(OR(NOT(ISNUMBER(C43)),C43&lt;0),"Check on hand",IF(NOT(ISNUMBER(E43)),"",IF(E43=0,"No recent sales",INT(C43/E43)))))</f>
        <v/>
      </c>
      <c r="G43" s="6">
        <f>IF(ISNUMBER(F43),Settings!$B$1+F43,"")</f>
        <v/>
      </c>
      <c r="H43" s="7">
        <f>IF(A43="","",IF(Settings!$B$4&lt;&gt;"OK","Check settings",IF(F43="Check on hand","Check on hand",IF(C43=0,"Out of stock",IF(F43="No recent sales","No recent sales",IF(F43&lt;Settings!$B$3,"Order soon","OK"))))))</f>
        <v/>
      </c>
    </row>
    <row r="44">
      <c r="A44" s="3" t="n"/>
      <c r="B44" s="3" t="n"/>
      <c r="C44" s="3" t="n"/>
      <c r="D44" s="4">
        <f>IF(A44="","",IF(Settings!$B$4&lt;&gt;"OK","",SUMIFS(Sales!$C$5:$C$204,Sales!$B$5:$B$204,A44,Sales!$A$5:$A$204,"&gt;"&amp;Settings!$B$1-Settings!$B$2,Sales!$A$5:$A$204,"&lt;="&amp;Settings!$B$1)))</f>
        <v/>
      </c>
      <c r="E44" s="5">
        <f>IF(A44="","",IF(ISNUMBER(D44),ROUND(D44/Settings!$B$2,2),""))</f>
        <v/>
      </c>
      <c r="F44" s="4">
        <f>IF(A44="","",IF(OR(NOT(ISNUMBER(C44)),C44&lt;0),"Check on hand",IF(NOT(ISNUMBER(E44)),"",IF(E44=0,"No recent sales",INT(C44/E44)))))</f>
        <v/>
      </c>
      <c r="G44" s="6">
        <f>IF(ISNUMBER(F44),Settings!$B$1+F44,"")</f>
        <v/>
      </c>
      <c r="H44" s="7">
        <f>IF(A44="","",IF(Settings!$B$4&lt;&gt;"OK","Check settings",IF(F44="Check on hand","Check on hand",IF(C44=0,"Out of stock",IF(F44="No recent sales","No recent sales",IF(F44&lt;Settings!$B$3,"Order soon","OK"))))))</f>
        <v/>
      </c>
    </row>
  </sheetData>
  <conditionalFormatting sqref="A5:H44">
    <cfRule type="expression" priority="1" dxfId="0">
      <formula>$H5="Order soon"</formula>
    </cfRule>
    <cfRule type="expression" priority="2" dxfId="1">
      <formula>OR($H5="Out of stock",$H5="No recent sales")</formula>
    </cfRule>
    <cfRule type="expression" priority="3" dxfId="0">
      <formula>OR($H5="Check on hand",$H5="Check settings")</formula>
    </cfRule>
  </conditionalFormatting>
  <conditionalFormatting sqref="K15">
    <cfRule type="expression" priority="4" dxfId="0">
      <formula>AND(K15&lt;&gt;"OK",K15&lt;&gt;"")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</cols>
  <sheetData>
    <row r="1">
      <c r="A1" s="1" t="inlineStr">
        <is>
          <t>Fictional sales log. One row per sale: date, SKU, units. Keep SKUs spelled as in Products. The look-back window is set on the Settings tab.</t>
        </is>
      </c>
    </row>
    <row r="4" ht="24" customHeight="1">
      <c r="A4" s="2" t="inlineStr">
        <is>
          <t>Date</t>
        </is>
      </c>
      <c r="B4" s="2" t="inlineStr">
        <is>
          <t>SKU</t>
        </is>
      </c>
      <c r="C4" s="2" t="inlineStr">
        <is>
          <t>Qty sold</t>
        </is>
      </c>
    </row>
    <row r="5">
      <c r="A5" s="10" t="n">
        <v>46285</v>
      </c>
      <c r="B5" s="3" t="inlineStr">
        <is>
          <t>CND-08</t>
        </is>
      </c>
      <c r="C5" s="3" t="n">
        <v>3</v>
      </c>
    </row>
    <row r="6">
      <c r="A6" s="10" t="n">
        <v>46286</v>
      </c>
      <c r="B6" s="3" t="inlineStr">
        <is>
          <t>NTB-01</t>
        </is>
      </c>
      <c r="C6" s="3" t="n">
        <v>3</v>
      </c>
    </row>
    <row r="7">
      <c r="A7" s="10" t="n">
        <v>46288</v>
      </c>
      <c r="B7" s="3" t="inlineStr">
        <is>
          <t>TEE-S</t>
        </is>
      </c>
      <c r="C7" s="3" t="n">
        <v>2</v>
      </c>
    </row>
    <row r="8">
      <c r="A8" s="10" t="n">
        <v>46290</v>
      </c>
      <c r="B8" s="3" t="inlineStr">
        <is>
          <t>TOT-02</t>
        </is>
      </c>
      <c r="C8" s="3" t="n">
        <v>2</v>
      </c>
    </row>
    <row r="9">
      <c r="A9" s="10" t="n">
        <v>46291</v>
      </c>
      <c r="B9" s="3" t="inlineStr">
        <is>
          <t>CND-08</t>
        </is>
      </c>
      <c r="C9" s="3" t="n">
        <v>1</v>
      </c>
    </row>
    <row r="10">
      <c r="A10" s="10" t="n">
        <v>46291</v>
      </c>
      <c r="B10" s="3" t="inlineStr">
        <is>
          <t>MUG-01</t>
        </is>
      </c>
      <c r="C10" s="3" t="n">
        <v>3</v>
      </c>
    </row>
    <row r="11">
      <c r="A11" s="10" t="n">
        <v>46292</v>
      </c>
      <c r="B11" s="3" t="inlineStr">
        <is>
          <t>CAP-01</t>
        </is>
      </c>
      <c r="C11" s="3" t="n">
        <v>2</v>
      </c>
    </row>
    <row r="12">
      <c r="A12" s="10" t="n">
        <v>46293</v>
      </c>
      <c r="B12" s="3" t="inlineStr">
        <is>
          <t>GFT-SET</t>
        </is>
      </c>
      <c r="C12" s="3" t="n">
        <v>1</v>
      </c>
    </row>
    <row r="13">
      <c r="A13" s="10" t="n">
        <v>46294</v>
      </c>
      <c r="B13" s="3" t="inlineStr">
        <is>
          <t>PIN-05</t>
        </is>
      </c>
      <c r="C13" s="3" t="n">
        <v>4</v>
      </c>
    </row>
    <row r="14">
      <c r="A14" s="10" t="n">
        <v>46295</v>
      </c>
      <c r="B14" s="3" t="inlineStr">
        <is>
          <t>CND-08</t>
        </is>
      </c>
      <c r="C14" s="3" t="n">
        <v>2</v>
      </c>
    </row>
    <row r="15">
      <c r="A15" s="10" t="n">
        <v>46295</v>
      </c>
      <c r="B15" s="3" t="inlineStr">
        <is>
          <t>STK-10</t>
        </is>
      </c>
      <c r="C15" s="3" t="n">
        <v>8</v>
      </c>
    </row>
    <row r="16">
      <c r="A16" s="10" t="n">
        <v>46296</v>
      </c>
      <c r="B16" s="3" t="inlineStr">
        <is>
          <t>TEE-M</t>
        </is>
      </c>
      <c r="C16" s="3" t="n">
        <v>5</v>
      </c>
    </row>
    <row r="17">
      <c r="A17" s="10" t="n">
        <v>46297</v>
      </c>
      <c r="B17" s="3" t="inlineStr">
        <is>
          <t>STK-10</t>
        </is>
      </c>
      <c r="C17" s="3" t="n">
        <v>10</v>
      </c>
    </row>
    <row r="18">
      <c r="A18" s="10" t="n">
        <v>46297</v>
      </c>
      <c r="B18" s="3" t="inlineStr">
        <is>
          <t>TEE-S</t>
        </is>
      </c>
      <c r="C18" s="3" t="n">
        <v>18</v>
      </c>
    </row>
    <row r="19">
      <c r="A19" s="10" t="n">
        <v>46298</v>
      </c>
      <c r="B19" s="3" t="inlineStr">
        <is>
          <t>TEE-S</t>
        </is>
      </c>
      <c r="C19" s="3" t="n">
        <v>4</v>
      </c>
    </row>
    <row r="20">
      <c r="A20" s="10" t="n">
        <v>46299</v>
      </c>
      <c r="B20" s="3" t="inlineStr">
        <is>
          <t>CAP-01</t>
        </is>
      </c>
      <c r="C20" s="3" t="n">
        <v>2</v>
      </c>
    </row>
    <row r="21">
      <c r="A21" s="10" t="n">
        <v>46299</v>
      </c>
      <c r="B21" s="3" t="inlineStr">
        <is>
          <t>GFT-SET</t>
        </is>
      </c>
      <c r="C21" s="3" t="n">
        <v>1</v>
      </c>
    </row>
    <row r="22">
      <c r="A22" s="10" t="n">
        <v>46299</v>
      </c>
      <c r="B22" s="3" t="inlineStr">
        <is>
          <t>MUG-01</t>
        </is>
      </c>
      <c r="C22" s="3" t="n">
        <v>1</v>
      </c>
    </row>
    <row r="23">
      <c r="A23" s="10" t="n">
        <v>46299</v>
      </c>
      <c r="B23" s="3" t="inlineStr">
        <is>
          <t>PIN-05</t>
        </is>
      </c>
      <c r="C23" s="3" t="n">
        <v>14</v>
      </c>
    </row>
    <row r="24">
      <c r="A24" s="10" t="n">
        <v>46299</v>
      </c>
      <c r="B24" s="3" t="inlineStr">
        <is>
          <t>TEE-L</t>
        </is>
      </c>
      <c r="C24" s="3" t="n">
        <v>4</v>
      </c>
    </row>
    <row r="25">
      <c r="A25" s="10" t="n">
        <v>46300</v>
      </c>
      <c r="B25" s="3" t="inlineStr">
        <is>
          <t>CAP-01</t>
        </is>
      </c>
      <c r="C25" s="3" t="n">
        <v>3</v>
      </c>
    </row>
    <row r="26">
      <c r="A26" s="10" t="n">
        <v>46300</v>
      </c>
      <c r="B26" s="3" t="inlineStr">
        <is>
          <t>PRT-810</t>
        </is>
      </c>
      <c r="C26" s="3" t="n">
        <v>6</v>
      </c>
    </row>
    <row r="27">
      <c r="A27" s="10" t="n">
        <v>46300</v>
      </c>
      <c r="B27" s="3" t="inlineStr">
        <is>
          <t>TEE-M</t>
        </is>
      </c>
      <c r="C27" s="3" t="n">
        <v>15</v>
      </c>
    </row>
    <row r="28">
      <c r="A28" s="10" t="n">
        <v>46301</v>
      </c>
      <c r="B28" s="3" t="inlineStr">
        <is>
          <t>MUG-01</t>
        </is>
      </c>
      <c r="C28" s="3" t="n">
        <v>7</v>
      </c>
    </row>
    <row r="29">
      <c r="A29" s="10" t="n">
        <v>46301</v>
      </c>
      <c r="B29" s="3" t="inlineStr">
        <is>
          <t>TOT-02</t>
        </is>
      </c>
      <c r="C29" s="3" t="n">
        <v>6</v>
      </c>
    </row>
    <row r="30">
      <c r="A30" s="10" t="n">
        <v>46302</v>
      </c>
      <c r="B30" s="3" t="inlineStr">
        <is>
          <t>NTB-01</t>
        </is>
      </c>
      <c r="C30" s="3" t="n">
        <v>10</v>
      </c>
    </row>
    <row r="31">
      <c r="A31" s="10" t="n">
        <v>46303</v>
      </c>
      <c r="B31" s="3" t="inlineStr">
        <is>
          <t>MUG-01</t>
        </is>
      </c>
      <c r="C31" s="3" t="n">
        <v>24</v>
      </c>
    </row>
    <row r="32">
      <c r="A32" s="10" t="n">
        <v>46303</v>
      </c>
      <c r="B32" s="3" t="inlineStr">
        <is>
          <t>STK-10</t>
        </is>
      </c>
      <c r="C32" s="3" t="n">
        <v>1</v>
      </c>
    </row>
    <row r="33">
      <c r="A33" s="10" t="n">
        <v>46304</v>
      </c>
      <c r="B33" s="3" t="inlineStr">
        <is>
          <t>TOT-02</t>
        </is>
      </c>
      <c r="C33" s="3" t="n">
        <v>8</v>
      </c>
    </row>
    <row r="34">
      <c r="A34" s="10" t="n">
        <v>46305</v>
      </c>
      <c r="B34" s="3" t="inlineStr">
        <is>
          <t>GFT-SET</t>
        </is>
      </c>
      <c r="C34" s="3" t="n">
        <v>1</v>
      </c>
    </row>
    <row r="35">
      <c r="A35" s="10" t="n">
        <v>46305</v>
      </c>
      <c r="B35" s="3" t="inlineStr">
        <is>
          <t>STK-10</t>
        </is>
      </c>
      <c r="C35" s="3" t="n">
        <v>16</v>
      </c>
    </row>
    <row r="36">
      <c r="A36" s="10" t="n">
        <v>46307</v>
      </c>
      <c r="B36" s="3" t="inlineStr">
        <is>
          <t>MUG-01</t>
        </is>
      </c>
      <c r="C36" s="3" t="n">
        <v>1</v>
      </c>
    </row>
    <row r="37">
      <c r="A37" s="10" t="n">
        <v>46307</v>
      </c>
      <c r="B37" s="3" t="inlineStr">
        <is>
          <t>NTB-01</t>
        </is>
      </c>
      <c r="C37" s="3" t="n">
        <v>3</v>
      </c>
    </row>
    <row r="38">
      <c r="A38" s="10" t="n">
        <v>46307</v>
      </c>
      <c r="B38" s="3" t="inlineStr">
        <is>
          <t>STK-10</t>
        </is>
      </c>
      <c r="C38" s="3" t="n">
        <v>18</v>
      </c>
    </row>
    <row r="39">
      <c r="A39" s="10" t="n">
        <v>46308</v>
      </c>
      <c r="B39" s="3" t="inlineStr">
        <is>
          <t>PIN-05</t>
        </is>
      </c>
      <c r="C39" s="3" t="n">
        <v>25</v>
      </c>
    </row>
    <row r="40">
      <c r="A40" s="10" t="n">
        <v>46309</v>
      </c>
      <c r="B40" s="3" t="inlineStr">
        <is>
          <t>STK-10</t>
        </is>
      </c>
      <c r="C40" s="3" t="n">
        <v>3</v>
      </c>
    </row>
    <row r="41">
      <c r="A41" s="10" t="n">
        <v>46310</v>
      </c>
      <c r="B41" s="3" t="inlineStr">
        <is>
          <t>GFT-SET</t>
        </is>
      </c>
      <c r="C41" s="3" t="n">
        <v>4</v>
      </c>
    </row>
    <row r="42">
      <c r="A42" s="10" t="n">
        <v>46310</v>
      </c>
      <c r="B42" s="3" t="inlineStr">
        <is>
          <t>NTB-01</t>
        </is>
      </c>
      <c r="C42" s="3" t="n">
        <v>7</v>
      </c>
    </row>
    <row r="43">
      <c r="A43" s="10" t="n">
        <v>46310</v>
      </c>
      <c r="B43" s="3" t="inlineStr">
        <is>
          <t>PIN-05</t>
        </is>
      </c>
      <c r="C43" s="3" t="n">
        <v>4</v>
      </c>
    </row>
    <row r="44">
      <c r="A44" s="10" t="n">
        <v>46310</v>
      </c>
      <c r="B44" s="3" t="inlineStr">
        <is>
          <t>STK-10</t>
        </is>
      </c>
      <c r="C44" s="3" t="n">
        <v>18</v>
      </c>
    </row>
    <row r="45">
      <c r="A45" s="10" t="n">
        <v>46311</v>
      </c>
      <c r="B45" s="3" t="inlineStr">
        <is>
          <t>TEE-M</t>
        </is>
      </c>
      <c r="C45" s="3" t="n">
        <v>3</v>
      </c>
    </row>
    <row r="46">
      <c r="A46" s="10" t="n">
        <v>46311</v>
      </c>
      <c r="B46" s="3" t="inlineStr">
        <is>
          <t>TEE-M</t>
        </is>
      </c>
      <c r="C46" s="3" t="n">
        <v>3</v>
      </c>
    </row>
    <row r="47">
      <c r="A47" s="10" t="n">
        <v>46313</v>
      </c>
      <c r="B47" s="3" t="inlineStr">
        <is>
          <t>TEE-M</t>
        </is>
      </c>
      <c r="C47" s="3" t="n">
        <v>3</v>
      </c>
    </row>
    <row r="48">
      <c r="A48" s="10" t="n">
        <v>46314</v>
      </c>
      <c r="B48" s="3" t="inlineStr">
        <is>
          <t>CAP-01</t>
        </is>
      </c>
      <c r="C48" s="3" t="n">
        <v>4</v>
      </c>
    </row>
    <row r="49">
      <c r="A49" s="10" t="n">
        <v>46314</v>
      </c>
      <c r="B49" s="3" t="inlineStr">
        <is>
          <t>PIN-05</t>
        </is>
      </c>
      <c r="C49" s="3" t="n">
        <v>8</v>
      </c>
    </row>
    <row r="50">
      <c r="A50" s="10" t="n">
        <v>46314</v>
      </c>
      <c r="B50" s="3" t="inlineStr">
        <is>
          <t>TOT-02</t>
        </is>
      </c>
      <c r="C50" s="3" t="n">
        <v>2</v>
      </c>
    </row>
    <row r="51">
      <c r="A51" s="10" t="n">
        <v>46315</v>
      </c>
      <c r="B51" s="3" t="inlineStr">
        <is>
          <t>TEE-M</t>
        </is>
      </c>
      <c r="C51" s="3" t="n">
        <v>12</v>
      </c>
    </row>
    <row r="52">
      <c r="A52" s="10" t="n">
        <v>46315</v>
      </c>
      <c r="B52" s="3" t="inlineStr">
        <is>
          <t>TEE-S</t>
        </is>
      </c>
      <c r="C52" s="3" t="n">
        <v>1</v>
      </c>
    </row>
    <row r="53">
      <c r="A53" s="10" t="n">
        <v>46316</v>
      </c>
      <c r="B53" s="3" t="inlineStr">
        <is>
          <t>PRT-810</t>
        </is>
      </c>
      <c r="C53" s="3" t="n">
        <v>5</v>
      </c>
    </row>
    <row r="54">
      <c r="A54" s="10" t="n">
        <v>46317</v>
      </c>
      <c r="B54" s="3" t="inlineStr">
        <is>
          <t>NTB-01</t>
        </is>
      </c>
      <c r="C54" s="3" t="n">
        <v>1</v>
      </c>
    </row>
    <row r="55">
      <c r="A55" s="10" t="n">
        <v>46317</v>
      </c>
      <c r="B55" s="3" t="inlineStr">
        <is>
          <t>PIN-05</t>
        </is>
      </c>
      <c r="C55" s="3" t="n">
        <v>4</v>
      </c>
    </row>
    <row r="56">
      <c r="A56" s="10" t="n">
        <v>46318</v>
      </c>
      <c r="B56" s="3" t="inlineStr">
        <is>
          <t>PIN-05</t>
        </is>
      </c>
      <c r="C56" s="3" t="n">
        <v>5</v>
      </c>
    </row>
    <row r="57">
      <c r="A57" s="10" t="n">
        <v>46319</v>
      </c>
      <c r="B57" s="3" t="inlineStr">
        <is>
          <t>TOT-02</t>
        </is>
      </c>
      <c r="C57" s="3" t="n">
        <v>2</v>
      </c>
    </row>
    <row r="58">
      <c r="A58" s="10" t="n">
        <v>46320</v>
      </c>
      <c r="B58" s="3" t="inlineStr">
        <is>
          <t>STK-10</t>
        </is>
      </c>
      <c r="C58" s="3" t="n">
        <v>2</v>
      </c>
    </row>
    <row r="59">
      <c r="A59" s="10" t="n">
        <v>46320</v>
      </c>
      <c r="B59" s="3" t="inlineStr">
        <is>
          <t>TEE-L</t>
        </is>
      </c>
      <c r="C59" s="3" t="n">
        <v>1</v>
      </c>
    </row>
    <row r="60">
      <c r="A60" s="10" t="n">
        <v>46322</v>
      </c>
      <c r="B60" s="3" t="inlineStr">
        <is>
          <t>PRT-810</t>
        </is>
      </c>
      <c r="C60" s="3" t="n">
        <v>4</v>
      </c>
    </row>
    <row r="61">
      <c r="A61" s="10" t="n">
        <v>46322</v>
      </c>
      <c r="B61" s="3" t="inlineStr">
        <is>
          <t>STK-10</t>
        </is>
      </c>
      <c r="C61" s="3" t="n">
        <v>22</v>
      </c>
    </row>
    <row r="62">
      <c r="A62" s="10" t="n">
        <v>46324</v>
      </c>
      <c r="B62" s="3" t="inlineStr">
        <is>
          <t>MUG-01</t>
        </is>
      </c>
      <c r="C62" s="3" t="n">
        <v>12</v>
      </c>
    </row>
    <row r="63">
      <c r="A63" s="10" t="n">
        <v>46325</v>
      </c>
      <c r="B63" s="3" t="inlineStr">
        <is>
          <t>TEE-L</t>
        </is>
      </c>
      <c r="C63" s="3" t="n">
        <v>7</v>
      </c>
    </row>
    <row r="64">
      <c r="A64" s="10" t="n">
        <v>46325</v>
      </c>
      <c r="B64" s="3" t="inlineStr">
        <is>
          <t>TEE-S</t>
        </is>
      </c>
      <c r="C64" s="3" t="n">
        <v>1</v>
      </c>
    </row>
    <row r="65">
      <c r="A65" s="10" t="n"/>
      <c r="B65" s="3" t="n"/>
      <c r="C65" s="3" t="n"/>
    </row>
    <row r="66">
      <c r="A66" s="10" t="n"/>
      <c r="B66" s="3" t="n"/>
      <c r="C66" s="3" t="n"/>
    </row>
    <row r="67">
      <c r="A67" s="10" t="n"/>
      <c r="B67" s="3" t="n"/>
      <c r="C67" s="3" t="n"/>
    </row>
    <row r="68">
      <c r="A68" s="10" t="n"/>
      <c r="B68" s="3" t="n"/>
      <c r="C68" s="3" t="n"/>
    </row>
    <row r="69">
      <c r="A69" s="10" t="n"/>
      <c r="B69" s="3" t="n"/>
      <c r="C69" s="3" t="n"/>
    </row>
    <row r="70">
      <c r="A70" s="10" t="n"/>
      <c r="B70" s="3" t="n"/>
      <c r="C70" s="3" t="n"/>
    </row>
    <row r="71">
      <c r="A71" s="10" t="n"/>
      <c r="B71" s="3" t="n"/>
      <c r="C71" s="3" t="n"/>
    </row>
    <row r="72">
      <c r="A72" s="10" t="n"/>
      <c r="B72" s="3" t="n"/>
      <c r="C72" s="3" t="n"/>
    </row>
    <row r="73">
      <c r="A73" s="10" t="n"/>
      <c r="B73" s="3" t="n"/>
      <c r="C73" s="3" t="n"/>
    </row>
    <row r="74">
      <c r="A74" s="10" t="n"/>
      <c r="B74" s="3" t="n"/>
      <c r="C74" s="3" t="n"/>
    </row>
    <row r="75">
      <c r="A75" s="10" t="n"/>
      <c r="B75" s="3" t="n"/>
      <c r="C75" s="3" t="n"/>
    </row>
    <row r="76">
      <c r="A76" s="10" t="n"/>
      <c r="B76" s="3" t="n"/>
      <c r="C76" s="3" t="n"/>
    </row>
    <row r="77">
      <c r="A77" s="10" t="n"/>
      <c r="B77" s="3" t="n"/>
      <c r="C77" s="3" t="n"/>
    </row>
    <row r="78">
      <c r="A78" s="10" t="n"/>
      <c r="B78" s="3" t="n"/>
      <c r="C78" s="3" t="n"/>
    </row>
    <row r="79">
      <c r="A79" s="10" t="n"/>
      <c r="B79" s="3" t="n"/>
      <c r="C79" s="3" t="n"/>
    </row>
    <row r="80">
      <c r="A80" s="10" t="n"/>
      <c r="B80" s="3" t="n"/>
      <c r="C80" s="3" t="n"/>
    </row>
    <row r="81">
      <c r="A81" s="10" t="n"/>
      <c r="B81" s="3" t="n"/>
      <c r="C81" s="3" t="n"/>
    </row>
    <row r="82">
      <c r="A82" s="10" t="n"/>
      <c r="B82" s="3" t="n"/>
      <c r="C82" s="3" t="n"/>
    </row>
    <row r="83">
      <c r="A83" s="10" t="n"/>
      <c r="B83" s="3" t="n"/>
      <c r="C83" s="3" t="n"/>
    </row>
    <row r="84">
      <c r="A84" s="10" t="n"/>
      <c r="B84" s="3" t="n"/>
      <c r="C84" s="3" t="n"/>
    </row>
    <row r="85">
      <c r="A85" s="10" t="n"/>
      <c r="B85" s="3" t="n"/>
      <c r="C85" s="3" t="n"/>
    </row>
    <row r="86">
      <c r="A86" s="10" t="n"/>
      <c r="B86" s="3" t="n"/>
      <c r="C86" s="3" t="n"/>
    </row>
    <row r="87">
      <c r="A87" s="10" t="n"/>
      <c r="B87" s="3" t="n"/>
      <c r="C87" s="3" t="n"/>
    </row>
    <row r="88">
      <c r="A88" s="10" t="n"/>
      <c r="B88" s="3" t="n"/>
      <c r="C88" s="3" t="n"/>
    </row>
    <row r="89">
      <c r="A89" s="10" t="n"/>
      <c r="B89" s="3" t="n"/>
      <c r="C89" s="3" t="n"/>
    </row>
    <row r="90">
      <c r="A90" s="10" t="n"/>
      <c r="B90" s="3" t="n"/>
      <c r="C90" s="3" t="n"/>
    </row>
    <row r="91">
      <c r="A91" s="10" t="n"/>
      <c r="B91" s="3" t="n"/>
      <c r="C91" s="3" t="n"/>
    </row>
    <row r="92">
      <c r="A92" s="10" t="n"/>
      <c r="B92" s="3" t="n"/>
      <c r="C92" s="3" t="n"/>
    </row>
    <row r="93">
      <c r="A93" s="10" t="n"/>
      <c r="B93" s="3" t="n"/>
      <c r="C93" s="3" t="n"/>
    </row>
    <row r="94">
      <c r="A94" s="10" t="n"/>
      <c r="B94" s="3" t="n"/>
      <c r="C94" s="3" t="n"/>
    </row>
    <row r="95">
      <c r="A95" s="10" t="n"/>
      <c r="B95" s="3" t="n"/>
      <c r="C95" s="3" t="n"/>
    </row>
    <row r="96">
      <c r="A96" s="10" t="n"/>
      <c r="B96" s="3" t="n"/>
      <c r="C96" s="3" t="n"/>
    </row>
    <row r="97">
      <c r="A97" s="10" t="n"/>
      <c r="B97" s="3" t="n"/>
      <c r="C97" s="3" t="n"/>
    </row>
    <row r="98">
      <c r="A98" s="10" t="n"/>
      <c r="B98" s="3" t="n"/>
      <c r="C98" s="3" t="n"/>
    </row>
    <row r="99">
      <c r="A99" s="10" t="n"/>
      <c r="B99" s="3" t="n"/>
      <c r="C99" s="3" t="n"/>
    </row>
    <row r="100">
      <c r="A100" s="10" t="n"/>
      <c r="B100" s="3" t="n"/>
      <c r="C100" s="3" t="n"/>
    </row>
    <row r="101">
      <c r="A101" s="10" t="n"/>
      <c r="B101" s="3" t="n"/>
      <c r="C101" s="3" t="n"/>
    </row>
    <row r="102">
      <c r="A102" s="10" t="n"/>
      <c r="B102" s="3" t="n"/>
      <c r="C102" s="3" t="n"/>
    </row>
    <row r="103">
      <c r="A103" s="10" t="n"/>
      <c r="B103" s="3" t="n"/>
      <c r="C103" s="3" t="n"/>
    </row>
    <row r="104">
      <c r="A104" s="10" t="n"/>
      <c r="B104" s="3" t="n"/>
      <c r="C104" s="3" t="n"/>
    </row>
    <row r="105">
      <c r="A105" s="10" t="n"/>
      <c r="B105" s="3" t="n"/>
      <c r="C105" s="3" t="n"/>
    </row>
    <row r="106">
      <c r="A106" s="10" t="n"/>
      <c r="B106" s="3" t="n"/>
      <c r="C106" s="3" t="n"/>
    </row>
    <row r="107">
      <c r="A107" s="10" t="n"/>
      <c r="B107" s="3" t="n"/>
      <c r="C107" s="3" t="n"/>
    </row>
    <row r="108">
      <c r="A108" s="10" t="n"/>
      <c r="B108" s="3" t="n"/>
      <c r="C108" s="3" t="n"/>
    </row>
    <row r="109">
      <c r="A109" s="10" t="n"/>
      <c r="B109" s="3" t="n"/>
      <c r="C109" s="3" t="n"/>
    </row>
    <row r="110">
      <c r="A110" s="10" t="n"/>
      <c r="B110" s="3" t="n"/>
      <c r="C110" s="3" t="n"/>
    </row>
    <row r="111">
      <c r="A111" s="10" t="n"/>
      <c r="B111" s="3" t="n"/>
      <c r="C111" s="3" t="n"/>
    </row>
    <row r="112">
      <c r="A112" s="10" t="n"/>
      <c r="B112" s="3" t="n"/>
      <c r="C112" s="3" t="n"/>
    </row>
    <row r="113">
      <c r="A113" s="10" t="n"/>
      <c r="B113" s="3" t="n"/>
      <c r="C113" s="3" t="n"/>
    </row>
    <row r="114">
      <c r="A114" s="10" t="n"/>
      <c r="B114" s="3" t="n"/>
      <c r="C114" s="3" t="n"/>
    </row>
    <row r="115">
      <c r="A115" s="10" t="n"/>
      <c r="B115" s="3" t="n"/>
      <c r="C115" s="3" t="n"/>
    </row>
    <row r="116">
      <c r="A116" s="10" t="n"/>
      <c r="B116" s="3" t="n"/>
      <c r="C116" s="3" t="n"/>
    </row>
    <row r="117">
      <c r="A117" s="10" t="n"/>
      <c r="B117" s="3" t="n"/>
      <c r="C117" s="3" t="n"/>
    </row>
    <row r="118">
      <c r="A118" s="10" t="n"/>
      <c r="B118" s="3" t="n"/>
      <c r="C118" s="3" t="n"/>
    </row>
    <row r="119">
      <c r="A119" s="10" t="n"/>
      <c r="B119" s="3" t="n"/>
      <c r="C119" s="3" t="n"/>
    </row>
    <row r="120">
      <c r="A120" s="10" t="n"/>
      <c r="B120" s="3" t="n"/>
      <c r="C120" s="3" t="n"/>
    </row>
    <row r="121">
      <c r="A121" s="10" t="n"/>
      <c r="B121" s="3" t="n"/>
      <c r="C121" s="3" t="n"/>
    </row>
    <row r="122">
      <c r="A122" s="10" t="n"/>
      <c r="B122" s="3" t="n"/>
      <c r="C122" s="3" t="n"/>
    </row>
    <row r="123">
      <c r="A123" s="10" t="n"/>
      <c r="B123" s="3" t="n"/>
      <c r="C123" s="3" t="n"/>
    </row>
    <row r="124">
      <c r="A124" s="10" t="n"/>
      <c r="B124" s="3" t="n"/>
      <c r="C124" s="3" t="n"/>
    </row>
    <row r="125">
      <c r="A125" s="10" t="n"/>
      <c r="B125" s="3" t="n"/>
      <c r="C125" s="3" t="n"/>
    </row>
    <row r="126">
      <c r="A126" s="10" t="n"/>
      <c r="B126" s="3" t="n"/>
      <c r="C126" s="3" t="n"/>
    </row>
    <row r="127">
      <c r="A127" s="10" t="n"/>
      <c r="B127" s="3" t="n"/>
      <c r="C127" s="3" t="n"/>
    </row>
    <row r="128">
      <c r="A128" s="10" t="n"/>
      <c r="B128" s="3" t="n"/>
      <c r="C128" s="3" t="n"/>
    </row>
    <row r="129">
      <c r="A129" s="10" t="n"/>
      <c r="B129" s="3" t="n"/>
      <c r="C129" s="3" t="n"/>
    </row>
    <row r="130">
      <c r="A130" s="10" t="n"/>
      <c r="B130" s="3" t="n"/>
      <c r="C130" s="3" t="n"/>
    </row>
    <row r="131">
      <c r="A131" s="10" t="n"/>
      <c r="B131" s="3" t="n"/>
      <c r="C131" s="3" t="n"/>
    </row>
    <row r="132">
      <c r="A132" s="10" t="n"/>
      <c r="B132" s="3" t="n"/>
      <c r="C132" s="3" t="n"/>
    </row>
    <row r="133">
      <c r="A133" s="10" t="n"/>
      <c r="B133" s="3" t="n"/>
      <c r="C133" s="3" t="n"/>
    </row>
    <row r="134">
      <c r="A134" s="10" t="n"/>
      <c r="B134" s="3" t="n"/>
      <c r="C134" s="3" t="n"/>
    </row>
    <row r="135">
      <c r="A135" s="10" t="n"/>
      <c r="B135" s="3" t="n"/>
      <c r="C135" s="3" t="n"/>
    </row>
    <row r="136">
      <c r="A136" s="10" t="n"/>
      <c r="B136" s="3" t="n"/>
      <c r="C136" s="3" t="n"/>
    </row>
    <row r="137">
      <c r="A137" s="10" t="n"/>
      <c r="B137" s="3" t="n"/>
      <c r="C137" s="3" t="n"/>
    </row>
    <row r="138">
      <c r="A138" s="10" t="n"/>
      <c r="B138" s="3" t="n"/>
      <c r="C138" s="3" t="n"/>
    </row>
    <row r="139">
      <c r="A139" s="10" t="n"/>
      <c r="B139" s="3" t="n"/>
      <c r="C139" s="3" t="n"/>
    </row>
    <row r="140">
      <c r="A140" s="10" t="n"/>
      <c r="B140" s="3" t="n"/>
      <c r="C140" s="3" t="n"/>
    </row>
    <row r="141">
      <c r="A141" s="10" t="n"/>
      <c r="B141" s="3" t="n"/>
      <c r="C141" s="3" t="n"/>
    </row>
    <row r="142">
      <c r="A142" s="10" t="n"/>
      <c r="B142" s="3" t="n"/>
      <c r="C142" s="3" t="n"/>
    </row>
    <row r="143">
      <c r="A143" s="10" t="n"/>
      <c r="B143" s="3" t="n"/>
      <c r="C143" s="3" t="n"/>
    </row>
    <row r="144">
      <c r="A144" s="10" t="n"/>
      <c r="B144" s="3" t="n"/>
      <c r="C144" s="3" t="n"/>
    </row>
    <row r="145">
      <c r="A145" s="10" t="n"/>
      <c r="B145" s="3" t="n"/>
      <c r="C145" s="3" t="n"/>
    </row>
    <row r="146">
      <c r="A146" s="10" t="n"/>
      <c r="B146" s="3" t="n"/>
      <c r="C146" s="3" t="n"/>
    </row>
    <row r="147">
      <c r="A147" s="10" t="n"/>
      <c r="B147" s="3" t="n"/>
      <c r="C147" s="3" t="n"/>
    </row>
    <row r="148">
      <c r="A148" s="10" t="n"/>
      <c r="B148" s="3" t="n"/>
      <c r="C148" s="3" t="n"/>
    </row>
    <row r="149">
      <c r="A149" s="10" t="n"/>
      <c r="B149" s="3" t="n"/>
      <c r="C149" s="3" t="n"/>
    </row>
    <row r="150">
      <c r="A150" s="10" t="n"/>
      <c r="B150" s="3" t="n"/>
      <c r="C150" s="3" t="n"/>
    </row>
    <row r="151">
      <c r="A151" s="10" t="n"/>
      <c r="B151" s="3" t="n"/>
      <c r="C151" s="3" t="n"/>
    </row>
    <row r="152">
      <c r="A152" s="10" t="n"/>
      <c r="B152" s="3" t="n"/>
      <c r="C152" s="3" t="n"/>
    </row>
    <row r="153">
      <c r="A153" s="10" t="n"/>
      <c r="B153" s="3" t="n"/>
      <c r="C153" s="3" t="n"/>
    </row>
    <row r="154">
      <c r="A154" s="10" t="n"/>
      <c r="B154" s="3" t="n"/>
      <c r="C154" s="3" t="n"/>
    </row>
    <row r="155">
      <c r="A155" s="10" t="n"/>
      <c r="B155" s="3" t="n"/>
      <c r="C155" s="3" t="n"/>
    </row>
    <row r="156">
      <c r="A156" s="10" t="n"/>
      <c r="B156" s="3" t="n"/>
      <c r="C156" s="3" t="n"/>
    </row>
    <row r="157">
      <c r="A157" s="10" t="n"/>
      <c r="B157" s="3" t="n"/>
      <c r="C157" s="3" t="n"/>
    </row>
    <row r="158">
      <c r="A158" s="10" t="n"/>
      <c r="B158" s="3" t="n"/>
      <c r="C158" s="3" t="n"/>
    </row>
    <row r="159">
      <c r="A159" s="10" t="n"/>
      <c r="B159" s="3" t="n"/>
      <c r="C159" s="3" t="n"/>
    </row>
    <row r="160">
      <c r="A160" s="10" t="n"/>
      <c r="B160" s="3" t="n"/>
      <c r="C160" s="3" t="n"/>
    </row>
    <row r="161">
      <c r="A161" s="10" t="n"/>
      <c r="B161" s="3" t="n"/>
      <c r="C161" s="3" t="n"/>
    </row>
    <row r="162">
      <c r="A162" s="10" t="n"/>
      <c r="B162" s="3" t="n"/>
      <c r="C162" s="3" t="n"/>
    </row>
    <row r="163">
      <c r="A163" s="10" t="n"/>
      <c r="B163" s="3" t="n"/>
      <c r="C163" s="3" t="n"/>
    </row>
    <row r="164">
      <c r="A164" s="10" t="n"/>
      <c r="B164" s="3" t="n"/>
      <c r="C164" s="3" t="n"/>
    </row>
    <row r="165">
      <c r="A165" s="10" t="n"/>
      <c r="B165" s="3" t="n"/>
      <c r="C165" s="3" t="n"/>
    </row>
    <row r="166">
      <c r="A166" s="10" t="n"/>
      <c r="B166" s="3" t="n"/>
      <c r="C166" s="3" t="n"/>
    </row>
    <row r="167">
      <c r="A167" s="10" t="n"/>
      <c r="B167" s="3" t="n"/>
      <c r="C167" s="3" t="n"/>
    </row>
    <row r="168">
      <c r="A168" s="10" t="n"/>
      <c r="B168" s="3" t="n"/>
      <c r="C168" s="3" t="n"/>
    </row>
    <row r="169">
      <c r="A169" s="10" t="n"/>
      <c r="B169" s="3" t="n"/>
      <c r="C169" s="3" t="n"/>
    </row>
    <row r="170">
      <c r="A170" s="10" t="n"/>
      <c r="B170" s="3" t="n"/>
      <c r="C170" s="3" t="n"/>
    </row>
    <row r="171">
      <c r="A171" s="10" t="n"/>
      <c r="B171" s="3" t="n"/>
      <c r="C171" s="3" t="n"/>
    </row>
    <row r="172">
      <c r="A172" s="10" t="n"/>
      <c r="B172" s="3" t="n"/>
      <c r="C172" s="3" t="n"/>
    </row>
    <row r="173">
      <c r="A173" s="10" t="n"/>
      <c r="B173" s="3" t="n"/>
      <c r="C173" s="3" t="n"/>
    </row>
    <row r="174">
      <c r="A174" s="10" t="n"/>
      <c r="B174" s="3" t="n"/>
      <c r="C174" s="3" t="n"/>
    </row>
    <row r="175">
      <c r="A175" s="10" t="n"/>
      <c r="B175" s="3" t="n"/>
      <c r="C175" s="3" t="n"/>
    </row>
    <row r="176">
      <c r="A176" s="10" t="n"/>
      <c r="B176" s="3" t="n"/>
      <c r="C176" s="3" t="n"/>
    </row>
    <row r="177">
      <c r="A177" s="10" t="n"/>
      <c r="B177" s="3" t="n"/>
      <c r="C177" s="3" t="n"/>
    </row>
    <row r="178">
      <c r="A178" s="10" t="n"/>
      <c r="B178" s="3" t="n"/>
      <c r="C178" s="3" t="n"/>
    </row>
    <row r="179">
      <c r="A179" s="10" t="n"/>
      <c r="B179" s="3" t="n"/>
      <c r="C179" s="3" t="n"/>
    </row>
    <row r="180">
      <c r="A180" s="10" t="n"/>
      <c r="B180" s="3" t="n"/>
      <c r="C180" s="3" t="n"/>
    </row>
    <row r="181">
      <c r="A181" s="10" t="n"/>
      <c r="B181" s="3" t="n"/>
      <c r="C181" s="3" t="n"/>
    </row>
    <row r="182">
      <c r="A182" s="10" t="n"/>
      <c r="B182" s="3" t="n"/>
      <c r="C182" s="3" t="n"/>
    </row>
    <row r="183">
      <c r="A183" s="10" t="n"/>
      <c r="B183" s="3" t="n"/>
      <c r="C183" s="3" t="n"/>
    </row>
    <row r="184">
      <c r="A184" s="10" t="n"/>
      <c r="B184" s="3" t="n"/>
      <c r="C184" s="3" t="n"/>
    </row>
    <row r="185">
      <c r="A185" s="10" t="n"/>
      <c r="B185" s="3" t="n"/>
      <c r="C185" s="3" t="n"/>
    </row>
    <row r="186">
      <c r="A186" s="10" t="n"/>
      <c r="B186" s="3" t="n"/>
      <c r="C186" s="3" t="n"/>
    </row>
    <row r="187">
      <c r="A187" s="10" t="n"/>
      <c r="B187" s="3" t="n"/>
      <c r="C187" s="3" t="n"/>
    </row>
    <row r="188">
      <c r="A188" s="10" t="n"/>
      <c r="B188" s="3" t="n"/>
      <c r="C188" s="3" t="n"/>
    </row>
    <row r="189">
      <c r="A189" s="10" t="n"/>
      <c r="B189" s="3" t="n"/>
      <c r="C189" s="3" t="n"/>
    </row>
    <row r="190">
      <c r="A190" s="10" t="n"/>
      <c r="B190" s="3" t="n"/>
      <c r="C190" s="3" t="n"/>
    </row>
    <row r="191">
      <c r="A191" s="10" t="n"/>
      <c r="B191" s="3" t="n"/>
      <c r="C191" s="3" t="n"/>
    </row>
    <row r="192">
      <c r="A192" s="10" t="n"/>
      <c r="B192" s="3" t="n"/>
      <c r="C192" s="3" t="n"/>
    </row>
    <row r="193">
      <c r="A193" s="10" t="n"/>
      <c r="B193" s="3" t="n"/>
      <c r="C193" s="3" t="n"/>
    </row>
    <row r="194">
      <c r="A194" s="10" t="n"/>
      <c r="B194" s="3" t="n"/>
      <c r="C194" s="3" t="n"/>
    </row>
    <row r="195">
      <c r="A195" s="10" t="n"/>
      <c r="B195" s="3" t="n"/>
      <c r="C195" s="3" t="n"/>
    </row>
    <row r="196">
      <c r="A196" s="10" t="n"/>
      <c r="B196" s="3" t="n"/>
      <c r="C196" s="3" t="n"/>
    </row>
    <row r="197">
      <c r="A197" s="10" t="n"/>
      <c r="B197" s="3" t="n"/>
      <c r="C197" s="3" t="n"/>
    </row>
    <row r="198">
      <c r="A198" s="10" t="n"/>
      <c r="B198" s="3" t="n"/>
      <c r="C198" s="3" t="n"/>
    </row>
    <row r="199">
      <c r="A199" s="10" t="n"/>
      <c r="B199" s="3" t="n"/>
      <c r="C199" s="3" t="n"/>
    </row>
    <row r="200">
      <c r="A200" s="10" t="n"/>
      <c r="B200" s="3" t="n"/>
      <c r="C200" s="3" t="n"/>
    </row>
    <row r="201">
      <c r="A201" s="10" t="n"/>
      <c r="B201" s="3" t="n"/>
      <c r="C201" s="3" t="n"/>
    </row>
    <row r="202">
      <c r="A202" s="10" t="n"/>
      <c r="B202" s="3" t="n"/>
      <c r="C202" s="3" t="n"/>
    </row>
    <row r="203">
      <c r="A203" s="10" t="n"/>
      <c r="B203" s="3" t="n"/>
      <c r="C203" s="3" t="n"/>
    </row>
    <row r="204">
      <c r="A204" s="10" t="n"/>
      <c r="B204" s="3" t="n"/>
      <c r="C204" s="3" t="n"/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8" t="inlineStr">
        <is>
          <t>As-of date</t>
        </is>
      </c>
      <c r="B1" s="10" t="n">
        <v>46326</v>
      </c>
    </row>
    <row r="2">
      <c r="A2" s="8" t="inlineStr">
        <is>
          <t>Days of sales to look back</t>
        </is>
      </c>
      <c r="B2" s="3" t="n">
        <v>30</v>
      </c>
    </row>
    <row r="3">
      <c r="A3" s="8" t="inlineStr">
        <is>
          <t>Warn when days left is below</t>
        </is>
      </c>
      <c r="B3" s="3" t="n">
        <v>21</v>
      </c>
    </row>
    <row r="4">
      <c r="A4" s="8" t="inlineStr">
        <is>
          <t>Settings check</t>
        </is>
      </c>
      <c r="B4" s="11">
        <f>IF(AND(ISNUMBER(B1),ISNUMBER(B2),ISNUMBER(B3)),IF(AND(B2&gt;=1,B2&lt;=90,B2=INT(B2),B3&gt;=0),"OK","Look-back: whole number 1 to 90. Warning: 0 or more"),"Type a date and two numbers in the yellow cells")</f>
        <v/>
      </c>
    </row>
    <row r="6">
      <c r="A6" s="1" t="inlineStr">
        <is>
          <t>The as-of date is typed on purpose, so the results do not change when the file is opened later.</t>
        </is>
      </c>
    </row>
    <row r="7">
      <c r="A7" s="1" t="inlineStr">
        <is>
          <t>The window counts sales after (as-of date minus look-back days) up to and including the as-of date.</t>
        </is>
      </c>
    </row>
  </sheetData>
  <conditionalFormatting sqref="B4">
    <cfRule type="expression" priority="1" dxfId="0">
      <formula>$B$4&lt;&gt;"OK"</formula>
    </cfRule>
  </conditionalFormatting>
  <pageMargins left="0.75" right="0.75" top="1" bottom="1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Days of Stock Left From Recent Sales</t>
        </is>
      </c>
    </row>
    <row r="2">
      <c r="A2" s="13" t="inlineStr"/>
    </row>
    <row r="3">
      <c r="A3" s="13" t="inlineStr">
        <is>
          <t>1. Settings tab: type the as-of date in B1 (yellow, 10/31/2026), the days of sales to look back in B2 (30, whole number 1 to 90) and the warning level in B3 (21). B4 shows OK when all three are valid.</t>
        </is>
      </c>
    </row>
    <row r="4">
      <c r="A4" s="13" t="inlineStr">
        <is>
          <t>2. Sales tab: one row per sale in A5:C204 (yellow): date, SKU, quantity. The sample is 60 fictional rows from 09/20/2026 to 10/30/2026; only the ones in the window count.</t>
        </is>
      </c>
    </row>
    <row r="5">
      <c r="A5" s="13" t="inlineStr">
        <is>
          <t>3. Products tab: SKU, product and on hand in A5:C44 (yellow). The sample has 12 fictional products.</t>
        </is>
      </c>
    </row>
    <row r="6">
      <c r="A6" s="13" t="inlineStr">
        <is>
          <t>4. Sold in window, D5: =SUMIFS(Sales!$C$5:$C$204,Sales!$B$5:$B$204,A5,Sales!$A$5:$A$204,"&gt;"&amp;Settings!$B$1-Settings!$B$2,Sales!$A$5:$A$204,"&lt;="&amp;Settings!$B$1). With 30 days and an as-of date of 10/31/2026 the window is 10/02/2026 to 10/31/2026; a sale on 10/01/2026 is left out.</t>
        </is>
      </c>
    </row>
    <row r="7">
      <c r="A7" s="13" t="inlineStr">
        <is>
          <t>5. Average per day, E5: =ROUND(D5/Settings!$B$2,2). Days left, F5: =INT(C5/E5), rounded down, using the rounded average in E. No sales in the window shows No recent sales. Runs out about, G5: as-of date plus days left.</t>
        </is>
      </c>
    </row>
    <row r="8">
      <c r="A8" s="13" t="inlineStr">
        <is>
          <t>6. Status, H5: Out of stock when on hand is 0, Order soon when days left is below the warning level (exactly 21 stays OK), No recent sales, otherwise OK.</t>
        </is>
      </c>
    </row>
    <row r="9">
      <c r="A9" s="13" t="inlineStr">
        <is>
          <t>7. Summary, J5:K15: counts, the product with the fewest days left, sales rows to fix, and a CHECK in K15. CHECK shows when the units in the window do not match the Products tab (a SKU missing from Products, a typo or a trailing space), a sales row has a text date or quantity, a SKU is listed twice, or data sits below the table.</t>
        </is>
      </c>
    </row>
    <row r="10">
      <c r="A10" s="13" t="inlineStr">
        <is>
          <t>8. This is a simple average of the last few weeks. It ignores seasons, sales that come in bursts and how long a restock takes. It is arithmetic on your own numbers, not a forecast.</t>
        </is>
      </c>
    </row>
    <row r="11">
      <c r="A11" s="13" t="inlineStr"/>
    </row>
    <row r="12">
      <c r="A12" s="13" t="inlineStr">
        <is>
          <t>SKUs, products and quantities are fictional. Checked in LibreOffice Calc only; not opened in Excel or Google Sheets.</t>
        </is>
      </c>
    </row>
    <row r="13">
      <c r="A13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2026-10-30T07:44:43Z</dcterms:created>
  <dcterms:modified xmlns:dcterms="http://purl.org/dc/terms/" xmlns:xsi="http://www.w3.org/2001/XMLSchema-instance" xsi:type="dcterms:W3CDTF">2026-10-30T07:44:43Z</dcterms:modified>
</cp:coreProperties>
</file>