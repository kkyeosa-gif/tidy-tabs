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How to use" sheetId="2" state="visible" r:id="rId2"/>
  </sheets>
  <definedNames>
    <definedName name="_xlnm.Print_Titles" localSheetId="0">'Invoices'!$1:$1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" fontId="0" fillId="4" borderId="0" pivotButton="0" quotePrefix="0" xfId="0"/>
    <xf numFmtId="0" fontId="0" fillId="4" borderId="0" pivotButton="0" quotePrefix="0" xfId="0"/>
    <xf numFmtId="166" fontId="0" fillId="4" borderId="0" applyAlignment="1" pivotButton="0" quotePrefix="0" xfId="0">
      <alignment horizontal="right"/>
    </xf>
    <xf numFmtId="1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3" customWidth="1" min="4" max="4"/>
    <col width="12" customWidth="1" min="5" max="5"/>
    <col width="12" customWidth="1" min="6" max="6"/>
    <col width="4" customWidth="1" min="7" max="7"/>
    <col width="30" customWidth="1" min="8" max="8"/>
    <col width="12" customWidth="1" min="10" max="10"/>
  </cols>
  <sheetData>
    <row r="1" ht="30" customHeight="1">
      <c r="A1" s="1" t="inlineStr">
        <is>
          <t>Invoice</t>
        </is>
      </c>
      <c r="B1" s="1" t="inlineStr">
        <is>
          <t>Client</t>
        </is>
      </c>
      <c r="C1" s="1" t="inlineStr">
        <is>
          <t>Invoice date</t>
        </is>
      </c>
      <c r="D1" s="1" t="inlineStr">
        <is>
          <t>Paid date</t>
        </is>
      </c>
      <c r="E1" s="1" t="inlineStr">
        <is>
          <t>Days to pay</t>
        </is>
      </c>
      <c r="F1" s="1" t="inlineStr">
        <is>
          <t>Status</t>
        </is>
      </c>
      <c r="H1" s="2" t="inlineStr">
        <is>
          <t>Settings and results</t>
        </is>
      </c>
    </row>
    <row r="2">
      <c r="A2" s="3" t="inlineStr">
        <is>
          <t>INV-2001</t>
        </is>
      </c>
      <c r="B2" s="3" t="inlineStr">
        <is>
          <t>Maple Street Bakery</t>
        </is>
      </c>
      <c r="C2" s="4" t="n">
        <v>46204</v>
      </c>
      <c r="D2" s="4" t="n">
        <v>46224</v>
      </c>
      <c r="E2" s="5">
        <f>IF(OR(C2="",D2=""),"",D2-C2)</f>
        <v/>
      </c>
      <c r="F2" s="6">
        <f>IF(C2="","",IF(D2="","Unpaid","Paid"))</f>
        <v/>
      </c>
      <c r="H2" t="inlineStr">
        <is>
          <t>Your payment terms in days</t>
        </is>
      </c>
      <c r="J2" s="3" t="n">
        <v>30</v>
      </c>
    </row>
    <row r="3">
      <c r="A3" s="3" t="inlineStr">
        <is>
          <t>INV-2002</t>
        </is>
      </c>
      <c r="B3" s="3" t="inlineStr">
        <is>
          <t>Harbor Yoga Studio</t>
        </is>
      </c>
      <c r="C3" s="4" t="n">
        <v>46211</v>
      </c>
      <c r="D3" s="4" t="n">
        <v>46246</v>
      </c>
      <c r="E3" s="5">
        <f>IF(OR(C3="",D3=""),"",D3-C3)</f>
        <v/>
      </c>
      <c r="F3" s="6">
        <f>IF(C3="","",IF(D3="","Unpaid","Paid"))</f>
        <v/>
      </c>
    </row>
    <row r="4">
      <c r="A4" s="3" t="inlineStr">
        <is>
          <t>INV-2003</t>
        </is>
      </c>
      <c r="B4" s="3" t="inlineStr">
        <is>
          <t>Birch Design Co</t>
        </is>
      </c>
      <c r="C4" s="4" t="n">
        <v>46218</v>
      </c>
      <c r="D4" s="4" t="n">
        <v>46232</v>
      </c>
      <c r="E4" s="5">
        <f>IF(OR(C4="",D4=""),"",D4-C4)</f>
        <v/>
      </c>
      <c r="F4" s="6">
        <f>IF(C4="","",IF(D4="","Unpaid","Paid"))</f>
        <v/>
      </c>
      <c r="H4" t="inlineStr">
        <is>
          <t>Average days to get paid</t>
        </is>
      </c>
      <c r="J4" s="7">
        <f>IFERROR(AVERAGE(E2:E30),"")</f>
        <v/>
      </c>
    </row>
    <row r="5">
      <c r="A5" s="3" t="inlineStr">
        <is>
          <t>INV-2004</t>
        </is>
      </c>
      <c r="B5" s="3" t="inlineStr">
        <is>
          <t>Lantern Print Shop</t>
        </is>
      </c>
      <c r="C5" s="4" t="n">
        <v>46225</v>
      </c>
      <c r="D5" s="4" t="n">
        <v>46260</v>
      </c>
      <c r="E5" s="5">
        <f>IF(OR(C5="",D5=""),"",D5-C5)</f>
        <v/>
      </c>
      <c r="F5" s="6">
        <f>IF(C5="","",IF(D5="","Unpaid","Paid"))</f>
        <v/>
      </c>
      <c r="H5" t="inlineStr">
        <is>
          <t>Fastest payment (days)</t>
        </is>
      </c>
      <c r="J5" s="8">
        <f>IF(COUNT(E2:E30)=0,"",MIN(E2:E30))</f>
        <v/>
      </c>
    </row>
    <row r="6">
      <c r="A6" s="3" t="inlineStr">
        <is>
          <t>INV-2005</t>
        </is>
      </c>
      <c r="B6" s="3" t="inlineStr">
        <is>
          <t>Cedar Row Realty</t>
        </is>
      </c>
      <c r="C6" s="4" t="n">
        <v>46237</v>
      </c>
      <c r="D6" s="4" t="n">
        <v>46244</v>
      </c>
      <c r="E6" s="5">
        <f>IF(OR(C6="",D6=""),"",D6-C6)</f>
        <v/>
      </c>
      <c r="F6" s="6">
        <f>IF(C6="","",IF(D6="","Unpaid","Paid"))</f>
        <v/>
      </c>
      <c r="H6" t="inlineStr">
        <is>
          <t>Slowest payment (days)</t>
        </is>
      </c>
      <c r="J6" s="8">
        <f>IF(COUNT(E2:E30)=0,"",MAX(E2:E30))</f>
        <v/>
      </c>
    </row>
    <row r="7">
      <c r="A7" s="3" t="inlineStr">
        <is>
          <t>INV-2006</t>
        </is>
      </c>
      <c r="B7" s="3" t="inlineStr">
        <is>
          <t>Willow Pet Care</t>
        </is>
      </c>
      <c r="C7" s="4" t="n">
        <v>46244</v>
      </c>
      <c r="D7" s="4" t="n">
        <v>46289</v>
      </c>
      <c r="E7" s="5">
        <f>IF(OR(C7="",D7=""),"",D7-C7)</f>
        <v/>
      </c>
      <c r="F7" s="6">
        <f>IF(C7="","",IF(D7="","Unpaid","Paid"))</f>
        <v/>
      </c>
      <c r="H7" t="inlineStr">
        <is>
          <t>Invoices paid</t>
        </is>
      </c>
      <c r="J7" s="8">
        <f>COUNT(E2:E30)</f>
        <v/>
      </c>
    </row>
    <row r="8">
      <c r="A8" s="3" t="inlineStr">
        <is>
          <t>INV-2007</t>
        </is>
      </c>
      <c r="B8" s="3" t="inlineStr">
        <is>
          <t>Granite Fitness</t>
        </is>
      </c>
      <c r="C8" s="4" t="n">
        <v>46253</v>
      </c>
      <c r="D8" s="4" t="n">
        <v>46273</v>
      </c>
      <c r="E8" s="5">
        <f>IF(OR(C8="",D8=""),"",D8-C8)</f>
        <v/>
      </c>
      <c r="F8" s="6">
        <f>IF(C8="","",IF(D8="","Unpaid","Paid"))</f>
        <v/>
      </c>
      <c r="H8" t="inlineStr">
        <is>
          <t>Invoices still unpaid</t>
        </is>
      </c>
      <c r="J8" s="8">
        <f>COUNTIF(F2:F30,"Unpaid")</f>
        <v/>
      </c>
    </row>
    <row r="9">
      <c r="A9" s="3" t="inlineStr">
        <is>
          <t>INV-2008</t>
        </is>
      </c>
      <c r="B9" s="3" t="inlineStr">
        <is>
          <t>Juniper Books</t>
        </is>
      </c>
      <c r="C9" s="4" t="n">
        <v>46267</v>
      </c>
      <c r="D9" s="4" t="n">
        <v>46295</v>
      </c>
      <c r="E9" s="5">
        <f>IF(OR(C9="",D9=""),"",D9-C9)</f>
        <v/>
      </c>
      <c r="F9" s="6">
        <f>IF(C9="","",IF(D9="","Unpaid","Paid"))</f>
        <v/>
      </c>
      <c r="H9" t="inlineStr">
        <is>
          <t>Paid later than terms</t>
        </is>
      </c>
      <c r="J9" s="8">
        <f>COUNTIF(E2:E30,"&gt;"&amp;J2)</f>
        <v/>
      </c>
    </row>
    <row r="10">
      <c r="A10" s="3" t="inlineStr">
        <is>
          <t>INV-2009</t>
        </is>
      </c>
      <c r="B10" s="3" t="inlineStr">
        <is>
          <t>Maple Street Bakery</t>
        </is>
      </c>
      <c r="C10" s="4" t="n">
        <v>46281</v>
      </c>
      <c r="D10" s="4" t="n"/>
      <c r="E10" s="5">
        <f>IF(OR(C10="",D10=""),"",D10-C10)</f>
        <v/>
      </c>
      <c r="F10" s="6">
        <f>IF(C10="","",IF(D10="","Unpaid","Paid"))</f>
        <v/>
      </c>
      <c r="H10" t="inlineStr">
        <is>
          <t>Check: paid + unpaid = invoices</t>
        </is>
      </c>
      <c r="J10" s="9">
        <f>IF(J7+J8=COUNTA(A2:A30),"OK","CHECK")</f>
        <v/>
      </c>
    </row>
    <row r="11">
      <c r="A11" s="3" t="inlineStr">
        <is>
          <t>INV-2010</t>
        </is>
      </c>
      <c r="B11" s="3" t="inlineStr">
        <is>
          <t>Harbor Yoga Studio</t>
        </is>
      </c>
      <c r="C11" s="4" t="n">
        <v>46296</v>
      </c>
      <c r="D11" s="4" t="n"/>
      <c r="E11" s="5">
        <f>IF(OR(C11="",D11=""),"",D11-C11)</f>
        <v/>
      </c>
      <c r="F11" s="6">
        <f>IF(C11="","",IF(D11="","Unpaid","Paid"))</f>
        <v/>
      </c>
    </row>
    <row r="12">
      <c r="A12" s="3" t="n"/>
      <c r="B12" s="3" t="n"/>
      <c r="C12" s="4" t="n"/>
      <c r="D12" s="4" t="n"/>
      <c r="E12" s="5">
        <f>IF(OR(C12="",D12=""),"",D12-C12)</f>
        <v/>
      </c>
      <c r="F12" s="6">
        <f>IF(C12="","",IF(D12="","Unpaid","Paid"))</f>
        <v/>
      </c>
    </row>
    <row r="13">
      <c r="A13" s="3" t="n"/>
      <c r="B13" s="3" t="n"/>
      <c r="C13" s="4" t="n"/>
      <c r="D13" s="4" t="n"/>
      <c r="E13" s="5">
        <f>IF(OR(C13="",D13=""),"",D13-C13)</f>
        <v/>
      </c>
      <c r="F13" s="6">
        <f>IF(C13="","",IF(D13="","Unpaid","Paid"))</f>
        <v/>
      </c>
    </row>
    <row r="14">
      <c r="A14" s="3" t="n"/>
      <c r="B14" s="3" t="n"/>
      <c r="C14" s="4" t="n"/>
      <c r="D14" s="4" t="n"/>
      <c r="E14" s="5">
        <f>IF(OR(C14="",D14=""),"",D14-C14)</f>
        <v/>
      </c>
      <c r="F14" s="6">
        <f>IF(C14="","",IF(D14="","Unpaid","Paid"))</f>
        <v/>
      </c>
    </row>
    <row r="15">
      <c r="A15" s="3" t="n"/>
      <c r="B15" s="3" t="n"/>
      <c r="C15" s="4" t="n"/>
      <c r="D15" s="4" t="n"/>
      <c r="E15" s="5">
        <f>IF(OR(C15="",D15=""),"",D15-C15)</f>
        <v/>
      </c>
      <c r="F15" s="6">
        <f>IF(C15="","",IF(D15="","Unpaid","Paid"))</f>
        <v/>
      </c>
    </row>
    <row r="16">
      <c r="A16" s="3" t="n"/>
      <c r="B16" s="3" t="n"/>
      <c r="C16" s="4" t="n"/>
      <c r="D16" s="4" t="n"/>
      <c r="E16" s="5">
        <f>IF(OR(C16="",D16=""),"",D16-C16)</f>
        <v/>
      </c>
      <c r="F16" s="6">
        <f>IF(C16="","",IF(D16="","Unpaid","Paid"))</f>
        <v/>
      </c>
    </row>
    <row r="17">
      <c r="A17" s="3" t="n"/>
      <c r="B17" s="3" t="n"/>
      <c r="C17" s="4" t="n"/>
      <c r="D17" s="4" t="n"/>
      <c r="E17" s="5">
        <f>IF(OR(C17="",D17=""),"",D17-C17)</f>
        <v/>
      </c>
      <c r="F17" s="6">
        <f>IF(C17="","",IF(D17="","Unpaid","Paid"))</f>
        <v/>
      </c>
    </row>
    <row r="18">
      <c r="A18" s="3" t="n"/>
      <c r="B18" s="3" t="n"/>
      <c r="C18" s="4" t="n"/>
      <c r="D18" s="4" t="n"/>
      <c r="E18" s="5">
        <f>IF(OR(C18="",D18=""),"",D18-C18)</f>
        <v/>
      </c>
      <c r="F18" s="6">
        <f>IF(C18="","",IF(D18="","Unpaid","Paid"))</f>
        <v/>
      </c>
    </row>
    <row r="19">
      <c r="A19" s="3" t="n"/>
      <c r="B19" s="3" t="n"/>
      <c r="C19" s="4" t="n"/>
      <c r="D19" s="4" t="n"/>
      <c r="E19" s="5">
        <f>IF(OR(C19="",D19=""),"",D19-C19)</f>
        <v/>
      </c>
      <c r="F19" s="6">
        <f>IF(C19="","",IF(D19="","Unpaid","Paid"))</f>
        <v/>
      </c>
    </row>
    <row r="20">
      <c r="A20" s="3" t="n"/>
      <c r="B20" s="3" t="n"/>
      <c r="C20" s="4" t="n"/>
      <c r="D20" s="4" t="n"/>
      <c r="E20" s="5">
        <f>IF(OR(C20="",D20=""),"",D20-C20)</f>
        <v/>
      </c>
      <c r="F20" s="6">
        <f>IF(C20="","",IF(D20="","Unpaid","Paid"))</f>
        <v/>
      </c>
    </row>
    <row r="21">
      <c r="A21" s="3" t="n"/>
      <c r="B21" s="3" t="n"/>
      <c r="C21" s="4" t="n"/>
      <c r="D21" s="4" t="n"/>
      <c r="E21" s="5">
        <f>IF(OR(C21="",D21=""),"",D21-C21)</f>
        <v/>
      </c>
      <c r="F21" s="6">
        <f>IF(C21="","",IF(D21="","Unpaid","Paid"))</f>
        <v/>
      </c>
    </row>
    <row r="22">
      <c r="A22" s="3" t="n"/>
      <c r="B22" s="3" t="n"/>
      <c r="C22" s="4" t="n"/>
      <c r="D22" s="4" t="n"/>
      <c r="E22" s="5">
        <f>IF(OR(C22="",D22=""),"",D22-C22)</f>
        <v/>
      </c>
      <c r="F22" s="6">
        <f>IF(C22="","",IF(D22="","Unpaid","Paid"))</f>
        <v/>
      </c>
    </row>
    <row r="23">
      <c r="A23" s="3" t="n"/>
      <c r="B23" s="3" t="n"/>
      <c r="C23" s="4" t="n"/>
      <c r="D23" s="4" t="n"/>
      <c r="E23" s="5">
        <f>IF(OR(C23="",D23=""),"",D23-C23)</f>
        <v/>
      </c>
      <c r="F23" s="6">
        <f>IF(C23="","",IF(D23="","Unpaid","Paid"))</f>
        <v/>
      </c>
    </row>
    <row r="24">
      <c r="A24" s="3" t="n"/>
      <c r="B24" s="3" t="n"/>
      <c r="C24" s="4" t="n"/>
      <c r="D24" s="4" t="n"/>
      <c r="E24" s="5">
        <f>IF(OR(C24="",D24=""),"",D24-C24)</f>
        <v/>
      </c>
      <c r="F24" s="6">
        <f>IF(C24="","",IF(D24="","Unpaid","Paid"))</f>
        <v/>
      </c>
    </row>
    <row r="25">
      <c r="A25" s="3" t="n"/>
      <c r="B25" s="3" t="n"/>
      <c r="C25" s="4" t="n"/>
      <c r="D25" s="4" t="n"/>
      <c r="E25" s="5">
        <f>IF(OR(C25="",D25=""),"",D25-C25)</f>
        <v/>
      </c>
      <c r="F25" s="6">
        <f>IF(C25="","",IF(D25="","Unpaid","Paid"))</f>
        <v/>
      </c>
    </row>
    <row r="26">
      <c r="A26" s="3" t="n"/>
      <c r="B26" s="3" t="n"/>
      <c r="C26" s="4" t="n"/>
      <c r="D26" s="4" t="n"/>
      <c r="E26" s="5">
        <f>IF(OR(C26="",D26=""),"",D26-C26)</f>
        <v/>
      </c>
      <c r="F26" s="6">
        <f>IF(C26="","",IF(D26="","Unpaid","Paid"))</f>
        <v/>
      </c>
    </row>
    <row r="27">
      <c r="A27" s="3" t="n"/>
      <c r="B27" s="3" t="n"/>
      <c r="C27" s="4" t="n"/>
      <c r="D27" s="4" t="n"/>
      <c r="E27" s="5">
        <f>IF(OR(C27="",D27=""),"",D27-C27)</f>
        <v/>
      </c>
      <c r="F27" s="6">
        <f>IF(C27="","",IF(D27="","Unpaid","Paid"))</f>
        <v/>
      </c>
    </row>
    <row r="28">
      <c r="A28" s="3" t="n"/>
      <c r="B28" s="3" t="n"/>
      <c r="C28" s="4" t="n"/>
      <c r="D28" s="4" t="n"/>
      <c r="E28" s="5">
        <f>IF(OR(C28="",D28=""),"",D28-C28)</f>
        <v/>
      </c>
      <c r="F28" s="6">
        <f>IF(C28="","",IF(D28="","Unpaid","Paid"))</f>
        <v/>
      </c>
    </row>
    <row r="29">
      <c r="A29" s="3" t="n"/>
      <c r="B29" s="3" t="n"/>
      <c r="C29" s="4" t="n"/>
      <c r="D29" s="4" t="n"/>
      <c r="E29" s="5">
        <f>IF(OR(C29="",D29=""),"",D29-C29)</f>
        <v/>
      </c>
      <c r="F29" s="6">
        <f>IF(C29="","",IF(D29="","Unpaid","Paid"))</f>
        <v/>
      </c>
    </row>
    <row r="30">
      <c r="A30" s="3" t="n"/>
      <c r="B30" s="3" t="n"/>
      <c r="C30" s="4" t="n"/>
      <c r="D30" s="4" t="n"/>
      <c r="E30" s="5">
        <f>IF(OR(C30="",D30=""),"",D30-C30)</f>
        <v/>
      </c>
      <c r="F30" s="6">
        <f>IF(C30="","",IF(D30="","Unpaid","Paid"))</f>
        <v/>
      </c>
    </row>
  </sheetData>
  <conditionalFormatting sqref="E2:E30">
    <cfRule type="expression" priority="1" dxfId="0">
      <formula>AND(ISNUMBER(E2),E2&gt;$J$2)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Calculate Average Days to Get Paid</t>
        </is>
      </c>
    </row>
    <row r="2">
      <c r="A2" s="11" t="inlineStr"/>
    </row>
    <row r="3">
      <c r="A3" s="11" t="inlineStr">
        <is>
          <t>1. Invoices tab: type the invoice number, client, invoice date (A to C) and, once the client pays, the paid date in D. Leave D blank while an invoice is unpaid. Yellow cells are inputs; rows 2 to 30 have formulas ready.</t>
        </is>
      </c>
    </row>
    <row r="4">
      <c r="A4" s="11" t="inlineStr">
        <is>
          <t>2. E2: =D2-C2 is the days between the invoice date and the paid date. Dates are numbers, so subtracting gives days. A blank paid date leaves E blank.</t>
        </is>
      </c>
    </row>
    <row r="5">
      <c r="A5" s="11" t="inlineStr">
        <is>
          <t>3. J4: =AVERAGE(E2:E30) is the average days to get paid. AVERAGE skips blank cells, so unpaid invoices do not pull it down to zero.</t>
        </is>
      </c>
    </row>
    <row r="6">
      <c r="A6" s="11" t="inlineStr">
        <is>
          <t>4. J5 and J6 give the fastest and slowest payment with MIN and MAX. J7 and J8 count paid and unpaid invoices.</t>
        </is>
      </c>
    </row>
    <row r="7">
      <c r="A7" s="11" t="inlineStr">
        <is>
          <t>5. J2 is your payment terms in days (30 for Net 30). E turns red when an invoice took longer, and J9 counts them.</t>
        </is>
      </c>
    </row>
    <row r="8">
      <c r="A8" s="11" t="inlineStr">
        <is>
          <t>6. J10 checks that paid plus unpaid equals the number of invoices listed.</t>
        </is>
      </c>
    </row>
    <row r="9">
      <c r="A9" s="11" t="inlineStr">
        <is>
          <t>7. Enter real dates. A date stored as text (usually left-aligned) can give a wrong number or an error. A paid date earlier than the invoice date gives a negative number; fix the typo.</t>
        </is>
      </c>
    </row>
    <row r="10">
      <c r="A10" s="11" t="inlineStr">
        <is>
          <t>8. This looks back at invoices that were paid. It does not age open invoices; the receivables aging template does that.</t>
        </is>
      </c>
    </row>
    <row r="11">
      <c r="A11" s="11" t="inlineStr"/>
    </row>
    <row r="12">
      <c r="A12" s="11" t="inlineStr">
        <is>
          <t>Clients, dates and amounts are fictional. Checked in LibreOffice Calc only; not opened in Excel or Google Sheets.</t>
        </is>
      </c>
    </row>
    <row r="13">
      <c r="A13" s="11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2026-10-14T07:27:16Z</dcterms:created>
  <dcterms:modified xsi:type="dcterms:W3CDTF">2026-10-14T07:27:16Z</dcterms:modified>
</cp:coreProperties>
</file>