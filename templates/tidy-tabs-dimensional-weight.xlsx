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Packages" sheetId="2" state="visible" r:id="rId2"/>
    <sheet name="How to use" sheetId="3" state="visible" r:id="rId3"/>
  </sheets>
  <definedNames>
    <definedName name="_xlnm.Print_Titles" localSheetId="0">'Calculator'!$1:$1</definedName>
    <definedName name="_xlnm.Print_Titles" localSheetId="1">'Packages'!$1:$1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3" borderId="0" applyAlignment="1" pivotButton="0" quotePrefix="0" xfId="0">
      <alignment horizontal="right"/>
    </xf>
    <xf numFmtId="1" fontId="0" fillId="3" borderId="0" applyAlignment="1" pivotButton="0" quotePrefix="0" xfId="0">
      <alignment horizontal="right"/>
    </xf>
    <xf numFmtId="0" fontId="4" fillId="0" borderId="0" pivotButton="0" quotePrefix="0" xfId="0"/>
    <xf numFmtId="1" fontId="4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5" fillId="4" borderId="0" applyAlignment="1" pivotButton="0" quotePrefix="0" xfId="0">
      <alignment vertical="center" wrapText="1"/>
    </xf>
    <xf numFmtId="3" fontId="0" fillId="3" borderId="0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DEBF7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56" customWidth="1" min="3" max="3"/>
  </cols>
  <sheetData>
    <row r="1">
      <c r="A1" s="1" t="inlineStr">
        <is>
          <t>Dimensional weight and billable weight for one box</t>
        </is>
      </c>
    </row>
    <row r="2">
      <c r="A2" s="2" t="inlineStr">
        <is>
          <t>Type in the yellow cells. Inches and pounds. Fictional example.</t>
        </is>
      </c>
    </row>
    <row r="4">
      <c r="A4" s="3" t="inlineStr">
        <is>
          <t>Length (in)</t>
        </is>
      </c>
      <c r="B4" s="4" t="n">
        <v>12</v>
      </c>
    </row>
    <row r="5">
      <c r="A5" s="3" t="inlineStr">
        <is>
          <t>Width (in)</t>
        </is>
      </c>
      <c r="B5" s="4" t="n">
        <v>10</v>
      </c>
    </row>
    <row r="6">
      <c r="A6" s="3" t="inlineStr">
        <is>
          <t>Height (in)</t>
        </is>
      </c>
      <c r="B6" s="4" t="n">
        <v>8</v>
      </c>
    </row>
    <row r="7">
      <c r="A7" s="3" t="inlineStr">
        <is>
          <t>Actual weight (lb)</t>
        </is>
      </c>
      <c r="B7" s="4" t="n">
        <v>4.2</v>
      </c>
    </row>
    <row r="8">
      <c r="A8" s="3" t="inlineStr">
        <is>
          <t>Divisor (check your carrier)</t>
        </is>
      </c>
      <c r="B8" s="4" t="n">
        <v>139</v>
      </c>
      <c r="C8" s="2" t="inlineStr">
        <is>
          <t>Carrier divisors differ and change. Look up the current one on your carrier's site.</t>
        </is>
      </c>
    </row>
    <row r="10">
      <c r="A10" s="3" t="inlineStr">
        <is>
          <t>Volume (cubic inches)</t>
        </is>
      </c>
      <c r="B10" s="5">
        <f>IF(AND(COUNT(B4:B8)=5,B4&gt;0,B5&gt;0,B6&gt;0,B7&gt;=0,B8&gt;0),B4*B5*B6,"Check inputs")</f>
        <v/>
      </c>
    </row>
    <row r="11">
      <c r="A11" s="3" t="inlineStr">
        <is>
          <t>Dimensional weight (lb, rounded up)</t>
        </is>
      </c>
      <c r="B11" s="6">
        <f>IF(AND(COUNT(B4:B8)=5,B4&gt;0,B5&gt;0,B6&gt;0,B7&gt;=0,B8&gt;0),ROUNDUP(ROUND(B4*B5*B6/B8,8),0),"Check inputs")</f>
        <v/>
      </c>
    </row>
    <row r="12">
      <c r="A12" s="3" t="inlineStr">
        <is>
          <t>Actual weight (lb, rounded up)</t>
        </is>
      </c>
      <c r="B12" s="6">
        <f>IF(AND(COUNT(B4:B8)=5,B4&gt;0,B5&gt;0,B6&gt;0,B7&gt;=0,B8&gt;0),ROUNDUP(ROUND(B7,8),0),"Check inputs")</f>
        <v/>
      </c>
    </row>
    <row r="13">
      <c r="A13" s="7" t="inlineStr">
        <is>
          <t>Billable weight (lb)</t>
        </is>
      </c>
      <c r="B13" s="8">
        <f>IF(AND(COUNT(B4:B8)=5,B4&gt;0,B5&gt;0,B6&gt;0,B7&gt;=0,B8&gt;0),MAX(B11,B12),"Check inputs")</f>
        <v/>
      </c>
    </row>
    <row r="14">
      <c r="A14" s="3" t="inlineStr">
        <is>
          <t>Which one applies</t>
        </is>
      </c>
      <c r="B14" s="9">
        <f>IF(AND(COUNT(B4:B8)=5,B4&gt;0,B5&gt;0,B6&gt;0,B7&gt;=0,B8&gt;0),IF(B11&gt;B12,"Dimensional","Actual"),"Check inputs")</f>
        <v/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2" customWidth="1" min="7" max="7"/>
    <col width="14" customWidth="1" min="8" max="8"/>
    <col width="3" customWidth="1" min="9" max="9"/>
    <col width="44" customWidth="1" min="10" max="10"/>
    <col width="14" customWidth="1" min="11" max="11"/>
  </cols>
  <sheetData>
    <row r="1" ht="30" customHeight="1">
      <c r="A1" s="10" t="inlineStr">
        <is>
          <t>Box</t>
        </is>
      </c>
      <c r="B1" s="10" t="inlineStr">
        <is>
          <t>Length (in)</t>
        </is>
      </c>
      <c r="C1" s="10" t="inlineStr">
        <is>
          <t>Width (in)</t>
        </is>
      </c>
      <c r="D1" s="10" t="inlineStr">
        <is>
          <t>Height (in)</t>
        </is>
      </c>
      <c r="E1" s="10" t="inlineStr">
        <is>
          <t>Actual (lb)</t>
        </is>
      </c>
      <c r="F1" s="10" t="inlineStr">
        <is>
          <t>Dimensional (lb)</t>
        </is>
      </c>
      <c r="G1" s="10" t="inlineStr">
        <is>
          <t>Billable (lb)</t>
        </is>
      </c>
      <c r="H1" s="10" t="inlineStr">
        <is>
          <t>Applies</t>
        </is>
      </c>
      <c r="J1" s="3" t="inlineStr">
        <is>
          <t>Boxes listed</t>
        </is>
      </c>
      <c r="K1" s="6">
        <f>COUNTA(A2:A100)</f>
        <v/>
      </c>
    </row>
    <row r="2">
      <c r="A2" s="4" t="inlineStr">
        <is>
          <t>Candle set, small</t>
        </is>
      </c>
      <c r="B2" s="4" t="n">
        <v>8</v>
      </c>
      <c r="C2" s="4" t="n">
        <v>6</v>
      </c>
      <c r="D2" s="4" t="n">
        <v>6</v>
      </c>
      <c r="E2" s="4" t="n">
        <v>2.4</v>
      </c>
      <c r="F2" s="9">
        <f>IF(A2="","",IF(AND(COUNT(B2:E2)=4,B2&gt;0,C2&gt;0,D2&gt;0,E2&gt;=0,ISNUMBER(Calculator!$B$8),Calculator!$B$8&gt;0),ROUNDUP(ROUND(B2*C2*D2/Calculator!$B$8,8),0),"Check inputs"))</f>
        <v/>
      </c>
      <c r="G2" s="9">
        <f>IF(A2="","",IF(AND(COUNT(B2:E2)=4,B2&gt;0,C2&gt;0,D2&gt;0,E2&gt;=0,ISNUMBER(Calculator!$B$8),Calculator!$B$8&gt;0),MAX(F2,ROUNDUP(ROUND(E2,8),0)),"Check inputs"))</f>
        <v/>
      </c>
      <c r="H2" s="9">
        <f>IF(A2="","",IF(AND(COUNT(B2:E2)=4,B2&gt;0,C2&gt;0,D2&gt;0,E2&gt;=0,ISNUMBER(Calculator!$B$8),Calculator!$B$8&gt;0),IF(F2&gt;ROUNDUP(ROUND(E2,8),0),"Dimensional","Actual"),"Check inputs"))</f>
        <v/>
      </c>
      <c r="J2" s="3" t="inlineStr">
        <is>
          <t>Boxes billed by dimensional weight</t>
        </is>
      </c>
      <c r="K2" s="6">
        <f>COUNTIF(H2:H100,"Dimensional")</f>
        <v/>
      </c>
    </row>
    <row r="3">
      <c r="A3" s="4" t="inlineStr">
        <is>
          <t>Candle set, large</t>
        </is>
      </c>
      <c r="B3" s="4" t="n">
        <v>12</v>
      </c>
      <c r="C3" s="4" t="n">
        <v>10</v>
      </c>
      <c r="D3" s="4" t="n">
        <v>8</v>
      </c>
      <c r="E3" s="4" t="n">
        <v>4.2</v>
      </c>
      <c r="F3" s="9">
        <f>IF(A3="","",IF(AND(COUNT(B3:E3)=4,B3&gt;0,C3&gt;0,D3&gt;0,E3&gt;=0,ISNUMBER(Calculator!$B$8),Calculator!$B$8&gt;0),ROUNDUP(ROUND(B3*C3*D3/Calculator!$B$8,8),0),"Check inputs"))</f>
        <v/>
      </c>
      <c r="G3" s="9">
        <f>IF(A3="","",IF(AND(COUNT(B3:E3)=4,B3&gt;0,C3&gt;0,D3&gt;0,E3&gt;=0,ISNUMBER(Calculator!$B$8),Calculator!$B$8&gt;0),MAX(F3,ROUNDUP(ROUND(E3,8),0)),"Check inputs"))</f>
        <v/>
      </c>
      <c r="H3" s="9">
        <f>IF(A3="","",IF(AND(COUNT(B3:E3)=4,B3&gt;0,C3&gt;0,D3&gt;0,E3&gt;=0,ISNUMBER(Calculator!$B$8),Calculator!$B$8&gt;0),IF(F3&gt;ROUNDUP(ROUND(E3,8),0),"Dimensional","Actual"),"Check inputs"))</f>
        <v/>
      </c>
      <c r="J3" s="3" t="inlineStr">
        <is>
          <t>Boxes billed by actual weight</t>
        </is>
      </c>
      <c r="K3" s="6">
        <f>COUNTIF(H2:H100,"Actual")</f>
        <v/>
      </c>
    </row>
    <row r="4">
      <c r="A4" s="4" t="inlineStr">
        <is>
          <t>Ceramic mug pair</t>
        </is>
      </c>
      <c r="B4" s="4" t="n">
        <v>9</v>
      </c>
      <c r="C4" s="4" t="n">
        <v>9</v>
      </c>
      <c r="D4" s="4" t="n">
        <v>6</v>
      </c>
      <c r="E4" s="4" t="n">
        <v>3.1</v>
      </c>
      <c r="F4" s="9">
        <f>IF(A4="","",IF(AND(COUNT(B4:E4)=4,B4&gt;0,C4&gt;0,D4&gt;0,E4&gt;=0,ISNUMBER(Calculator!$B$8),Calculator!$B$8&gt;0),ROUNDUP(ROUND(B4*C4*D4/Calculator!$B$8,8),0),"Check inputs"))</f>
        <v/>
      </c>
      <c r="G4" s="9">
        <f>IF(A4="","",IF(AND(COUNT(B4:E4)=4,B4&gt;0,C4&gt;0,D4&gt;0,E4&gt;=0,ISNUMBER(Calculator!$B$8),Calculator!$B$8&gt;0),MAX(F4,ROUNDUP(ROUND(E4,8),0)),"Check inputs"))</f>
        <v/>
      </c>
      <c r="H4" s="9">
        <f>IF(A4="","",IF(AND(COUNT(B4:E4)=4,B4&gt;0,C4&gt;0,D4&gt;0,E4&gt;=0,ISNUMBER(Calculator!$B$8),Calculator!$B$8&gt;0),IF(F4&gt;ROUNDUP(ROUND(E4,8),0),"Dimensional","Actual"),"Check inputs"))</f>
        <v/>
      </c>
      <c r="J4" s="3" t="inlineStr">
        <is>
          <t>Total billable weight (lb)</t>
        </is>
      </c>
      <c r="K4" s="11">
        <f>SUM(G2:G100)</f>
        <v/>
      </c>
    </row>
    <row r="5">
      <c r="A5" s="4" t="inlineStr">
        <is>
          <t>Tote bag order</t>
        </is>
      </c>
      <c r="B5" s="4" t="n">
        <v>14</v>
      </c>
      <c r="C5" s="4" t="n">
        <v>12</v>
      </c>
      <c r="D5" s="4" t="n">
        <v>4</v>
      </c>
      <c r="E5" s="4" t="n">
        <v>1.8</v>
      </c>
      <c r="F5" s="9">
        <f>IF(A5="","",IF(AND(COUNT(B5:E5)=4,B5&gt;0,C5&gt;0,D5&gt;0,E5&gt;=0,ISNUMBER(Calculator!$B$8),Calculator!$B$8&gt;0),ROUNDUP(ROUND(B5*C5*D5/Calculator!$B$8,8),0),"Check inputs"))</f>
        <v/>
      </c>
      <c r="G5" s="9">
        <f>IF(A5="","",IF(AND(COUNT(B5:E5)=4,B5&gt;0,C5&gt;0,D5&gt;0,E5&gt;=0,ISNUMBER(Calculator!$B$8),Calculator!$B$8&gt;0),MAX(F5,ROUNDUP(ROUND(E5,8),0)),"Check inputs"))</f>
        <v/>
      </c>
      <c r="H5" s="9">
        <f>IF(A5="","",IF(AND(COUNT(B5:E5)=4,B5&gt;0,C5&gt;0,D5&gt;0,E5&gt;=0,ISNUMBER(Calculator!$B$8),Calculator!$B$8&gt;0),IF(F5&gt;ROUNDUP(ROUND(E5,8),0),"Dimensional","Actual"),"Check inputs"))</f>
        <v/>
      </c>
      <c r="J5" s="3" t="inlineStr">
        <is>
          <t>Divisor used (set on the Calculator tab)</t>
        </is>
      </c>
      <c r="K5" s="6">
        <f>Calculator!B8</f>
        <v/>
      </c>
    </row>
    <row r="6">
      <c r="A6" s="4" t="inlineStr">
        <is>
          <t>Soap gift box</t>
        </is>
      </c>
      <c r="B6" s="4" t="n">
        <v>7</v>
      </c>
      <c r="C6" s="4" t="n">
        <v>5</v>
      </c>
      <c r="D6" s="4" t="n">
        <v>4</v>
      </c>
      <c r="E6" s="4" t="n">
        <v>1.2</v>
      </c>
      <c r="F6" s="9">
        <f>IF(A6="","",IF(AND(COUNT(B6:E6)=4,B6&gt;0,C6&gt;0,D6&gt;0,E6&gt;=0,ISNUMBER(Calculator!$B$8),Calculator!$B$8&gt;0),ROUNDUP(ROUND(B6*C6*D6/Calculator!$B$8,8),0),"Check inputs"))</f>
        <v/>
      </c>
      <c r="G6" s="9">
        <f>IF(A6="","",IF(AND(COUNT(B6:E6)=4,B6&gt;0,C6&gt;0,D6&gt;0,E6&gt;=0,ISNUMBER(Calculator!$B$8),Calculator!$B$8&gt;0),MAX(F6,ROUNDUP(ROUND(E6,8),0)),"Check inputs"))</f>
        <v/>
      </c>
      <c r="H6" s="9">
        <f>IF(A6="","",IF(AND(COUNT(B6:E6)=4,B6&gt;0,C6&gt;0,D6&gt;0,E6&gt;=0,ISNUMBER(Calculator!$B$8),Calculator!$B$8&gt;0),IF(F6&gt;ROUNDUP(ROUND(E6,8),0),"Dimensional","Actual"),"Check inputs"))</f>
        <v/>
      </c>
      <c r="J6" s="3" t="inlineStr">
        <is>
          <t>Check: every listed box has numbers</t>
        </is>
      </c>
      <c r="K6" s="9">
        <f>IF(AND(COUNT(F2:F100)=COUNTA(A2:A100),COUNTA(A2:A100)&gt;0,SUMPRODUCT((A2:A100="")*((B2:B100&lt;&gt;"")+(C2:C100&lt;&gt;"")+(D2:D100&lt;&gt;"")+(E2:E100&lt;&gt;"")))=0),"OK","CHECK")</f>
        <v/>
      </c>
    </row>
    <row r="7">
      <c r="A7" s="4" t="inlineStr">
        <is>
          <t>Print, framed 16x20</t>
        </is>
      </c>
      <c r="B7" s="4" t="n">
        <v>22</v>
      </c>
      <c r="C7" s="4" t="n">
        <v>18</v>
      </c>
      <c r="D7" s="4" t="n">
        <v>3</v>
      </c>
      <c r="E7" s="4" t="n">
        <v>6.5</v>
      </c>
      <c r="F7" s="9">
        <f>IF(A7="","",IF(AND(COUNT(B7:E7)=4,B7&gt;0,C7&gt;0,D7&gt;0,E7&gt;=0,ISNUMBER(Calculator!$B$8),Calculator!$B$8&gt;0),ROUNDUP(ROUND(B7*C7*D7/Calculator!$B$8,8),0),"Check inputs"))</f>
        <v/>
      </c>
      <c r="G7" s="9">
        <f>IF(A7="","",IF(AND(COUNT(B7:E7)=4,B7&gt;0,C7&gt;0,D7&gt;0,E7&gt;=0,ISNUMBER(Calculator!$B$8),Calculator!$B$8&gt;0),MAX(F7,ROUNDUP(ROUND(E7,8),0)),"Check inputs"))</f>
        <v/>
      </c>
      <c r="H7" s="9">
        <f>IF(A7="","",IF(AND(COUNT(B7:E7)=4,B7&gt;0,C7&gt;0,D7&gt;0,E7&gt;=0,ISNUMBER(Calculator!$B$8),Calculator!$B$8&gt;0),IF(F7&gt;ROUNDUP(ROUND(E7,8),0),"Dimensional","Actual"),"Check inputs"))</f>
        <v/>
      </c>
    </row>
    <row r="8">
      <c r="A8" s="4" t="inlineStr">
        <is>
          <t>Pillow cover bundle</t>
        </is>
      </c>
      <c r="B8" s="4" t="n">
        <v>16</v>
      </c>
      <c r="C8" s="4" t="n">
        <v>14</v>
      </c>
      <c r="D8" s="4" t="n">
        <v>10</v>
      </c>
      <c r="E8" s="4" t="n">
        <v>2</v>
      </c>
      <c r="F8" s="9">
        <f>IF(A8="","",IF(AND(COUNT(B8:E8)=4,B8&gt;0,C8&gt;0,D8&gt;0,E8&gt;=0,ISNUMBER(Calculator!$B$8),Calculator!$B$8&gt;0),ROUNDUP(ROUND(B8*C8*D8/Calculator!$B$8,8),0),"Check inputs"))</f>
        <v/>
      </c>
      <c r="G8" s="9">
        <f>IF(A8="","",IF(AND(COUNT(B8:E8)=4,B8&gt;0,C8&gt;0,D8&gt;0,E8&gt;=0,ISNUMBER(Calculator!$B$8),Calculator!$B$8&gt;0),MAX(F8,ROUNDUP(ROUND(E8,8),0)),"Check inputs"))</f>
        <v/>
      </c>
      <c r="H8" s="9">
        <f>IF(A8="","",IF(AND(COUNT(B8:E8)=4,B8&gt;0,C8&gt;0,D8&gt;0,E8&gt;=0,ISNUMBER(Calculator!$B$8),Calculator!$B$8&gt;0),IF(F8&gt;ROUNDUP(ROUND(E8,8),0),"Dimensional","Actual"),"Check inputs"))</f>
        <v/>
      </c>
    </row>
    <row r="9">
      <c r="A9" s="4" t="inlineStr">
        <is>
          <t>Jewelry mailer</t>
        </is>
      </c>
      <c r="B9" s="4" t="n">
        <v>6</v>
      </c>
      <c r="C9" s="4" t="n">
        <v>4</v>
      </c>
      <c r="D9" s="4" t="n">
        <v>2</v>
      </c>
      <c r="E9" s="4" t="n">
        <v>0.4</v>
      </c>
      <c r="F9" s="9">
        <f>IF(A9="","",IF(AND(COUNT(B9:E9)=4,B9&gt;0,C9&gt;0,D9&gt;0,E9&gt;=0,ISNUMBER(Calculator!$B$8),Calculator!$B$8&gt;0),ROUNDUP(ROUND(B9*C9*D9/Calculator!$B$8,8),0),"Check inputs"))</f>
        <v/>
      </c>
      <c r="G9" s="9">
        <f>IF(A9="","",IF(AND(COUNT(B9:E9)=4,B9&gt;0,C9&gt;0,D9&gt;0,E9&gt;=0,ISNUMBER(Calculator!$B$8),Calculator!$B$8&gt;0),MAX(F9,ROUNDUP(ROUND(E9,8),0)),"Check inputs"))</f>
        <v/>
      </c>
      <c r="H9" s="9">
        <f>IF(A9="","",IF(AND(COUNT(B9:E9)=4,B9&gt;0,C9&gt;0,D9&gt;0,E9&gt;=0,ISNUMBER(Calculator!$B$8),Calculator!$B$8&gt;0),IF(F9&gt;ROUNDUP(ROUND(E9,8),0),"Dimensional","Actual"),"Check inputs"))</f>
        <v/>
      </c>
    </row>
    <row r="10">
      <c r="A10" s="4" t="inlineStr">
        <is>
          <t>Tea tin case</t>
        </is>
      </c>
      <c r="B10" s="4" t="n">
        <v>10</v>
      </c>
      <c r="C10" s="4" t="n">
        <v>10</v>
      </c>
      <c r="D10" s="4" t="n">
        <v>10</v>
      </c>
      <c r="E10" s="4" t="n">
        <v>8.699999999999999</v>
      </c>
      <c r="F10" s="9">
        <f>IF(A10="","",IF(AND(COUNT(B10:E10)=4,B10&gt;0,C10&gt;0,D10&gt;0,E10&gt;=0,ISNUMBER(Calculator!$B$8),Calculator!$B$8&gt;0),ROUNDUP(ROUND(B10*C10*D10/Calculator!$B$8,8),0),"Check inputs"))</f>
        <v/>
      </c>
      <c r="G10" s="9">
        <f>IF(A10="","",IF(AND(COUNT(B10:E10)=4,B10&gt;0,C10&gt;0,D10&gt;0,E10&gt;=0,ISNUMBER(Calculator!$B$8),Calculator!$B$8&gt;0),MAX(F10,ROUNDUP(ROUND(E10,8),0)),"Check inputs"))</f>
        <v/>
      </c>
      <c r="H10" s="9">
        <f>IF(A10="","",IF(AND(COUNT(B10:E10)=4,B10&gt;0,C10&gt;0,D10&gt;0,E10&gt;=0,ISNUMBER(Calculator!$B$8),Calculator!$B$8&gt;0),IF(F10&gt;ROUNDUP(ROUND(E10,8),0),"Dimensional","Actual"),"Check inputs"))</f>
        <v/>
      </c>
    </row>
    <row r="11">
      <c r="A11" s="4" t="inlineStr">
        <is>
          <t>Planter, medium</t>
        </is>
      </c>
      <c r="B11" s="4" t="n">
        <v>12</v>
      </c>
      <c r="C11" s="4" t="n">
        <v>12</v>
      </c>
      <c r="D11" s="4" t="n">
        <v>12</v>
      </c>
      <c r="E11" s="4" t="n">
        <v>9</v>
      </c>
      <c r="F11" s="9">
        <f>IF(A11="","",IF(AND(COUNT(B11:E11)=4,B11&gt;0,C11&gt;0,D11&gt;0,E11&gt;=0,ISNUMBER(Calculator!$B$8),Calculator!$B$8&gt;0),ROUNDUP(ROUND(B11*C11*D11/Calculator!$B$8,8),0),"Check inputs"))</f>
        <v/>
      </c>
      <c r="G11" s="9">
        <f>IF(A11="","",IF(AND(COUNT(B11:E11)=4,B11&gt;0,C11&gt;0,D11&gt;0,E11&gt;=0,ISNUMBER(Calculator!$B$8),Calculator!$B$8&gt;0),MAX(F11,ROUNDUP(ROUND(E11,8),0)),"Check inputs"))</f>
        <v/>
      </c>
      <c r="H11" s="9">
        <f>IF(A11="","",IF(AND(COUNT(B11:E11)=4,B11&gt;0,C11&gt;0,D11&gt;0,E11&gt;=0,ISNUMBER(Calculator!$B$8),Calculator!$B$8&gt;0),IF(F11&gt;ROUNDUP(ROUND(E11,8),0),"Dimensional","Actual"),"Check inputs"))</f>
        <v/>
      </c>
    </row>
    <row r="12">
      <c r="A12" s="4" t="inlineStr">
        <is>
          <t>Sticker roll tube</t>
        </is>
      </c>
      <c r="B12" s="4" t="n">
        <v>24</v>
      </c>
      <c r="C12" s="4" t="n">
        <v>4</v>
      </c>
      <c r="D12" s="4" t="n">
        <v>4</v>
      </c>
      <c r="E12" s="4" t="n">
        <v>1.1</v>
      </c>
      <c r="F12" s="9">
        <f>IF(A12="","",IF(AND(COUNT(B12:E12)=4,B12&gt;0,C12&gt;0,D12&gt;0,E12&gt;=0,ISNUMBER(Calculator!$B$8),Calculator!$B$8&gt;0),ROUNDUP(ROUND(B12*C12*D12/Calculator!$B$8,8),0),"Check inputs"))</f>
        <v/>
      </c>
      <c r="G12" s="9">
        <f>IF(A12="","",IF(AND(COUNT(B12:E12)=4,B12&gt;0,C12&gt;0,D12&gt;0,E12&gt;=0,ISNUMBER(Calculator!$B$8),Calculator!$B$8&gt;0),MAX(F12,ROUNDUP(ROUND(E12,8),0)),"Check inputs"))</f>
        <v/>
      </c>
      <c r="H12" s="9">
        <f>IF(A12="","",IF(AND(COUNT(B12:E12)=4,B12&gt;0,C12&gt;0,D12&gt;0,E12&gt;=0,ISNUMBER(Calculator!$B$8),Calculator!$B$8&gt;0),IF(F12&gt;ROUNDUP(ROUND(E12,8),0),"Dimensional","Actual"),"Check inputs"))</f>
        <v/>
      </c>
    </row>
    <row r="13">
      <c r="A13" s="4" t="inlineStr">
        <is>
          <t>Wall art, large</t>
        </is>
      </c>
      <c r="B13" s="4" t="n">
        <v>30</v>
      </c>
      <c r="C13" s="4" t="n">
        <v>20</v>
      </c>
      <c r="D13" s="4" t="n">
        <v>4</v>
      </c>
      <c r="E13" s="4" t="n">
        <v>5.5</v>
      </c>
      <c r="F13" s="9">
        <f>IF(A13="","",IF(AND(COUNT(B13:E13)=4,B13&gt;0,C13&gt;0,D13&gt;0,E13&gt;=0,ISNUMBER(Calculator!$B$8),Calculator!$B$8&gt;0),ROUNDUP(ROUND(B13*C13*D13/Calculator!$B$8,8),0),"Check inputs"))</f>
        <v/>
      </c>
      <c r="G13" s="9">
        <f>IF(A13="","",IF(AND(COUNT(B13:E13)=4,B13&gt;0,C13&gt;0,D13&gt;0,E13&gt;=0,ISNUMBER(Calculator!$B$8),Calculator!$B$8&gt;0),MAX(F13,ROUNDUP(ROUND(E13,8),0)),"Check inputs"))</f>
        <v/>
      </c>
      <c r="H13" s="9">
        <f>IF(A13="","",IF(AND(COUNT(B13:E13)=4,B13&gt;0,C13&gt;0,D13&gt;0,E13&gt;=0,ISNUMBER(Calculator!$B$8),Calculator!$B$8&gt;0),IF(F13&gt;ROUNDUP(ROUND(E13,8),0),"Dimensional","Actual"),"Check inputs"))</f>
        <v/>
      </c>
    </row>
    <row r="14">
      <c r="A14" s="4" t="n"/>
      <c r="B14" s="4" t="n"/>
      <c r="C14" s="4" t="n"/>
      <c r="D14" s="4" t="n"/>
      <c r="E14" s="4" t="n"/>
      <c r="F14" s="9">
        <f>IF(A14="","",IF(AND(COUNT(B14:E14)=4,B14&gt;0,C14&gt;0,D14&gt;0,E14&gt;=0,ISNUMBER(Calculator!$B$8),Calculator!$B$8&gt;0),ROUNDUP(ROUND(B14*C14*D14/Calculator!$B$8,8),0),"Check inputs"))</f>
        <v/>
      </c>
      <c r="G14" s="9">
        <f>IF(A14="","",IF(AND(COUNT(B14:E14)=4,B14&gt;0,C14&gt;0,D14&gt;0,E14&gt;=0,ISNUMBER(Calculator!$B$8),Calculator!$B$8&gt;0),MAX(F14,ROUNDUP(ROUND(E14,8),0)),"Check inputs"))</f>
        <v/>
      </c>
      <c r="H14" s="9">
        <f>IF(A14="","",IF(AND(COUNT(B14:E14)=4,B14&gt;0,C14&gt;0,D14&gt;0,E14&gt;=0,ISNUMBER(Calculator!$B$8),Calculator!$B$8&gt;0),IF(F14&gt;ROUNDUP(ROUND(E14,8),0),"Dimensional","Actual"),"Check inputs"))</f>
        <v/>
      </c>
    </row>
    <row r="15">
      <c r="A15" s="4" t="n"/>
      <c r="B15" s="4" t="n"/>
      <c r="C15" s="4" t="n"/>
      <c r="D15" s="4" t="n"/>
      <c r="E15" s="4" t="n"/>
      <c r="F15" s="9">
        <f>IF(A15="","",IF(AND(COUNT(B15:E15)=4,B15&gt;0,C15&gt;0,D15&gt;0,E15&gt;=0,ISNUMBER(Calculator!$B$8),Calculator!$B$8&gt;0),ROUNDUP(ROUND(B15*C15*D15/Calculator!$B$8,8),0),"Check inputs"))</f>
        <v/>
      </c>
      <c r="G15" s="9">
        <f>IF(A15="","",IF(AND(COUNT(B15:E15)=4,B15&gt;0,C15&gt;0,D15&gt;0,E15&gt;=0,ISNUMBER(Calculator!$B$8),Calculator!$B$8&gt;0),MAX(F15,ROUNDUP(ROUND(E15,8),0)),"Check inputs"))</f>
        <v/>
      </c>
      <c r="H15" s="9">
        <f>IF(A15="","",IF(AND(COUNT(B15:E15)=4,B15&gt;0,C15&gt;0,D15&gt;0,E15&gt;=0,ISNUMBER(Calculator!$B$8),Calculator!$B$8&gt;0),IF(F15&gt;ROUNDUP(ROUND(E15,8),0),"Dimensional","Actual"),"Check inputs"))</f>
        <v/>
      </c>
    </row>
    <row r="16">
      <c r="A16" s="4" t="n"/>
      <c r="B16" s="4" t="n"/>
      <c r="C16" s="4" t="n"/>
      <c r="D16" s="4" t="n"/>
      <c r="E16" s="4" t="n"/>
      <c r="F16" s="9">
        <f>IF(A16="","",IF(AND(COUNT(B16:E16)=4,B16&gt;0,C16&gt;0,D16&gt;0,E16&gt;=0,ISNUMBER(Calculator!$B$8),Calculator!$B$8&gt;0),ROUNDUP(ROUND(B16*C16*D16/Calculator!$B$8,8),0),"Check inputs"))</f>
        <v/>
      </c>
      <c r="G16" s="9">
        <f>IF(A16="","",IF(AND(COUNT(B16:E16)=4,B16&gt;0,C16&gt;0,D16&gt;0,E16&gt;=0,ISNUMBER(Calculator!$B$8),Calculator!$B$8&gt;0),MAX(F16,ROUNDUP(ROUND(E16,8),0)),"Check inputs"))</f>
        <v/>
      </c>
      <c r="H16" s="9">
        <f>IF(A16="","",IF(AND(COUNT(B16:E16)=4,B16&gt;0,C16&gt;0,D16&gt;0,E16&gt;=0,ISNUMBER(Calculator!$B$8),Calculator!$B$8&gt;0),IF(F16&gt;ROUNDUP(ROUND(E16,8),0),"Dimensional","Actual"),"Check inputs"))</f>
        <v/>
      </c>
    </row>
    <row r="17">
      <c r="A17" s="4" t="n"/>
      <c r="B17" s="4" t="n"/>
      <c r="C17" s="4" t="n"/>
      <c r="D17" s="4" t="n"/>
      <c r="E17" s="4" t="n"/>
      <c r="F17" s="9">
        <f>IF(A17="","",IF(AND(COUNT(B17:E17)=4,B17&gt;0,C17&gt;0,D17&gt;0,E17&gt;=0,ISNUMBER(Calculator!$B$8),Calculator!$B$8&gt;0),ROUNDUP(ROUND(B17*C17*D17/Calculator!$B$8,8),0),"Check inputs"))</f>
        <v/>
      </c>
      <c r="G17" s="9">
        <f>IF(A17="","",IF(AND(COUNT(B17:E17)=4,B17&gt;0,C17&gt;0,D17&gt;0,E17&gt;=0,ISNUMBER(Calculator!$B$8),Calculator!$B$8&gt;0),MAX(F17,ROUNDUP(ROUND(E17,8),0)),"Check inputs"))</f>
        <v/>
      </c>
      <c r="H17" s="9">
        <f>IF(A17="","",IF(AND(COUNT(B17:E17)=4,B17&gt;0,C17&gt;0,D17&gt;0,E17&gt;=0,ISNUMBER(Calculator!$B$8),Calculator!$B$8&gt;0),IF(F17&gt;ROUNDUP(ROUND(E17,8),0),"Dimensional","Actual"),"Check inputs"))</f>
        <v/>
      </c>
    </row>
    <row r="18">
      <c r="A18" s="4" t="n"/>
      <c r="B18" s="4" t="n"/>
      <c r="C18" s="4" t="n"/>
      <c r="D18" s="4" t="n"/>
      <c r="E18" s="4" t="n"/>
      <c r="F18" s="9">
        <f>IF(A18="","",IF(AND(COUNT(B18:E18)=4,B18&gt;0,C18&gt;0,D18&gt;0,E18&gt;=0,ISNUMBER(Calculator!$B$8),Calculator!$B$8&gt;0),ROUNDUP(ROUND(B18*C18*D18/Calculator!$B$8,8),0),"Check inputs"))</f>
        <v/>
      </c>
      <c r="G18" s="9">
        <f>IF(A18="","",IF(AND(COUNT(B18:E18)=4,B18&gt;0,C18&gt;0,D18&gt;0,E18&gt;=0,ISNUMBER(Calculator!$B$8),Calculator!$B$8&gt;0),MAX(F18,ROUNDUP(ROUND(E18,8),0)),"Check inputs"))</f>
        <v/>
      </c>
      <c r="H18" s="9">
        <f>IF(A18="","",IF(AND(COUNT(B18:E18)=4,B18&gt;0,C18&gt;0,D18&gt;0,E18&gt;=0,ISNUMBER(Calculator!$B$8),Calculator!$B$8&gt;0),IF(F18&gt;ROUNDUP(ROUND(E18,8),0),"Dimensional","Actual"),"Check inputs"))</f>
        <v/>
      </c>
    </row>
    <row r="19">
      <c r="A19" s="4" t="n"/>
      <c r="B19" s="4" t="n"/>
      <c r="C19" s="4" t="n"/>
      <c r="D19" s="4" t="n"/>
      <c r="E19" s="4" t="n"/>
      <c r="F19" s="9">
        <f>IF(A19="","",IF(AND(COUNT(B19:E19)=4,B19&gt;0,C19&gt;0,D19&gt;0,E19&gt;=0,ISNUMBER(Calculator!$B$8),Calculator!$B$8&gt;0),ROUNDUP(ROUND(B19*C19*D19/Calculator!$B$8,8),0),"Check inputs"))</f>
        <v/>
      </c>
      <c r="G19" s="9">
        <f>IF(A19="","",IF(AND(COUNT(B19:E19)=4,B19&gt;0,C19&gt;0,D19&gt;0,E19&gt;=0,ISNUMBER(Calculator!$B$8),Calculator!$B$8&gt;0),MAX(F19,ROUNDUP(ROUND(E19,8),0)),"Check inputs"))</f>
        <v/>
      </c>
      <c r="H19" s="9">
        <f>IF(A19="","",IF(AND(COUNT(B19:E19)=4,B19&gt;0,C19&gt;0,D19&gt;0,E19&gt;=0,ISNUMBER(Calculator!$B$8),Calculator!$B$8&gt;0),IF(F19&gt;ROUNDUP(ROUND(E19,8),0),"Dimensional","Actual"),"Check inputs"))</f>
        <v/>
      </c>
    </row>
    <row r="20">
      <c r="A20" s="4" t="n"/>
      <c r="B20" s="4" t="n"/>
      <c r="C20" s="4" t="n"/>
      <c r="D20" s="4" t="n"/>
      <c r="E20" s="4" t="n"/>
      <c r="F20" s="9">
        <f>IF(A20="","",IF(AND(COUNT(B20:E20)=4,B20&gt;0,C20&gt;0,D20&gt;0,E20&gt;=0,ISNUMBER(Calculator!$B$8),Calculator!$B$8&gt;0),ROUNDUP(ROUND(B20*C20*D20/Calculator!$B$8,8),0),"Check inputs"))</f>
        <v/>
      </c>
      <c r="G20" s="9">
        <f>IF(A20="","",IF(AND(COUNT(B20:E20)=4,B20&gt;0,C20&gt;0,D20&gt;0,E20&gt;=0,ISNUMBER(Calculator!$B$8),Calculator!$B$8&gt;0),MAX(F20,ROUNDUP(ROUND(E20,8),0)),"Check inputs"))</f>
        <v/>
      </c>
      <c r="H20" s="9">
        <f>IF(A20="","",IF(AND(COUNT(B20:E20)=4,B20&gt;0,C20&gt;0,D20&gt;0,E20&gt;=0,ISNUMBER(Calculator!$B$8),Calculator!$B$8&gt;0),IF(F20&gt;ROUNDUP(ROUND(E20,8),0),"Dimensional","Actual"),"Check inputs"))</f>
        <v/>
      </c>
    </row>
    <row r="21">
      <c r="A21" s="4" t="n"/>
      <c r="B21" s="4" t="n"/>
      <c r="C21" s="4" t="n"/>
      <c r="D21" s="4" t="n"/>
      <c r="E21" s="4" t="n"/>
      <c r="F21" s="9">
        <f>IF(A21="","",IF(AND(COUNT(B21:E21)=4,B21&gt;0,C21&gt;0,D21&gt;0,E21&gt;=0,ISNUMBER(Calculator!$B$8),Calculator!$B$8&gt;0),ROUNDUP(ROUND(B21*C21*D21/Calculator!$B$8,8),0),"Check inputs"))</f>
        <v/>
      </c>
      <c r="G21" s="9">
        <f>IF(A21="","",IF(AND(COUNT(B21:E21)=4,B21&gt;0,C21&gt;0,D21&gt;0,E21&gt;=0,ISNUMBER(Calculator!$B$8),Calculator!$B$8&gt;0),MAX(F21,ROUNDUP(ROUND(E21,8),0)),"Check inputs"))</f>
        <v/>
      </c>
      <c r="H21" s="9">
        <f>IF(A21="","",IF(AND(COUNT(B21:E21)=4,B21&gt;0,C21&gt;0,D21&gt;0,E21&gt;=0,ISNUMBER(Calculator!$B$8),Calculator!$B$8&gt;0),IF(F21&gt;ROUNDUP(ROUND(E21,8),0),"Dimensional","Actual"),"Check inputs"))</f>
        <v/>
      </c>
    </row>
    <row r="22">
      <c r="A22" s="4" t="n"/>
      <c r="B22" s="4" t="n"/>
      <c r="C22" s="4" t="n"/>
      <c r="D22" s="4" t="n"/>
      <c r="E22" s="4" t="n"/>
      <c r="F22" s="9">
        <f>IF(A22="","",IF(AND(COUNT(B22:E22)=4,B22&gt;0,C22&gt;0,D22&gt;0,E22&gt;=0,ISNUMBER(Calculator!$B$8),Calculator!$B$8&gt;0),ROUNDUP(ROUND(B22*C22*D22/Calculator!$B$8,8),0),"Check inputs"))</f>
        <v/>
      </c>
      <c r="G22" s="9">
        <f>IF(A22="","",IF(AND(COUNT(B22:E22)=4,B22&gt;0,C22&gt;0,D22&gt;0,E22&gt;=0,ISNUMBER(Calculator!$B$8),Calculator!$B$8&gt;0),MAX(F22,ROUNDUP(ROUND(E22,8),0)),"Check inputs"))</f>
        <v/>
      </c>
      <c r="H22" s="9">
        <f>IF(A22="","",IF(AND(COUNT(B22:E22)=4,B22&gt;0,C22&gt;0,D22&gt;0,E22&gt;=0,ISNUMBER(Calculator!$B$8),Calculator!$B$8&gt;0),IF(F22&gt;ROUNDUP(ROUND(E22,8),0),"Dimensional","Actual"),"Check inputs"))</f>
        <v/>
      </c>
    </row>
    <row r="23">
      <c r="A23" s="4" t="n"/>
      <c r="B23" s="4" t="n"/>
      <c r="C23" s="4" t="n"/>
      <c r="D23" s="4" t="n"/>
      <c r="E23" s="4" t="n"/>
      <c r="F23" s="9">
        <f>IF(A23="","",IF(AND(COUNT(B23:E23)=4,B23&gt;0,C23&gt;0,D23&gt;0,E23&gt;=0,ISNUMBER(Calculator!$B$8),Calculator!$B$8&gt;0),ROUNDUP(ROUND(B23*C23*D23/Calculator!$B$8,8),0),"Check inputs"))</f>
        <v/>
      </c>
      <c r="G23" s="9">
        <f>IF(A23="","",IF(AND(COUNT(B23:E23)=4,B23&gt;0,C23&gt;0,D23&gt;0,E23&gt;=0,ISNUMBER(Calculator!$B$8),Calculator!$B$8&gt;0),MAX(F23,ROUNDUP(ROUND(E23,8),0)),"Check inputs"))</f>
        <v/>
      </c>
      <c r="H23" s="9">
        <f>IF(A23="","",IF(AND(COUNT(B23:E23)=4,B23&gt;0,C23&gt;0,D23&gt;0,E23&gt;=0,ISNUMBER(Calculator!$B$8),Calculator!$B$8&gt;0),IF(F23&gt;ROUNDUP(ROUND(E23,8),0),"Dimensional","Actual"),"Check inputs"))</f>
        <v/>
      </c>
    </row>
    <row r="24">
      <c r="A24" s="4" t="n"/>
      <c r="B24" s="4" t="n"/>
      <c r="C24" s="4" t="n"/>
      <c r="D24" s="4" t="n"/>
      <c r="E24" s="4" t="n"/>
      <c r="F24" s="9">
        <f>IF(A24="","",IF(AND(COUNT(B24:E24)=4,B24&gt;0,C24&gt;0,D24&gt;0,E24&gt;=0,ISNUMBER(Calculator!$B$8),Calculator!$B$8&gt;0),ROUNDUP(ROUND(B24*C24*D24/Calculator!$B$8,8),0),"Check inputs"))</f>
        <v/>
      </c>
      <c r="G24" s="9">
        <f>IF(A24="","",IF(AND(COUNT(B24:E24)=4,B24&gt;0,C24&gt;0,D24&gt;0,E24&gt;=0,ISNUMBER(Calculator!$B$8),Calculator!$B$8&gt;0),MAX(F24,ROUNDUP(ROUND(E24,8),0)),"Check inputs"))</f>
        <v/>
      </c>
      <c r="H24" s="9">
        <f>IF(A24="","",IF(AND(COUNT(B24:E24)=4,B24&gt;0,C24&gt;0,D24&gt;0,E24&gt;=0,ISNUMBER(Calculator!$B$8),Calculator!$B$8&gt;0),IF(F24&gt;ROUNDUP(ROUND(E24,8),0),"Dimensional","Actual"),"Check inputs"))</f>
        <v/>
      </c>
    </row>
    <row r="25">
      <c r="A25" s="4" t="n"/>
      <c r="B25" s="4" t="n"/>
      <c r="C25" s="4" t="n"/>
      <c r="D25" s="4" t="n"/>
      <c r="E25" s="4" t="n"/>
      <c r="F25" s="9">
        <f>IF(A25="","",IF(AND(COUNT(B25:E25)=4,B25&gt;0,C25&gt;0,D25&gt;0,E25&gt;=0,ISNUMBER(Calculator!$B$8),Calculator!$B$8&gt;0),ROUNDUP(ROUND(B25*C25*D25/Calculator!$B$8,8),0),"Check inputs"))</f>
        <v/>
      </c>
      <c r="G25" s="9">
        <f>IF(A25="","",IF(AND(COUNT(B25:E25)=4,B25&gt;0,C25&gt;0,D25&gt;0,E25&gt;=0,ISNUMBER(Calculator!$B$8),Calculator!$B$8&gt;0),MAX(F25,ROUNDUP(ROUND(E25,8),0)),"Check inputs"))</f>
        <v/>
      </c>
      <c r="H25" s="9">
        <f>IF(A25="","",IF(AND(COUNT(B25:E25)=4,B25&gt;0,C25&gt;0,D25&gt;0,E25&gt;=0,ISNUMBER(Calculator!$B$8),Calculator!$B$8&gt;0),IF(F25&gt;ROUNDUP(ROUND(E25,8),0),"Dimensional","Actual"),"Check inputs"))</f>
        <v/>
      </c>
    </row>
    <row r="26">
      <c r="A26" s="4" t="n"/>
      <c r="B26" s="4" t="n"/>
      <c r="C26" s="4" t="n"/>
      <c r="D26" s="4" t="n"/>
      <c r="E26" s="4" t="n"/>
      <c r="F26" s="9">
        <f>IF(A26="","",IF(AND(COUNT(B26:E26)=4,B26&gt;0,C26&gt;0,D26&gt;0,E26&gt;=0,ISNUMBER(Calculator!$B$8),Calculator!$B$8&gt;0),ROUNDUP(ROUND(B26*C26*D26/Calculator!$B$8,8),0),"Check inputs"))</f>
        <v/>
      </c>
      <c r="G26" s="9">
        <f>IF(A26="","",IF(AND(COUNT(B26:E26)=4,B26&gt;0,C26&gt;0,D26&gt;0,E26&gt;=0,ISNUMBER(Calculator!$B$8),Calculator!$B$8&gt;0),MAX(F26,ROUNDUP(ROUND(E26,8),0)),"Check inputs"))</f>
        <v/>
      </c>
      <c r="H26" s="9">
        <f>IF(A26="","",IF(AND(COUNT(B26:E26)=4,B26&gt;0,C26&gt;0,D26&gt;0,E26&gt;=0,ISNUMBER(Calculator!$B$8),Calculator!$B$8&gt;0),IF(F26&gt;ROUNDUP(ROUND(E26,8),0),"Dimensional","Actual"),"Check inputs"))</f>
        <v/>
      </c>
    </row>
    <row r="27">
      <c r="A27" s="4" t="n"/>
      <c r="B27" s="4" t="n"/>
      <c r="C27" s="4" t="n"/>
      <c r="D27" s="4" t="n"/>
      <c r="E27" s="4" t="n"/>
      <c r="F27" s="9">
        <f>IF(A27="","",IF(AND(COUNT(B27:E27)=4,B27&gt;0,C27&gt;0,D27&gt;0,E27&gt;=0,ISNUMBER(Calculator!$B$8),Calculator!$B$8&gt;0),ROUNDUP(ROUND(B27*C27*D27/Calculator!$B$8,8),0),"Check inputs"))</f>
        <v/>
      </c>
      <c r="G27" s="9">
        <f>IF(A27="","",IF(AND(COUNT(B27:E27)=4,B27&gt;0,C27&gt;0,D27&gt;0,E27&gt;=0,ISNUMBER(Calculator!$B$8),Calculator!$B$8&gt;0),MAX(F27,ROUNDUP(ROUND(E27,8),0)),"Check inputs"))</f>
        <v/>
      </c>
      <c r="H27" s="9">
        <f>IF(A27="","",IF(AND(COUNT(B27:E27)=4,B27&gt;0,C27&gt;0,D27&gt;0,E27&gt;=0,ISNUMBER(Calculator!$B$8),Calculator!$B$8&gt;0),IF(F27&gt;ROUNDUP(ROUND(E27,8),0),"Dimensional","Actual"),"Check inputs"))</f>
        <v/>
      </c>
    </row>
    <row r="28">
      <c r="A28" s="4" t="n"/>
      <c r="B28" s="4" t="n"/>
      <c r="C28" s="4" t="n"/>
      <c r="D28" s="4" t="n"/>
      <c r="E28" s="4" t="n"/>
      <c r="F28" s="9">
        <f>IF(A28="","",IF(AND(COUNT(B28:E28)=4,B28&gt;0,C28&gt;0,D28&gt;0,E28&gt;=0,ISNUMBER(Calculator!$B$8),Calculator!$B$8&gt;0),ROUNDUP(ROUND(B28*C28*D28/Calculator!$B$8,8),0),"Check inputs"))</f>
        <v/>
      </c>
      <c r="G28" s="9">
        <f>IF(A28="","",IF(AND(COUNT(B28:E28)=4,B28&gt;0,C28&gt;0,D28&gt;0,E28&gt;=0,ISNUMBER(Calculator!$B$8),Calculator!$B$8&gt;0),MAX(F28,ROUNDUP(ROUND(E28,8),0)),"Check inputs"))</f>
        <v/>
      </c>
      <c r="H28" s="9">
        <f>IF(A28="","",IF(AND(COUNT(B28:E28)=4,B28&gt;0,C28&gt;0,D28&gt;0,E28&gt;=0,ISNUMBER(Calculator!$B$8),Calculator!$B$8&gt;0),IF(F28&gt;ROUNDUP(ROUND(E28,8),0),"Dimensional","Actual"),"Check inputs"))</f>
        <v/>
      </c>
    </row>
    <row r="29">
      <c r="A29" s="4" t="n"/>
      <c r="B29" s="4" t="n"/>
      <c r="C29" s="4" t="n"/>
      <c r="D29" s="4" t="n"/>
      <c r="E29" s="4" t="n"/>
      <c r="F29" s="9">
        <f>IF(A29="","",IF(AND(COUNT(B29:E29)=4,B29&gt;0,C29&gt;0,D29&gt;0,E29&gt;=0,ISNUMBER(Calculator!$B$8),Calculator!$B$8&gt;0),ROUNDUP(ROUND(B29*C29*D29/Calculator!$B$8,8),0),"Check inputs"))</f>
        <v/>
      </c>
      <c r="G29" s="9">
        <f>IF(A29="","",IF(AND(COUNT(B29:E29)=4,B29&gt;0,C29&gt;0,D29&gt;0,E29&gt;=0,ISNUMBER(Calculator!$B$8),Calculator!$B$8&gt;0),MAX(F29,ROUNDUP(ROUND(E29,8),0)),"Check inputs"))</f>
        <v/>
      </c>
      <c r="H29" s="9">
        <f>IF(A29="","",IF(AND(COUNT(B29:E29)=4,B29&gt;0,C29&gt;0,D29&gt;0,E29&gt;=0,ISNUMBER(Calculator!$B$8),Calculator!$B$8&gt;0),IF(F29&gt;ROUNDUP(ROUND(E29,8),0),"Dimensional","Actual"),"Check inputs"))</f>
        <v/>
      </c>
    </row>
    <row r="30">
      <c r="A30" s="4" t="n"/>
      <c r="B30" s="4" t="n"/>
      <c r="C30" s="4" t="n"/>
      <c r="D30" s="4" t="n"/>
      <c r="E30" s="4" t="n"/>
      <c r="F30" s="9">
        <f>IF(A30="","",IF(AND(COUNT(B30:E30)=4,B30&gt;0,C30&gt;0,D30&gt;0,E30&gt;=0,ISNUMBER(Calculator!$B$8),Calculator!$B$8&gt;0),ROUNDUP(ROUND(B30*C30*D30/Calculator!$B$8,8),0),"Check inputs"))</f>
        <v/>
      </c>
      <c r="G30" s="9">
        <f>IF(A30="","",IF(AND(COUNT(B30:E30)=4,B30&gt;0,C30&gt;0,D30&gt;0,E30&gt;=0,ISNUMBER(Calculator!$B$8),Calculator!$B$8&gt;0),MAX(F30,ROUNDUP(ROUND(E30,8),0)),"Check inputs"))</f>
        <v/>
      </c>
      <c r="H30" s="9">
        <f>IF(A30="","",IF(AND(COUNT(B30:E30)=4,B30&gt;0,C30&gt;0,D30&gt;0,E30&gt;=0,ISNUMBER(Calculator!$B$8),Calculator!$B$8&gt;0),IF(F30&gt;ROUNDUP(ROUND(E30,8),0),"Dimensional","Actual"),"Check inputs"))</f>
        <v/>
      </c>
    </row>
    <row r="31">
      <c r="A31" s="4" t="n"/>
      <c r="B31" s="4" t="n"/>
      <c r="C31" s="4" t="n"/>
      <c r="D31" s="4" t="n"/>
      <c r="E31" s="4" t="n"/>
      <c r="F31" s="9">
        <f>IF(A31="","",IF(AND(COUNT(B31:E31)=4,B31&gt;0,C31&gt;0,D31&gt;0,E31&gt;=0,ISNUMBER(Calculator!$B$8),Calculator!$B$8&gt;0),ROUNDUP(ROUND(B31*C31*D31/Calculator!$B$8,8),0),"Check inputs"))</f>
        <v/>
      </c>
      <c r="G31" s="9">
        <f>IF(A31="","",IF(AND(COUNT(B31:E31)=4,B31&gt;0,C31&gt;0,D31&gt;0,E31&gt;=0,ISNUMBER(Calculator!$B$8),Calculator!$B$8&gt;0),MAX(F31,ROUNDUP(ROUND(E31,8),0)),"Check inputs"))</f>
        <v/>
      </c>
      <c r="H31" s="9">
        <f>IF(A31="","",IF(AND(COUNT(B31:E31)=4,B31&gt;0,C31&gt;0,D31&gt;0,E31&gt;=0,ISNUMBER(Calculator!$B$8),Calculator!$B$8&gt;0),IF(F31&gt;ROUNDUP(ROUND(E31,8),0),"Dimensional","Actual"),"Check inputs"))</f>
        <v/>
      </c>
    </row>
    <row r="32">
      <c r="A32" s="4" t="n"/>
      <c r="B32" s="4" t="n"/>
      <c r="C32" s="4" t="n"/>
      <c r="D32" s="4" t="n"/>
      <c r="E32" s="4" t="n"/>
      <c r="F32" s="9">
        <f>IF(A32="","",IF(AND(COUNT(B32:E32)=4,B32&gt;0,C32&gt;0,D32&gt;0,E32&gt;=0,ISNUMBER(Calculator!$B$8),Calculator!$B$8&gt;0),ROUNDUP(ROUND(B32*C32*D32/Calculator!$B$8,8),0),"Check inputs"))</f>
        <v/>
      </c>
      <c r="G32" s="9">
        <f>IF(A32="","",IF(AND(COUNT(B32:E32)=4,B32&gt;0,C32&gt;0,D32&gt;0,E32&gt;=0,ISNUMBER(Calculator!$B$8),Calculator!$B$8&gt;0),MAX(F32,ROUNDUP(ROUND(E32,8),0)),"Check inputs"))</f>
        <v/>
      </c>
      <c r="H32" s="9">
        <f>IF(A32="","",IF(AND(COUNT(B32:E32)=4,B32&gt;0,C32&gt;0,D32&gt;0,E32&gt;=0,ISNUMBER(Calculator!$B$8),Calculator!$B$8&gt;0),IF(F32&gt;ROUNDUP(ROUND(E32,8),0),"Dimensional","Actual"),"Check inputs"))</f>
        <v/>
      </c>
    </row>
    <row r="33">
      <c r="A33" s="4" t="n"/>
      <c r="B33" s="4" t="n"/>
      <c r="C33" s="4" t="n"/>
      <c r="D33" s="4" t="n"/>
      <c r="E33" s="4" t="n"/>
      <c r="F33" s="9">
        <f>IF(A33="","",IF(AND(COUNT(B33:E33)=4,B33&gt;0,C33&gt;0,D33&gt;0,E33&gt;=0,ISNUMBER(Calculator!$B$8),Calculator!$B$8&gt;0),ROUNDUP(ROUND(B33*C33*D33/Calculator!$B$8,8),0),"Check inputs"))</f>
        <v/>
      </c>
      <c r="G33" s="9">
        <f>IF(A33="","",IF(AND(COUNT(B33:E33)=4,B33&gt;0,C33&gt;0,D33&gt;0,E33&gt;=0,ISNUMBER(Calculator!$B$8),Calculator!$B$8&gt;0),MAX(F33,ROUNDUP(ROUND(E33,8),0)),"Check inputs"))</f>
        <v/>
      </c>
      <c r="H33" s="9">
        <f>IF(A33="","",IF(AND(COUNT(B33:E33)=4,B33&gt;0,C33&gt;0,D33&gt;0,E33&gt;=0,ISNUMBER(Calculator!$B$8),Calculator!$B$8&gt;0),IF(F33&gt;ROUNDUP(ROUND(E33,8),0),"Dimensional","Actual"),"Check inputs"))</f>
        <v/>
      </c>
    </row>
    <row r="34">
      <c r="A34" s="4" t="n"/>
      <c r="B34" s="4" t="n"/>
      <c r="C34" s="4" t="n"/>
      <c r="D34" s="4" t="n"/>
      <c r="E34" s="4" t="n"/>
      <c r="F34" s="9">
        <f>IF(A34="","",IF(AND(COUNT(B34:E34)=4,B34&gt;0,C34&gt;0,D34&gt;0,E34&gt;=0,ISNUMBER(Calculator!$B$8),Calculator!$B$8&gt;0),ROUNDUP(ROUND(B34*C34*D34/Calculator!$B$8,8),0),"Check inputs"))</f>
        <v/>
      </c>
      <c r="G34" s="9">
        <f>IF(A34="","",IF(AND(COUNT(B34:E34)=4,B34&gt;0,C34&gt;0,D34&gt;0,E34&gt;=0,ISNUMBER(Calculator!$B$8),Calculator!$B$8&gt;0),MAX(F34,ROUNDUP(ROUND(E34,8),0)),"Check inputs"))</f>
        <v/>
      </c>
      <c r="H34" s="9">
        <f>IF(A34="","",IF(AND(COUNT(B34:E34)=4,B34&gt;0,C34&gt;0,D34&gt;0,E34&gt;=0,ISNUMBER(Calculator!$B$8),Calculator!$B$8&gt;0),IF(F34&gt;ROUNDUP(ROUND(E34,8),0),"Dimensional","Actual"),"Check inputs"))</f>
        <v/>
      </c>
    </row>
    <row r="35">
      <c r="A35" s="4" t="n"/>
      <c r="B35" s="4" t="n"/>
      <c r="C35" s="4" t="n"/>
      <c r="D35" s="4" t="n"/>
      <c r="E35" s="4" t="n"/>
      <c r="F35" s="9">
        <f>IF(A35="","",IF(AND(COUNT(B35:E35)=4,B35&gt;0,C35&gt;0,D35&gt;0,E35&gt;=0,ISNUMBER(Calculator!$B$8),Calculator!$B$8&gt;0),ROUNDUP(ROUND(B35*C35*D35/Calculator!$B$8,8),0),"Check inputs"))</f>
        <v/>
      </c>
      <c r="G35" s="9">
        <f>IF(A35="","",IF(AND(COUNT(B35:E35)=4,B35&gt;0,C35&gt;0,D35&gt;0,E35&gt;=0,ISNUMBER(Calculator!$B$8),Calculator!$B$8&gt;0),MAX(F35,ROUNDUP(ROUND(E35,8),0)),"Check inputs"))</f>
        <v/>
      </c>
      <c r="H35" s="9">
        <f>IF(A35="","",IF(AND(COUNT(B35:E35)=4,B35&gt;0,C35&gt;0,D35&gt;0,E35&gt;=0,ISNUMBER(Calculator!$B$8),Calculator!$B$8&gt;0),IF(F35&gt;ROUNDUP(ROUND(E35,8),0),"Dimensional","Actual"),"Check inputs"))</f>
        <v/>
      </c>
    </row>
    <row r="36">
      <c r="A36" s="4" t="n"/>
      <c r="B36" s="4" t="n"/>
      <c r="C36" s="4" t="n"/>
      <c r="D36" s="4" t="n"/>
      <c r="E36" s="4" t="n"/>
      <c r="F36" s="9">
        <f>IF(A36="","",IF(AND(COUNT(B36:E36)=4,B36&gt;0,C36&gt;0,D36&gt;0,E36&gt;=0,ISNUMBER(Calculator!$B$8),Calculator!$B$8&gt;0),ROUNDUP(ROUND(B36*C36*D36/Calculator!$B$8,8),0),"Check inputs"))</f>
        <v/>
      </c>
      <c r="G36" s="9">
        <f>IF(A36="","",IF(AND(COUNT(B36:E36)=4,B36&gt;0,C36&gt;0,D36&gt;0,E36&gt;=0,ISNUMBER(Calculator!$B$8),Calculator!$B$8&gt;0),MAX(F36,ROUNDUP(ROUND(E36,8),0)),"Check inputs"))</f>
        <v/>
      </c>
      <c r="H36" s="9">
        <f>IF(A36="","",IF(AND(COUNT(B36:E36)=4,B36&gt;0,C36&gt;0,D36&gt;0,E36&gt;=0,ISNUMBER(Calculator!$B$8),Calculator!$B$8&gt;0),IF(F36&gt;ROUNDUP(ROUND(E36,8),0),"Dimensional","Actual"),"Check inputs"))</f>
        <v/>
      </c>
    </row>
    <row r="37">
      <c r="A37" s="4" t="n"/>
      <c r="B37" s="4" t="n"/>
      <c r="C37" s="4" t="n"/>
      <c r="D37" s="4" t="n"/>
      <c r="E37" s="4" t="n"/>
      <c r="F37" s="9">
        <f>IF(A37="","",IF(AND(COUNT(B37:E37)=4,B37&gt;0,C37&gt;0,D37&gt;0,E37&gt;=0,ISNUMBER(Calculator!$B$8),Calculator!$B$8&gt;0),ROUNDUP(ROUND(B37*C37*D37/Calculator!$B$8,8),0),"Check inputs"))</f>
        <v/>
      </c>
      <c r="G37" s="9">
        <f>IF(A37="","",IF(AND(COUNT(B37:E37)=4,B37&gt;0,C37&gt;0,D37&gt;0,E37&gt;=0,ISNUMBER(Calculator!$B$8),Calculator!$B$8&gt;0),MAX(F37,ROUNDUP(ROUND(E37,8),0)),"Check inputs"))</f>
        <v/>
      </c>
      <c r="H37" s="9">
        <f>IF(A37="","",IF(AND(COUNT(B37:E37)=4,B37&gt;0,C37&gt;0,D37&gt;0,E37&gt;=0,ISNUMBER(Calculator!$B$8),Calculator!$B$8&gt;0),IF(F37&gt;ROUNDUP(ROUND(E37,8),0),"Dimensional","Actual"),"Check inputs"))</f>
        <v/>
      </c>
    </row>
    <row r="38">
      <c r="A38" s="4" t="n"/>
      <c r="B38" s="4" t="n"/>
      <c r="C38" s="4" t="n"/>
      <c r="D38" s="4" t="n"/>
      <c r="E38" s="4" t="n"/>
      <c r="F38" s="9">
        <f>IF(A38="","",IF(AND(COUNT(B38:E38)=4,B38&gt;0,C38&gt;0,D38&gt;0,E38&gt;=0,ISNUMBER(Calculator!$B$8),Calculator!$B$8&gt;0),ROUNDUP(ROUND(B38*C38*D38/Calculator!$B$8,8),0),"Check inputs"))</f>
        <v/>
      </c>
      <c r="G38" s="9">
        <f>IF(A38="","",IF(AND(COUNT(B38:E38)=4,B38&gt;0,C38&gt;0,D38&gt;0,E38&gt;=0,ISNUMBER(Calculator!$B$8),Calculator!$B$8&gt;0),MAX(F38,ROUNDUP(ROUND(E38,8),0)),"Check inputs"))</f>
        <v/>
      </c>
      <c r="H38" s="9">
        <f>IF(A38="","",IF(AND(COUNT(B38:E38)=4,B38&gt;0,C38&gt;0,D38&gt;0,E38&gt;=0,ISNUMBER(Calculator!$B$8),Calculator!$B$8&gt;0),IF(F38&gt;ROUNDUP(ROUND(E38,8),0),"Dimensional","Actual"),"Check inputs"))</f>
        <v/>
      </c>
    </row>
    <row r="39">
      <c r="A39" s="4" t="n"/>
      <c r="B39" s="4" t="n"/>
      <c r="C39" s="4" t="n"/>
      <c r="D39" s="4" t="n"/>
      <c r="E39" s="4" t="n"/>
      <c r="F39" s="9">
        <f>IF(A39="","",IF(AND(COUNT(B39:E39)=4,B39&gt;0,C39&gt;0,D39&gt;0,E39&gt;=0,ISNUMBER(Calculator!$B$8),Calculator!$B$8&gt;0),ROUNDUP(ROUND(B39*C39*D39/Calculator!$B$8,8),0),"Check inputs"))</f>
        <v/>
      </c>
      <c r="G39" s="9">
        <f>IF(A39="","",IF(AND(COUNT(B39:E39)=4,B39&gt;0,C39&gt;0,D39&gt;0,E39&gt;=0,ISNUMBER(Calculator!$B$8),Calculator!$B$8&gt;0),MAX(F39,ROUNDUP(ROUND(E39,8),0)),"Check inputs"))</f>
        <v/>
      </c>
      <c r="H39" s="9">
        <f>IF(A39="","",IF(AND(COUNT(B39:E39)=4,B39&gt;0,C39&gt;0,D39&gt;0,E39&gt;=0,ISNUMBER(Calculator!$B$8),Calculator!$B$8&gt;0),IF(F39&gt;ROUNDUP(ROUND(E39,8),0),"Dimensional","Actual"),"Check inputs"))</f>
        <v/>
      </c>
    </row>
    <row r="40">
      <c r="A40" s="4" t="n"/>
      <c r="B40" s="4" t="n"/>
      <c r="C40" s="4" t="n"/>
      <c r="D40" s="4" t="n"/>
      <c r="E40" s="4" t="n"/>
      <c r="F40" s="9">
        <f>IF(A40="","",IF(AND(COUNT(B40:E40)=4,B40&gt;0,C40&gt;0,D40&gt;0,E40&gt;=0,ISNUMBER(Calculator!$B$8),Calculator!$B$8&gt;0),ROUNDUP(ROUND(B40*C40*D40/Calculator!$B$8,8),0),"Check inputs"))</f>
        <v/>
      </c>
      <c r="G40" s="9">
        <f>IF(A40="","",IF(AND(COUNT(B40:E40)=4,B40&gt;0,C40&gt;0,D40&gt;0,E40&gt;=0,ISNUMBER(Calculator!$B$8),Calculator!$B$8&gt;0),MAX(F40,ROUNDUP(ROUND(E40,8),0)),"Check inputs"))</f>
        <v/>
      </c>
      <c r="H40" s="9">
        <f>IF(A40="","",IF(AND(COUNT(B40:E40)=4,B40&gt;0,C40&gt;0,D40&gt;0,E40&gt;=0,ISNUMBER(Calculator!$B$8),Calculator!$B$8&gt;0),IF(F40&gt;ROUNDUP(ROUND(E40,8),0),"Dimensional","Actual"),"Check inputs"))</f>
        <v/>
      </c>
    </row>
    <row r="41">
      <c r="A41" s="4" t="n"/>
      <c r="B41" s="4" t="n"/>
      <c r="C41" s="4" t="n"/>
      <c r="D41" s="4" t="n"/>
      <c r="E41" s="4" t="n"/>
      <c r="F41" s="9">
        <f>IF(A41="","",IF(AND(COUNT(B41:E41)=4,B41&gt;0,C41&gt;0,D41&gt;0,E41&gt;=0,ISNUMBER(Calculator!$B$8),Calculator!$B$8&gt;0),ROUNDUP(ROUND(B41*C41*D41/Calculator!$B$8,8),0),"Check inputs"))</f>
        <v/>
      </c>
      <c r="G41" s="9">
        <f>IF(A41="","",IF(AND(COUNT(B41:E41)=4,B41&gt;0,C41&gt;0,D41&gt;0,E41&gt;=0,ISNUMBER(Calculator!$B$8),Calculator!$B$8&gt;0),MAX(F41,ROUNDUP(ROUND(E41,8),0)),"Check inputs"))</f>
        <v/>
      </c>
      <c r="H41" s="9">
        <f>IF(A41="","",IF(AND(COUNT(B41:E41)=4,B41&gt;0,C41&gt;0,D41&gt;0,E41&gt;=0,ISNUMBER(Calculator!$B$8),Calculator!$B$8&gt;0),IF(F41&gt;ROUNDUP(ROUND(E41,8),0),"Dimensional","Actual"),"Check inputs"))</f>
        <v/>
      </c>
    </row>
    <row r="42">
      <c r="A42" s="4" t="n"/>
      <c r="B42" s="4" t="n"/>
      <c r="C42" s="4" t="n"/>
      <c r="D42" s="4" t="n"/>
      <c r="E42" s="4" t="n"/>
      <c r="F42" s="9">
        <f>IF(A42="","",IF(AND(COUNT(B42:E42)=4,B42&gt;0,C42&gt;0,D42&gt;0,E42&gt;=0,ISNUMBER(Calculator!$B$8),Calculator!$B$8&gt;0),ROUNDUP(ROUND(B42*C42*D42/Calculator!$B$8,8),0),"Check inputs"))</f>
        <v/>
      </c>
      <c r="G42" s="9">
        <f>IF(A42="","",IF(AND(COUNT(B42:E42)=4,B42&gt;0,C42&gt;0,D42&gt;0,E42&gt;=0,ISNUMBER(Calculator!$B$8),Calculator!$B$8&gt;0),MAX(F42,ROUNDUP(ROUND(E42,8),0)),"Check inputs"))</f>
        <v/>
      </c>
      <c r="H42" s="9">
        <f>IF(A42="","",IF(AND(COUNT(B42:E42)=4,B42&gt;0,C42&gt;0,D42&gt;0,E42&gt;=0,ISNUMBER(Calculator!$B$8),Calculator!$B$8&gt;0),IF(F42&gt;ROUNDUP(ROUND(E42,8),0),"Dimensional","Actual"),"Check inputs"))</f>
        <v/>
      </c>
    </row>
    <row r="43">
      <c r="A43" s="4" t="n"/>
      <c r="B43" s="4" t="n"/>
      <c r="C43" s="4" t="n"/>
      <c r="D43" s="4" t="n"/>
      <c r="E43" s="4" t="n"/>
      <c r="F43" s="9">
        <f>IF(A43="","",IF(AND(COUNT(B43:E43)=4,B43&gt;0,C43&gt;0,D43&gt;0,E43&gt;=0,ISNUMBER(Calculator!$B$8),Calculator!$B$8&gt;0),ROUNDUP(ROUND(B43*C43*D43/Calculator!$B$8,8),0),"Check inputs"))</f>
        <v/>
      </c>
      <c r="G43" s="9">
        <f>IF(A43="","",IF(AND(COUNT(B43:E43)=4,B43&gt;0,C43&gt;0,D43&gt;0,E43&gt;=0,ISNUMBER(Calculator!$B$8),Calculator!$B$8&gt;0),MAX(F43,ROUNDUP(ROUND(E43,8),0)),"Check inputs"))</f>
        <v/>
      </c>
      <c r="H43" s="9">
        <f>IF(A43="","",IF(AND(COUNT(B43:E43)=4,B43&gt;0,C43&gt;0,D43&gt;0,E43&gt;=0,ISNUMBER(Calculator!$B$8),Calculator!$B$8&gt;0),IF(F43&gt;ROUNDUP(ROUND(E43,8),0),"Dimensional","Actual"),"Check inputs"))</f>
        <v/>
      </c>
    </row>
    <row r="44">
      <c r="A44" s="4" t="n"/>
      <c r="B44" s="4" t="n"/>
      <c r="C44" s="4" t="n"/>
      <c r="D44" s="4" t="n"/>
      <c r="E44" s="4" t="n"/>
      <c r="F44" s="9">
        <f>IF(A44="","",IF(AND(COUNT(B44:E44)=4,B44&gt;0,C44&gt;0,D44&gt;0,E44&gt;=0,ISNUMBER(Calculator!$B$8),Calculator!$B$8&gt;0),ROUNDUP(ROUND(B44*C44*D44/Calculator!$B$8,8),0),"Check inputs"))</f>
        <v/>
      </c>
      <c r="G44" s="9">
        <f>IF(A44="","",IF(AND(COUNT(B44:E44)=4,B44&gt;0,C44&gt;0,D44&gt;0,E44&gt;=0,ISNUMBER(Calculator!$B$8),Calculator!$B$8&gt;0),MAX(F44,ROUNDUP(ROUND(E44,8),0)),"Check inputs"))</f>
        <v/>
      </c>
      <c r="H44" s="9">
        <f>IF(A44="","",IF(AND(COUNT(B44:E44)=4,B44&gt;0,C44&gt;0,D44&gt;0,E44&gt;=0,ISNUMBER(Calculator!$B$8),Calculator!$B$8&gt;0),IF(F44&gt;ROUNDUP(ROUND(E44,8),0),"Dimensional","Actual"),"Check inputs"))</f>
        <v/>
      </c>
    </row>
    <row r="45">
      <c r="A45" s="4" t="n"/>
      <c r="B45" s="4" t="n"/>
      <c r="C45" s="4" t="n"/>
      <c r="D45" s="4" t="n"/>
      <c r="E45" s="4" t="n"/>
      <c r="F45" s="9">
        <f>IF(A45="","",IF(AND(COUNT(B45:E45)=4,B45&gt;0,C45&gt;0,D45&gt;0,E45&gt;=0,ISNUMBER(Calculator!$B$8),Calculator!$B$8&gt;0),ROUNDUP(ROUND(B45*C45*D45/Calculator!$B$8,8),0),"Check inputs"))</f>
        <v/>
      </c>
      <c r="G45" s="9">
        <f>IF(A45="","",IF(AND(COUNT(B45:E45)=4,B45&gt;0,C45&gt;0,D45&gt;0,E45&gt;=0,ISNUMBER(Calculator!$B$8),Calculator!$B$8&gt;0),MAX(F45,ROUNDUP(ROUND(E45,8),0)),"Check inputs"))</f>
        <v/>
      </c>
      <c r="H45" s="9">
        <f>IF(A45="","",IF(AND(COUNT(B45:E45)=4,B45&gt;0,C45&gt;0,D45&gt;0,E45&gt;=0,ISNUMBER(Calculator!$B$8),Calculator!$B$8&gt;0),IF(F45&gt;ROUNDUP(ROUND(E45,8),0),"Dimensional","Actual"),"Check inputs"))</f>
        <v/>
      </c>
    </row>
    <row r="46">
      <c r="A46" s="4" t="n"/>
      <c r="B46" s="4" t="n"/>
      <c r="C46" s="4" t="n"/>
      <c r="D46" s="4" t="n"/>
      <c r="E46" s="4" t="n"/>
      <c r="F46" s="9">
        <f>IF(A46="","",IF(AND(COUNT(B46:E46)=4,B46&gt;0,C46&gt;0,D46&gt;0,E46&gt;=0,ISNUMBER(Calculator!$B$8),Calculator!$B$8&gt;0),ROUNDUP(ROUND(B46*C46*D46/Calculator!$B$8,8),0),"Check inputs"))</f>
        <v/>
      </c>
      <c r="G46" s="9">
        <f>IF(A46="","",IF(AND(COUNT(B46:E46)=4,B46&gt;0,C46&gt;0,D46&gt;0,E46&gt;=0,ISNUMBER(Calculator!$B$8),Calculator!$B$8&gt;0),MAX(F46,ROUNDUP(ROUND(E46,8),0)),"Check inputs"))</f>
        <v/>
      </c>
      <c r="H46" s="9">
        <f>IF(A46="","",IF(AND(COUNT(B46:E46)=4,B46&gt;0,C46&gt;0,D46&gt;0,E46&gt;=0,ISNUMBER(Calculator!$B$8),Calculator!$B$8&gt;0),IF(F46&gt;ROUNDUP(ROUND(E46,8),0),"Dimensional","Actual"),"Check inputs"))</f>
        <v/>
      </c>
    </row>
    <row r="47">
      <c r="A47" s="4" t="n"/>
      <c r="B47" s="4" t="n"/>
      <c r="C47" s="4" t="n"/>
      <c r="D47" s="4" t="n"/>
      <c r="E47" s="4" t="n"/>
      <c r="F47" s="9">
        <f>IF(A47="","",IF(AND(COUNT(B47:E47)=4,B47&gt;0,C47&gt;0,D47&gt;0,E47&gt;=0,ISNUMBER(Calculator!$B$8),Calculator!$B$8&gt;0),ROUNDUP(ROUND(B47*C47*D47/Calculator!$B$8,8),0),"Check inputs"))</f>
        <v/>
      </c>
      <c r="G47" s="9">
        <f>IF(A47="","",IF(AND(COUNT(B47:E47)=4,B47&gt;0,C47&gt;0,D47&gt;0,E47&gt;=0,ISNUMBER(Calculator!$B$8),Calculator!$B$8&gt;0),MAX(F47,ROUNDUP(ROUND(E47,8),0)),"Check inputs"))</f>
        <v/>
      </c>
      <c r="H47" s="9">
        <f>IF(A47="","",IF(AND(COUNT(B47:E47)=4,B47&gt;0,C47&gt;0,D47&gt;0,E47&gt;=0,ISNUMBER(Calculator!$B$8),Calculator!$B$8&gt;0),IF(F47&gt;ROUNDUP(ROUND(E47,8),0),"Dimensional","Actual"),"Check inputs"))</f>
        <v/>
      </c>
    </row>
    <row r="48">
      <c r="A48" s="4" t="n"/>
      <c r="B48" s="4" t="n"/>
      <c r="C48" s="4" t="n"/>
      <c r="D48" s="4" t="n"/>
      <c r="E48" s="4" t="n"/>
      <c r="F48" s="9">
        <f>IF(A48="","",IF(AND(COUNT(B48:E48)=4,B48&gt;0,C48&gt;0,D48&gt;0,E48&gt;=0,ISNUMBER(Calculator!$B$8),Calculator!$B$8&gt;0),ROUNDUP(ROUND(B48*C48*D48/Calculator!$B$8,8),0),"Check inputs"))</f>
        <v/>
      </c>
      <c r="G48" s="9">
        <f>IF(A48="","",IF(AND(COUNT(B48:E48)=4,B48&gt;0,C48&gt;0,D48&gt;0,E48&gt;=0,ISNUMBER(Calculator!$B$8),Calculator!$B$8&gt;0),MAX(F48,ROUNDUP(ROUND(E48,8),0)),"Check inputs"))</f>
        <v/>
      </c>
      <c r="H48" s="9">
        <f>IF(A48="","",IF(AND(COUNT(B48:E48)=4,B48&gt;0,C48&gt;0,D48&gt;0,E48&gt;=0,ISNUMBER(Calculator!$B$8),Calculator!$B$8&gt;0),IF(F48&gt;ROUNDUP(ROUND(E48,8),0),"Dimensional","Actual"),"Check inputs"))</f>
        <v/>
      </c>
    </row>
    <row r="49">
      <c r="A49" s="4" t="n"/>
      <c r="B49" s="4" t="n"/>
      <c r="C49" s="4" t="n"/>
      <c r="D49" s="4" t="n"/>
      <c r="E49" s="4" t="n"/>
      <c r="F49" s="9">
        <f>IF(A49="","",IF(AND(COUNT(B49:E49)=4,B49&gt;0,C49&gt;0,D49&gt;0,E49&gt;=0,ISNUMBER(Calculator!$B$8),Calculator!$B$8&gt;0),ROUNDUP(ROUND(B49*C49*D49/Calculator!$B$8,8),0),"Check inputs"))</f>
        <v/>
      </c>
      <c r="G49" s="9">
        <f>IF(A49="","",IF(AND(COUNT(B49:E49)=4,B49&gt;0,C49&gt;0,D49&gt;0,E49&gt;=0,ISNUMBER(Calculator!$B$8),Calculator!$B$8&gt;0),MAX(F49,ROUNDUP(ROUND(E49,8),0)),"Check inputs"))</f>
        <v/>
      </c>
      <c r="H49" s="9">
        <f>IF(A49="","",IF(AND(COUNT(B49:E49)=4,B49&gt;0,C49&gt;0,D49&gt;0,E49&gt;=0,ISNUMBER(Calculator!$B$8),Calculator!$B$8&gt;0),IF(F49&gt;ROUNDUP(ROUND(E49,8),0),"Dimensional","Actual"),"Check inputs"))</f>
        <v/>
      </c>
    </row>
    <row r="50">
      <c r="A50" s="4" t="n"/>
      <c r="B50" s="4" t="n"/>
      <c r="C50" s="4" t="n"/>
      <c r="D50" s="4" t="n"/>
      <c r="E50" s="4" t="n"/>
      <c r="F50" s="9">
        <f>IF(A50="","",IF(AND(COUNT(B50:E50)=4,B50&gt;0,C50&gt;0,D50&gt;0,E50&gt;=0,ISNUMBER(Calculator!$B$8),Calculator!$B$8&gt;0),ROUNDUP(ROUND(B50*C50*D50/Calculator!$B$8,8),0),"Check inputs"))</f>
        <v/>
      </c>
      <c r="G50" s="9">
        <f>IF(A50="","",IF(AND(COUNT(B50:E50)=4,B50&gt;0,C50&gt;0,D50&gt;0,E50&gt;=0,ISNUMBER(Calculator!$B$8),Calculator!$B$8&gt;0),MAX(F50,ROUNDUP(ROUND(E50,8),0)),"Check inputs"))</f>
        <v/>
      </c>
      <c r="H50" s="9">
        <f>IF(A50="","",IF(AND(COUNT(B50:E50)=4,B50&gt;0,C50&gt;0,D50&gt;0,E50&gt;=0,ISNUMBER(Calculator!$B$8),Calculator!$B$8&gt;0),IF(F50&gt;ROUNDUP(ROUND(E50,8),0),"Dimensional","Actual"),"Check inputs"))</f>
        <v/>
      </c>
    </row>
    <row r="51">
      <c r="A51" s="4" t="n"/>
      <c r="B51" s="4" t="n"/>
      <c r="C51" s="4" t="n"/>
      <c r="D51" s="4" t="n"/>
      <c r="E51" s="4" t="n"/>
      <c r="F51" s="9">
        <f>IF(A51="","",IF(AND(COUNT(B51:E51)=4,B51&gt;0,C51&gt;0,D51&gt;0,E51&gt;=0,ISNUMBER(Calculator!$B$8),Calculator!$B$8&gt;0),ROUNDUP(ROUND(B51*C51*D51/Calculator!$B$8,8),0),"Check inputs"))</f>
        <v/>
      </c>
      <c r="G51" s="9">
        <f>IF(A51="","",IF(AND(COUNT(B51:E51)=4,B51&gt;0,C51&gt;0,D51&gt;0,E51&gt;=0,ISNUMBER(Calculator!$B$8),Calculator!$B$8&gt;0),MAX(F51,ROUNDUP(ROUND(E51,8),0)),"Check inputs"))</f>
        <v/>
      </c>
      <c r="H51" s="9">
        <f>IF(A51="","",IF(AND(COUNT(B51:E51)=4,B51&gt;0,C51&gt;0,D51&gt;0,E51&gt;=0,ISNUMBER(Calculator!$B$8),Calculator!$B$8&gt;0),IF(F51&gt;ROUNDUP(ROUND(E51,8),0),"Dimensional","Actual"),"Check inputs"))</f>
        <v/>
      </c>
    </row>
    <row r="52">
      <c r="A52" s="4" t="n"/>
      <c r="B52" s="4" t="n"/>
      <c r="C52" s="4" t="n"/>
      <c r="D52" s="4" t="n"/>
      <c r="E52" s="4" t="n"/>
      <c r="F52" s="9">
        <f>IF(A52="","",IF(AND(COUNT(B52:E52)=4,B52&gt;0,C52&gt;0,D52&gt;0,E52&gt;=0,ISNUMBER(Calculator!$B$8),Calculator!$B$8&gt;0),ROUNDUP(ROUND(B52*C52*D52/Calculator!$B$8,8),0),"Check inputs"))</f>
        <v/>
      </c>
      <c r="G52" s="9">
        <f>IF(A52="","",IF(AND(COUNT(B52:E52)=4,B52&gt;0,C52&gt;0,D52&gt;0,E52&gt;=0,ISNUMBER(Calculator!$B$8),Calculator!$B$8&gt;0),MAX(F52,ROUNDUP(ROUND(E52,8),0)),"Check inputs"))</f>
        <v/>
      </c>
      <c r="H52" s="9">
        <f>IF(A52="","",IF(AND(COUNT(B52:E52)=4,B52&gt;0,C52&gt;0,D52&gt;0,E52&gt;=0,ISNUMBER(Calculator!$B$8),Calculator!$B$8&gt;0),IF(F52&gt;ROUNDUP(ROUND(E52,8),0),"Dimensional","Actual"),"Check inputs"))</f>
        <v/>
      </c>
    </row>
    <row r="53">
      <c r="A53" s="4" t="n"/>
      <c r="B53" s="4" t="n"/>
      <c r="C53" s="4" t="n"/>
      <c r="D53" s="4" t="n"/>
      <c r="E53" s="4" t="n"/>
      <c r="F53" s="9">
        <f>IF(A53="","",IF(AND(COUNT(B53:E53)=4,B53&gt;0,C53&gt;0,D53&gt;0,E53&gt;=0,ISNUMBER(Calculator!$B$8),Calculator!$B$8&gt;0),ROUNDUP(ROUND(B53*C53*D53/Calculator!$B$8,8),0),"Check inputs"))</f>
        <v/>
      </c>
      <c r="G53" s="9">
        <f>IF(A53="","",IF(AND(COUNT(B53:E53)=4,B53&gt;0,C53&gt;0,D53&gt;0,E53&gt;=0,ISNUMBER(Calculator!$B$8),Calculator!$B$8&gt;0),MAX(F53,ROUNDUP(ROUND(E53,8),0)),"Check inputs"))</f>
        <v/>
      </c>
      <c r="H53" s="9">
        <f>IF(A53="","",IF(AND(COUNT(B53:E53)=4,B53&gt;0,C53&gt;0,D53&gt;0,E53&gt;=0,ISNUMBER(Calculator!$B$8),Calculator!$B$8&gt;0),IF(F53&gt;ROUNDUP(ROUND(E53,8),0),"Dimensional","Actual"),"Check inputs"))</f>
        <v/>
      </c>
    </row>
    <row r="54">
      <c r="A54" s="4" t="n"/>
      <c r="B54" s="4" t="n"/>
      <c r="C54" s="4" t="n"/>
      <c r="D54" s="4" t="n"/>
      <c r="E54" s="4" t="n"/>
      <c r="F54" s="9">
        <f>IF(A54="","",IF(AND(COUNT(B54:E54)=4,B54&gt;0,C54&gt;0,D54&gt;0,E54&gt;=0,ISNUMBER(Calculator!$B$8),Calculator!$B$8&gt;0),ROUNDUP(ROUND(B54*C54*D54/Calculator!$B$8,8),0),"Check inputs"))</f>
        <v/>
      </c>
      <c r="G54" s="9">
        <f>IF(A54="","",IF(AND(COUNT(B54:E54)=4,B54&gt;0,C54&gt;0,D54&gt;0,E54&gt;=0,ISNUMBER(Calculator!$B$8),Calculator!$B$8&gt;0),MAX(F54,ROUNDUP(ROUND(E54,8),0)),"Check inputs"))</f>
        <v/>
      </c>
      <c r="H54" s="9">
        <f>IF(A54="","",IF(AND(COUNT(B54:E54)=4,B54&gt;0,C54&gt;0,D54&gt;0,E54&gt;=0,ISNUMBER(Calculator!$B$8),Calculator!$B$8&gt;0),IF(F54&gt;ROUNDUP(ROUND(E54,8),0),"Dimensional","Actual"),"Check inputs"))</f>
        <v/>
      </c>
    </row>
    <row r="55">
      <c r="A55" s="4" t="n"/>
      <c r="B55" s="4" t="n"/>
      <c r="C55" s="4" t="n"/>
      <c r="D55" s="4" t="n"/>
      <c r="E55" s="4" t="n"/>
      <c r="F55" s="9">
        <f>IF(A55="","",IF(AND(COUNT(B55:E55)=4,B55&gt;0,C55&gt;0,D55&gt;0,E55&gt;=0,ISNUMBER(Calculator!$B$8),Calculator!$B$8&gt;0),ROUNDUP(ROUND(B55*C55*D55/Calculator!$B$8,8),0),"Check inputs"))</f>
        <v/>
      </c>
      <c r="G55" s="9">
        <f>IF(A55="","",IF(AND(COUNT(B55:E55)=4,B55&gt;0,C55&gt;0,D55&gt;0,E55&gt;=0,ISNUMBER(Calculator!$B$8),Calculator!$B$8&gt;0),MAX(F55,ROUNDUP(ROUND(E55,8),0)),"Check inputs"))</f>
        <v/>
      </c>
      <c r="H55" s="9">
        <f>IF(A55="","",IF(AND(COUNT(B55:E55)=4,B55&gt;0,C55&gt;0,D55&gt;0,E55&gt;=0,ISNUMBER(Calculator!$B$8),Calculator!$B$8&gt;0),IF(F55&gt;ROUNDUP(ROUND(E55,8),0),"Dimensional","Actual"),"Check inputs"))</f>
        <v/>
      </c>
    </row>
    <row r="56">
      <c r="A56" s="4" t="n"/>
      <c r="B56" s="4" t="n"/>
      <c r="C56" s="4" t="n"/>
      <c r="D56" s="4" t="n"/>
      <c r="E56" s="4" t="n"/>
      <c r="F56" s="9">
        <f>IF(A56="","",IF(AND(COUNT(B56:E56)=4,B56&gt;0,C56&gt;0,D56&gt;0,E56&gt;=0,ISNUMBER(Calculator!$B$8),Calculator!$B$8&gt;0),ROUNDUP(ROUND(B56*C56*D56/Calculator!$B$8,8),0),"Check inputs"))</f>
        <v/>
      </c>
      <c r="G56" s="9">
        <f>IF(A56="","",IF(AND(COUNT(B56:E56)=4,B56&gt;0,C56&gt;0,D56&gt;0,E56&gt;=0,ISNUMBER(Calculator!$B$8),Calculator!$B$8&gt;0),MAX(F56,ROUNDUP(ROUND(E56,8),0)),"Check inputs"))</f>
        <v/>
      </c>
      <c r="H56" s="9">
        <f>IF(A56="","",IF(AND(COUNT(B56:E56)=4,B56&gt;0,C56&gt;0,D56&gt;0,E56&gt;=0,ISNUMBER(Calculator!$B$8),Calculator!$B$8&gt;0),IF(F56&gt;ROUNDUP(ROUND(E56,8),0),"Dimensional","Actual"),"Check inputs"))</f>
        <v/>
      </c>
    </row>
    <row r="57">
      <c r="A57" s="4" t="n"/>
      <c r="B57" s="4" t="n"/>
      <c r="C57" s="4" t="n"/>
      <c r="D57" s="4" t="n"/>
      <c r="E57" s="4" t="n"/>
      <c r="F57" s="9">
        <f>IF(A57="","",IF(AND(COUNT(B57:E57)=4,B57&gt;0,C57&gt;0,D57&gt;0,E57&gt;=0,ISNUMBER(Calculator!$B$8),Calculator!$B$8&gt;0),ROUNDUP(ROUND(B57*C57*D57/Calculator!$B$8,8),0),"Check inputs"))</f>
        <v/>
      </c>
      <c r="G57" s="9">
        <f>IF(A57="","",IF(AND(COUNT(B57:E57)=4,B57&gt;0,C57&gt;0,D57&gt;0,E57&gt;=0,ISNUMBER(Calculator!$B$8),Calculator!$B$8&gt;0),MAX(F57,ROUNDUP(ROUND(E57,8),0)),"Check inputs"))</f>
        <v/>
      </c>
      <c r="H57" s="9">
        <f>IF(A57="","",IF(AND(COUNT(B57:E57)=4,B57&gt;0,C57&gt;0,D57&gt;0,E57&gt;=0,ISNUMBER(Calculator!$B$8),Calculator!$B$8&gt;0),IF(F57&gt;ROUNDUP(ROUND(E57,8),0),"Dimensional","Actual"),"Check inputs"))</f>
        <v/>
      </c>
    </row>
    <row r="58">
      <c r="A58" s="4" t="n"/>
      <c r="B58" s="4" t="n"/>
      <c r="C58" s="4" t="n"/>
      <c r="D58" s="4" t="n"/>
      <c r="E58" s="4" t="n"/>
      <c r="F58" s="9">
        <f>IF(A58="","",IF(AND(COUNT(B58:E58)=4,B58&gt;0,C58&gt;0,D58&gt;0,E58&gt;=0,ISNUMBER(Calculator!$B$8),Calculator!$B$8&gt;0),ROUNDUP(ROUND(B58*C58*D58/Calculator!$B$8,8),0),"Check inputs"))</f>
        <v/>
      </c>
      <c r="G58" s="9">
        <f>IF(A58="","",IF(AND(COUNT(B58:E58)=4,B58&gt;0,C58&gt;0,D58&gt;0,E58&gt;=0,ISNUMBER(Calculator!$B$8),Calculator!$B$8&gt;0),MAX(F58,ROUNDUP(ROUND(E58,8),0)),"Check inputs"))</f>
        <v/>
      </c>
      <c r="H58" s="9">
        <f>IF(A58="","",IF(AND(COUNT(B58:E58)=4,B58&gt;0,C58&gt;0,D58&gt;0,E58&gt;=0,ISNUMBER(Calculator!$B$8),Calculator!$B$8&gt;0),IF(F58&gt;ROUNDUP(ROUND(E58,8),0),"Dimensional","Actual"),"Check inputs"))</f>
        <v/>
      </c>
    </row>
    <row r="59">
      <c r="A59" s="4" t="n"/>
      <c r="B59" s="4" t="n"/>
      <c r="C59" s="4" t="n"/>
      <c r="D59" s="4" t="n"/>
      <c r="E59" s="4" t="n"/>
      <c r="F59" s="9">
        <f>IF(A59="","",IF(AND(COUNT(B59:E59)=4,B59&gt;0,C59&gt;0,D59&gt;0,E59&gt;=0,ISNUMBER(Calculator!$B$8),Calculator!$B$8&gt;0),ROUNDUP(ROUND(B59*C59*D59/Calculator!$B$8,8),0),"Check inputs"))</f>
        <v/>
      </c>
      <c r="G59" s="9">
        <f>IF(A59="","",IF(AND(COUNT(B59:E59)=4,B59&gt;0,C59&gt;0,D59&gt;0,E59&gt;=0,ISNUMBER(Calculator!$B$8),Calculator!$B$8&gt;0),MAX(F59,ROUNDUP(ROUND(E59,8),0)),"Check inputs"))</f>
        <v/>
      </c>
      <c r="H59" s="9">
        <f>IF(A59="","",IF(AND(COUNT(B59:E59)=4,B59&gt;0,C59&gt;0,D59&gt;0,E59&gt;=0,ISNUMBER(Calculator!$B$8),Calculator!$B$8&gt;0),IF(F59&gt;ROUNDUP(ROUND(E59,8),0),"Dimensional","Actual"),"Check inputs"))</f>
        <v/>
      </c>
    </row>
    <row r="60">
      <c r="A60" s="4" t="n"/>
      <c r="B60" s="4" t="n"/>
      <c r="C60" s="4" t="n"/>
      <c r="D60" s="4" t="n"/>
      <c r="E60" s="4" t="n"/>
      <c r="F60" s="9">
        <f>IF(A60="","",IF(AND(COUNT(B60:E60)=4,B60&gt;0,C60&gt;0,D60&gt;0,E60&gt;=0,ISNUMBER(Calculator!$B$8),Calculator!$B$8&gt;0),ROUNDUP(ROUND(B60*C60*D60/Calculator!$B$8,8),0),"Check inputs"))</f>
        <v/>
      </c>
      <c r="G60" s="9">
        <f>IF(A60="","",IF(AND(COUNT(B60:E60)=4,B60&gt;0,C60&gt;0,D60&gt;0,E60&gt;=0,ISNUMBER(Calculator!$B$8),Calculator!$B$8&gt;0),MAX(F60,ROUNDUP(ROUND(E60,8),0)),"Check inputs"))</f>
        <v/>
      </c>
      <c r="H60" s="9">
        <f>IF(A60="","",IF(AND(COUNT(B60:E60)=4,B60&gt;0,C60&gt;0,D60&gt;0,E60&gt;=0,ISNUMBER(Calculator!$B$8),Calculator!$B$8&gt;0),IF(F60&gt;ROUNDUP(ROUND(E60,8),0),"Dimensional","Actual"),"Check inputs"))</f>
        <v/>
      </c>
    </row>
    <row r="61">
      <c r="A61" s="4" t="n"/>
      <c r="B61" s="4" t="n"/>
      <c r="C61" s="4" t="n"/>
      <c r="D61" s="4" t="n"/>
      <c r="E61" s="4" t="n"/>
      <c r="F61" s="9">
        <f>IF(A61="","",IF(AND(COUNT(B61:E61)=4,B61&gt;0,C61&gt;0,D61&gt;0,E61&gt;=0,ISNUMBER(Calculator!$B$8),Calculator!$B$8&gt;0),ROUNDUP(ROUND(B61*C61*D61/Calculator!$B$8,8),0),"Check inputs"))</f>
        <v/>
      </c>
      <c r="G61" s="9">
        <f>IF(A61="","",IF(AND(COUNT(B61:E61)=4,B61&gt;0,C61&gt;0,D61&gt;0,E61&gt;=0,ISNUMBER(Calculator!$B$8),Calculator!$B$8&gt;0),MAX(F61,ROUNDUP(ROUND(E61,8),0)),"Check inputs"))</f>
        <v/>
      </c>
      <c r="H61" s="9">
        <f>IF(A61="","",IF(AND(COUNT(B61:E61)=4,B61&gt;0,C61&gt;0,D61&gt;0,E61&gt;=0,ISNUMBER(Calculator!$B$8),Calculator!$B$8&gt;0),IF(F61&gt;ROUNDUP(ROUND(E61,8),0),"Dimensional","Actual"),"Check inputs"))</f>
        <v/>
      </c>
    </row>
    <row r="62">
      <c r="A62" s="4" t="n"/>
      <c r="B62" s="4" t="n"/>
      <c r="C62" s="4" t="n"/>
      <c r="D62" s="4" t="n"/>
      <c r="E62" s="4" t="n"/>
      <c r="F62" s="9">
        <f>IF(A62="","",IF(AND(COUNT(B62:E62)=4,B62&gt;0,C62&gt;0,D62&gt;0,E62&gt;=0,ISNUMBER(Calculator!$B$8),Calculator!$B$8&gt;0),ROUNDUP(ROUND(B62*C62*D62/Calculator!$B$8,8),0),"Check inputs"))</f>
        <v/>
      </c>
      <c r="G62" s="9">
        <f>IF(A62="","",IF(AND(COUNT(B62:E62)=4,B62&gt;0,C62&gt;0,D62&gt;0,E62&gt;=0,ISNUMBER(Calculator!$B$8),Calculator!$B$8&gt;0),MAX(F62,ROUNDUP(ROUND(E62,8),0)),"Check inputs"))</f>
        <v/>
      </c>
      <c r="H62" s="9">
        <f>IF(A62="","",IF(AND(COUNT(B62:E62)=4,B62&gt;0,C62&gt;0,D62&gt;0,E62&gt;=0,ISNUMBER(Calculator!$B$8),Calculator!$B$8&gt;0),IF(F62&gt;ROUNDUP(ROUND(E62,8),0),"Dimensional","Actual"),"Check inputs"))</f>
        <v/>
      </c>
    </row>
    <row r="63">
      <c r="A63" s="4" t="n"/>
      <c r="B63" s="4" t="n"/>
      <c r="C63" s="4" t="n"/>
      <c r="D63" s="4" t="n"/>
      <c r="E63" s="4" t="n"/>
      <c r="F63" s="9">
        <f>IF(A63="","",IF(AND(COUNT(B63:E63)=4,B63&gt;0,C63&gt;0,D63&gt;0,E63&gt;=0,ISNUMBER(Calculator!$B$8),Calculator!$B$8&gt;0),ROUNDUP(ROUND(B63*C63*D63/Calculator!$B$8,8),0),"Check inputs"))</f>
        <v/>
      </c>
      <c r="G63" s="9">
        <f>IF(A63="","",IF(AND(COUNT(B63:E63)=4,B63&gt;0,C63&gt;0,D63&gt;0,E63&gt;=0,ISNUMBER(Calculator!$B$8),Calculator!$B$8&gt;0),MAX(F63,ROUNDUP(ROUND(E63,8),0)),"Check inputs"))</f>
        <v/>
      </c>
      <c r="H63" s="9">
        <f>IF(A63="","",IF(AND(COUNT(B63:E63)=4,B63&gt;0,C63&gt;0,D63&gt;0,E63&gt;=0,ISNUMBER(Calculator!$B$8),Calculator!$B$8&gt;0),IF(F63&gt;ROUNDUP(ROUND(E63,8),0),"Dimensional","Actual"),"Check inputs"))</f>
        <v/>
      </c>
    </row>
    <row r="64">
      <c r="A64" s="4" t="n"/>
      <c r="B64" s="4" t="n"/>
      <c r="C64" s="4" t="n"/>
      <c r="D64" s="4" t="n"/>
      <c r="E64" s="4" t="n"/>
      <c r="F64" s="9">
        <f>IF(A64="","",IF(AND(COUNT(B64:E64)=4,B64&gt;0,C64&gt;0,D64&gt;0,E64&gt;=0,ISNUMBER(Calculator!$B$8),Calculator!$B$8&gt;0),ROUNDUP(ROUND(B64*C64*D64/Calculator!$B$8,8),0),"Check inputs"))</f>
        <v/>
      </c>
      <c r="G64" s="9">
        <f>IF(A64="","",IF(AND(COUNT(B64:E64)=4,B64&gt;0,C64&gt;0,D64&gt;0,E64&gt;=0,ISNUMBER(Calculator!$B$8),Calculator!$B$8&gt;0),MAX(F64,ROUNDUP(ROUND(E64,8),0)),"Check inputs"))</f>
        <v/>
      </c>
      <c r="H64" s="9">
        <f>IF(A64="","",IF(AND(COUNT(B64:E64)=4,B64&gt;0,C64&gt;0,D64&gt;0,E64&gt;=0,ISNUMBER(Calculator!$B$8),Calculator!$B$8&gt;0),IF(F64&gt;ROUNDUP(ROUND(E64,8),0),"Dimensional","Actual"),"Check inputs"))</f>
        <v/>
      </c>
    </row>
    <row r="65">
      <c r="A65" s="4" t="n"/>
      <c r="B65" s="4" t="n"/>
      <c r="C65" s="4" t="n"/>
      <c r="D65" s="4" t="n"/>
      <c r="E65" s="4" t="n"/>
      <c r="F65" s="9">
        <f>IF(A65="","",IF(AND(COUNT(B65:E65)=4,B65&gt;0,C65&gt;0,D65&gt;0,E65&gt;=0,ISNUMBER(Calculator!$B$8),Calculator!$B$8&gt;0),ROUNDUP(ROUND(B65*C65*D65/Calculator!$B$8,8),0),"Check inputs"))</f>
        <v/>
      </c>
      <c r="G65" s="9">
        <f>IF(A65="","",IF(AND(COUNT(B65:E65)=4,B65&gt;0,C65&gt;0,D65&gt;0,E65&gt;=0,ISNUMBER(Calculator!$B$8),Calculator!$B$8&gt;0),MAX(F65,ROUNDUP(ROUND(E65,8),0)),"Check inputs"))</f>
        <v/>
      </c>
      <c r="H65" s="9">
        <f>IF(A65="","",IF(AND(COUNT(B65:E65)=4,B65&gt;0,C65&gt;0,D65&gt;0,E65&gt;=0,ISNUMBER(Calculator!$B$8),Calculator!$B$8&gt;0),IF(F65&gt;ROUNDUP(ROUND(E65,8),0),"Dimensional","Actual"),"Check inputs"))</f>
        <v/>
      </c>
    </row>
    <row r="66">
      <c r="A66" s="4" t="n"/>
      <c r="B66" s="4" t="n"/>
      <c r="C66" s="4" t="n"/>
      <c r="D66" s="4" t="n"/>
      <c r="E66" s="4" t="n"/>
      <c r="F66" s="9">
        <f>IF(A66="","",IF(AND(COUNT(B66:E66)=4,B66&gt;0,C66&gt;0,D66&gt;0,E66&gt;=0,ISNUMBER(Calculator!$B$8),Calculator!$B$8&gt;0),ROUNDUP(ROUND(B66*C66*D66/Calculator!$B$8,8),0),"Check inputs"))</f>
        <v/>
      </c>
      <c r="G66" s="9">
        <f>IF(A66="","",IF(AND(COUNT(B66:E66)=4,B66&gt;0,C66&gt;0,D66&gt;0,E66&gt;=0,ISNUMBER(Calculator!$B$8),Calculator!$B$8&gt;0),MAX(F66,ROUNDUP(ROUND(E66,8),0)),"Check inputs"))</f>
        <v/>
      </c>
      <c r="H66" s="9">
        <f>IF(A66="","",IF(AND(COUNT(B66:E66)=4,B66&gt;0,C66&gt;0,D66&gt;0,E66&gt;=0,ISNUMBER(Calculator!$B$8),Calculator!$B$8&gt;0),IF(F66&gt;ROUNDUP(ROUND(E66,8),0),"Dimensional","Actual"),"Check inputs"))</f>
        <v/>
      </c>
    </row>
    <row r="67">
      <c r="A67" s="4" t="n"/>
      <c r="B67" s="4" t="n"/>
      <c r="C67" s="4" t="n"/>
      <c r="D67" s="4" t="n"/>
      <c r="E67" s="4" t="n"/>
      <c r="F67" s="9">
        <f>IF(A67="","",IF(AND(COUNT(B67:E67)=4,B67&gt;0,C67&gt;0,D67&gt;0,E67&gt;=0,ISNUMBER(Calculator!$B$8),Calculator!$B$8&gt;0),ROUNDUP(ROUND(B67*C67*D67/Calculator!$B$8,8),0),"Check inputs"))</f>
        <v/>
      </c>
      <c r="G67" s="9">
        <f>IF(A67="","",IF(AND(COUNT(B67:E67)=4,B67&gt;0,C67&gt;0,D67&gt;0,E67&gt;=0,ISNUMBER(Calculator!$B$8),Calculator!$B$8&gt;0),MAX(F67,ROUNDUP(ROUND(E67,8),0)),"Check inputs"))</f>
        <v/>
      </c>
      <c r="H67" s="9">
        <f>IF(A67="","",IF(AND(COUNT(B67:E67)=4,B67&gt;0,C67&gt;0,D67&gt;0,E67&gt;=0,ISNUMBER(Calculator!$B$8),Calculator!$B$8&gt;0),IF(F67&gt;ROUNDUP(ROUND(E67,8),0),"Dimensional","Actual"),"Check inputs"))</f>
        <v/>
      </c>
    </row>
    <row r="68">
      <c r="A68" s="4" t="n"/>
      <c r="B68" s="4" t="n"/>
      <c r="C68" s="4" t="n"/>
      <c r="D68" s="4" t="n"/>
      <c r="E68" s="4" t="n"/>
      <c r="F68" s="9">
        <f>IF(A68="","",IF(AND(COUNT(B68:E68)=4,B68&gt;0,C68&gt;0,D68&gt;0,E68&gt;=0,ISNUMBER(Calculator!$B$8),Calculator!$B$8&gt;0),ROUNDUP(ROUND(B68*C68*D68/Calculator!$B$8,8),0),"Check inputs"))</f>
        <v/>
      </c>
      <c r="G68" s="9">
        <f>IF(A68="","",IF(AND(COUNT(B68:E68)=4,B68&gt;0,C68&gt;0,D68&gt;0,E68&gt;=0,ISNUMBER(Calculator!$B$8),Calculator!$B$8&gt;0),MAX(F68,ROUNDUP(ROUND(E68,8),0)),"Check inputs"))</f>
        <v/>
      </c>
      <c r="H68" s="9">
        <f>IF(A68="","",IF(AND(COUNT(B68:E68)=4,B68&gt;0,C68&gt;0,D68&gt;0,E68&gt;=0,ISNUMBER(Calculator!$B$8),Calculator!$B$8&gt;0),IF(F68&gt;ROUNDUP(ROUND(E68,8),0),"Dimensional","Actual"),"Check inputs"))</f>
        <v/>
      </c>
    </row>
    <row r="69">
      <c r="A69" s="4" t="n"/>
      <c r="B69" s="4" t="n"/>
      <c r="C69" s="4" t="n"/>
      <c r="D69" s="4" t="n"/>
      <c r="E69" s="4" t="n"/>
      <c r="F69" s="9">
        <f>IF(A69="","",IF(AND(COUNT(B69:E69)=4,B69&gt;0,C69&gt;0,D69&gt;0,E69&gt;=0,ISNUMBER(Calculator!$B$8),Calculator!$B$8&gt;0),ROUNDUP(ROUND(B69*C69*D69/Calculator!$B$8,8),0),"Check inputs"))</f>
        <v/>
      </c>
      <c r="G69" s="9">
        <f>IF(A69="","",IF(AND(COUNT(B69:E69)=4,B69&gt;0,C69&gt;0,D69&gt;0,E69&gt;=0,ISNUMBER(Calculator!$B$8),Calculator!$B$8&gt;0),MAX(F69,ROUNDUP(ROUND(E69,8),0)),"Check inputs"))</f>
        <v/>
      </c>
      <c r="H69" s="9">
        <f>IF(A69="","",IF(AND(COUNT(B69:E69)=4,B69&gt;0,C69&gt;0,D69&gt;0,E69&gt;=0,ISNUMBER(Calculator!$B$8),Calculator!$B$8&gt;0),IF(F69&gt;ROUNDUP(ROUND(E69,8),0),"Dimensional","Actual"),"Check inputs"))</f>
        <v/>
      </c>
    </row>
    <row r="70">
      <c r="A70" s="4" t="n"/>
      <c r="B70" s="4" t="n"/>
      <c r="C70" s="4" t="n"/>
      <c r="D70" s="4" t="n"/>
      <c r="E70" s="4" t="n"/>
      <c r="F70" s="9">
        <f>IF(A70="","",IF(AND(COUNT(B70:E70)=4,B70&gt;0,C70&gt;0,D70&gt;0,E70&gt;=0,ISNUMBER(Calculator!$B$8),Calculator!$B$8&gt;0),ROUNDUP(ROUND(B70*C70*D70/Calculator!$B$8,8),0),"Check inputs"))</f>
        <v/>
      </c>
      <c r="G70" s="9">
        <f>IF(A70="","",IF(AND(COUNT(B70:E70)=4,B70&gt;0,C70&gt;0,D70&gt;0,E70&gt;=0,ISNUMBER(Calculator!$B$8),Calculator!$B$8&gt;0),MAX(F70,ROUNDUP(ROUND(E70,8),0)),"Check inputs"))</f>
        <v/>
      </c>
      <c r="H70" s="9">
        <f>IF(A70="","",IF(AND(COUNT(B70:E70)=4,B70&gt;0,C70&gt;0,D70&gt;0,E70&gt;=0,ISNUMBER(Calculator!$B$8),Calculator!$B$8&gt;0),IF(F70&gt;ROUNDUP(ROUND(E70,8),0),"Dimensional","Actual"),"Check inputs"))</f>
        <v/>
      </c>
    </row>
    <row r="71">
      <c r="A71" s="4" t="n"/>
      <c r="B71" s="4" t="n"/>
      <c r="C71" s="4" t="n"/>
      <c r="D71" s="4" t="n"/>
      <c r="E71" s="4" t="n"/>
      <c r="F71" s="9">
        <f>IF(A71="","",IF(AND(COUNT(B71:E71)=4,B71&gt;0,C71&gt;0,D71&gt;0,E71&gt;=0,ISNUMBER(Calculator!$B$8),Calculator!$B$8&gt;0),ROUNDUP(ROUND(B71*C71*D71/Calculator!$B$8,8),0),"Check inputs"))</f>
        <v/>
      </c>
      <c r="G71" s="9">
        <f>IF(A71="","",IF(AND(COUNT(B71:E71)=4,B71&gt;0,C71&gt;0,D71&gt;0,E71&gt;=0,ISNUMBER(Calculator!$B$8),Calculator!$B$8&gt;0),MAX(F71,ROUNDUP(ROUND(E71,8),0)),"Check inputs"))</f>
        <v/>
      </c>
      <c r="H71" s="9">
        <f>IF(A71="","",IF(AND(COUNT(B71:E71)=4,B71&gt;0,C71&gt;0,D71&gt;0,E71&gt;=0,ISNUMBER(Calculator!$B$8),Calculator!$B$8&gt;0),IF(F71&gt;ROUNDUP(ROUND(E71,8),0),"Dimensional","Actual"),"Check inputs"))</f>
        <v/>
      </c>
    </row>
    <row r="72">
      <c r="A72" s="4" t="n"/>
      <c r="B72" s="4" t="n"/>
      <c r="C72" s="4" t="n"/>
      <c r="D72" s="4" t="n"/>
      <c r="E72" s="4" t="n"/>
      <c r="F72" s="9">
        <f>IF(A72="","",IF(AND(COUNT(B72:E72)=4,B72&gt;0,C72&gt;0,D72&gt;0,E72&gt;=0,ISNUMBER(Calculator!$B$8),Calculator!$B$8&gt;0),ROUNDUP(ROUND(B72*C72*D72/Calculator!$B$8,8),0),"Check inputs"))</f>
        <v/>
      </c>
      <c r="G72" s="9">
        <f>IF(A72="","",IF(AND(COUNT(B72:E72)=4,B72&gt;0,C72&gt;0,D72&gt;0,E72&gt;=0,ISNUMBER(Calculator!$B$8),Calculator!$B$8&gt;0),MAX(F72,ROUNDUP(ROUND(E72,8),0)),"Check inputs"))</f>
        <v/>
      </c>
      <c r="H72" s="9">
        <f>IF(A72="","",IF(AND(COUNT(B72:E72)=4,B72&gt;0,C72&gt;0,D72&gt;0,E72&gt;=0,ISNUMBER(Calculator!$B$8),Calculator!$B$8&gt;0),IF(F72&gt;ROUNDUP(ROUND(E72,8),0),"Dimensional","Actual"),"Check inputs"))</f>
        <v/>
      </c>
    </row>
    <row r="73">
      <c r="A73" s="4" t="n"/>
      <c r="B73" s="4" t="n"/>
      <c r="C73" s="4" t="n"/>
      <c r="D73" s="4" t="n"/>
      <c r="E73" s="4" t="n"/>
      <c r="F73" s="9">
        <f>IF(A73="","",IF(AND(COUNT(B73:E73)=4,B73&gt;0,C73&gt;0,D73&gt;0,E73&gt;=0,ISNUMBER(Calculator!$B$8),Calculator!$B$8&gt;0),ROUNDUP(ROUND(B73*C73*D73/Calculator!$B$8,8),0),"Check inputs"))</f>
        <v/>
      </c>
      <c r="G73" s="9">
        <f>IF(A73="","",IF(AND(COUNT(B73:E73)=4,B73&gt;0,C73&gt;0,D73&gt;0,E73&gt;=0,ISNUMBER(Calculator!$B$8),Calculator!$B$8&gt;0),MAX(F73,ROUNDUP(ROUND(E73,8),0)),"Check inputs"))</f>
        <v/>
      </c>
      <c r="H73" s="9">
        <f>IF(A73="","",IF(AND(COUNT(B73:E73)=4,B73&gt;0,C73&gt;0,D73&gt;0,E73&gt;=0,ISNUMBER(Calculator!$B$8),Calculator!$B$8&gt;0),IF(F73&gt;ROUNDUP(ROUND(E73,8),0),"Dimensional","Actual"),"Check inputs"))</f>
        <v/>
      </c>
    </row>
    <row r="74">
      <c r="A74" s="4" t="n"/>
      <c r="B74" s="4" t="n"/>
      <c r="C74" s="4" t="n"/>
      <c r="D74" s="4" t="n"/>
      <c r="E74" s="4" t="n"/>
      <c r="F74" s="9">
        <f>IF(A74="","",IF(AND(COUNT(B74:E74)=4,B74&gt;0,C74&gt;0,D74&gt;0,E74&gt;=0,ISNUMBER(Calculator!$B$8),Calculator!$B$8&gt;0),ROUNDUP(ROUND(B74*C74*D74/Calculator!$B$8,8),0),"Check inputs"))</f>
        <v/>
      </c>
      <c r="G74" s="9">
        <f>IF(A74="","",IF(AND(COUNT(B74:E74)=4,B74&gt;0,C74&gt;0,D74&gt;0,E74&gt;=0,ISNUMBER(Calculator!$B$8),Calculator!$B$8&gt;0),MAX(F74,ROUNDUP(ROUND(E74,8),0)),"Check inputs"))</f>
        <v/>
      </c>
      <c r="H74" s="9">
        <f>IF(A74="","",IF(AND(COUNT(B74:E74)=4,B74&gt;0,C74&gt;0,D74&gt;0,E74&gt;=0,ISNUMBER(Calculator!$B$8),Calculator!$B$8&gt;0),IF(F74&gt;ROUNDUP(ROUND(E74,8),0),"Dimensional","Actual"),"Check inputs"))</f>
        <v/>
      </c>
    </row>
    <row r="75">
      <c r="A75" s="4" t="n"/>
      <c r="B75" s="4" t="n"/>
      <c r="C75" s="4" t="n"/>
      <c r="D75" s="4" t="n"/>
      <c r="E75" s="4" t="n"/>
      <c r="F75" s="9">
        <f>IF(A75="","",IF(AND(COUNT(B75:E75)=4,B75&gt;0,C75&gt;0,D75&gt;0,E75&gt;=0,ISNUMBER(Calculator!$B$8),Calculator!$B$8&gt;0),ROUNDUP(ROUND(B75*C75*D75/Calculator!$B$8,8),0),"Check inputs"))</f>
        <v/>
      </c>
      <c r="G75" s="9">
        <f>IF(A75="","",IF(AND(COUNT(B75:E75)=4,B75&gt;0,C75&gt;0,D75&gt;0,E75&gt;=0,ISNUMBER(Calculator!$B$8),Calculator!$B$8&gt;0),MAX(F75,ROUNDUP(ROUND(E75,8),0)),"Check inputs"))</f>
        <v/>
      </c>
      <c r="H75" s="9">
        <f>IF(A75="","",IF(AND(COUNT(B75:E75)=4,B75&gt;0,C75&gt;0,D75&gt;0,E75&gt;=0,ISNUMBER(Calculator!$B$8),Calculator!$B$8&gt;0),IF(F75&gt;ROUNDUP(ROUND(E75,8),0),"Dimensional","Actual"),"Check inputs"))</f>
        <v/>
      </c>
    </row>
    <row r="76">
      <c r="A76" s="4" t="n"/>
      <c r="B76" s="4" t="n"/>
      <c r="C76" s="4" t="n"/>
      <c r="D76" s="4" t="n"/>
      <c r="E76" s="4" t="n"/>
      <c r="F76" s="9">
        <f>IF(A76="","",IF(AND(COUNT(B76:E76)=4,B76&gt;0,C76&gt;0,D76&gt;0,E76&gt;=0,ISNUMBER(Calculator!$B$8),Calculator!$B$8&gt;0),ROUNDUP(ROUND(B76*C76*D76/Calculator!$B$8,8),0),"Check inputs"))</f>
        <v/>
      </c>
      <c r="G76" s="9">
        <f>IF(A76="","",IF(AND(COUNT(B76:E76)=4,B76&gt;0,C76&gt;0,D76&gt;0,E76&gt;=0,ISNUMBER(Calculator!$B$8),Calculator!$B$8&gt;0),MAX(F76,ROUNDUP(ROUND(E76,8),0)),"Check inputs"))</f>
        <v/>
      </c>
      <c r="H76" s="9">
        <f>IF(A76="","",IF(AND(COUNT(B76:E76)=4,B76&gt;0,C76&gt;0,D76&gt;0,E76&gt;=0,ISNUMBER(Calculator!$B$8),Calculator!$B$8&gt;0),IF(F76&gt;ROUNDUP(ROUND(E76,8),0),"Dimensional","Actual"),"Check inputs"))</f>
        <v/>
      </c>
    </row>
    <row r="77">
      <c r="A77" s="4" t="n"/>
      <c r="B77" s="4" t="n"/>
      <c r="C77" s="4" t="n"/>
      <c r="D77" s="4" t="n"/>
      <c r="E77" s="4" t="n"/>
      <c r="F77" s="9">
        <f>IF(A77="","",IF(AND(COUNT(B77:E77)=4,B77&gt;0,C77&gt;0,D77&gt;0,E77&gt;=0,ISNUMBER(Calculator!$B$8),Calculator!$B$8&gt;0),ROUNDUP(ROUND(B77*C77*D77/Calculator!$B$8,8),0),"Check inputs"))</f>
        <v/>
      </c>
      <c r="G77" s="9">
        <f>IF(A77="","",IF(AND(COUNT(B77:E77)=4,B77&gt;0,C77&gt;0,D77&gt;0,E77&gt;=0,ISNUMBER(Calculator!$B$8),Calculator!$B$8&gt;0),MAX(F77,ROUNDUP(ROUND(E77,8),0)),"Check inputs"))</f>
        <v/>
      </c>
      <c r="H77" s="9">
        <f>IF(A77="","",IF(AND(COUNT(B77:E77)=4,B77&gt;0,C77&gt;0,D77&gt;0,E77&gt;=0,ISNUMBER(Calculator!$B$8),Calculator!$B$8&gt;0),IF(F77&gt;ROUNDUP(ROUND(E77,8),0),"Dimensional","Actual"),"Check inputs"))</f>
        <v/>
      </c>
    </row>
    <row r="78">
      <c r="A78" s="4" t="n"/>
      <c r="B78" s="4" t="n"/>
      <c r="C78" s="4" t="n"/>
      <c r="D78" s="4" t="n"/>
      <c r="E78" s="4" t="n"/>
      <c r="F78" s="9">
        <f>IF(A78="","",IF(AND(COUNT(B78:E78)=4,B78&gt;0,C78&gt;0,D78&gt;0,E78&gt;=0,ISNUMBER(Calculator!$B$8),Calculator!$B$8&gt;0),ROUNDUP(ROUND(B78*C78*D78/Calculator!$B$8,8),0),"Check inputs"))</f>
        <v/>
      </c>
      <c r="G78" s="9">
        <f>IF(A78="","",IF(AND(COUNT(B78:E78)=4,B78&gt;0,C78&gt;0,D78&gt;0,E78&gt;=0,ISNUMBER(Calculator!$B$8),Calculator!$B$8&gt;0),MAX(F78,ROUNDUP(ROUND(E78,8),0)),"Check inputs"))</f>
        <v/>
      </c>
      <c r="H78" s="9">
        <f>IF(A78="","",IF(AND(COUNT(B78:E78)=4,B78&gt;0,C78&gt;0,D78&gt;0,E78&gt;=0,ISNUMBER(Calculator!$B$8),Calculator!$B$8&gt;0),IF(F78&gt;ROUNDUP(ROUND(E78,8),0),"Dimensional","Actual"),"Check inputs"))</f>
        <v/>
      </c>
    </row>
    <row r="79">
      <c r="A79" s="4" t="n"/>
      <c r="B79" s="4" t="n"/>
      <c r="C79" s="4" t="n"/>
      <c r="D79" s="4" t="n"/>
      <c r="E79" s="4" t="n"/>
      <c r="F79" s="9">
        <f>IF(A79="","",IF(AND(COUNT(B79:E79)=4,B79&gt;0,C79&gt;0,D79&gt;0,E79&gt;=0,ISNUMBER(Calculator!$B$8),Calculator!$B$8&gt;0),ROUNDUP(ROUND(B79*C79*D79/Calculator!$B$8,8),0),"Check inputs"))</f>
        <v/>
      </c>
      <c r="G79" s="9">
        <f>IF(A79="","",IF(AND(COUNT(B79:E79)=4,B79&gt;0,C79&gt;0,D79&gt;0,E79&gt;=0,ISNUMBER(Calculator!$B$8),Calculator!$B$8&gt;0),MAX(F79,ROUNDUP(ROUND(E79,8),0)),"Check inputs"))</f>
        <v/>
      </c>
      <c r="H79" s="9">
        <f>IF(A79="","",IF(AND(COUNT(B79:E79)=4,B79&gt;0,C79&gt;0,D79&gt;0,E79&gt;=0,ISNUMBER(Calculator!$B$8),Calculator!$B$8&gt;0),IF(F79&gt;ROUNDUP(ROUND(E79,8),0),"Dimensional","Actual"),"Check inputs"))</f>
        <v/>
      </c>
    </row>
    <row r="80">
      <c r="A80" s="4" t="n"/>
      <c r="B80" s="4" t="n"/>
      <c r="C80" s="4" t="n"/>
      <c r="D80" s="4" t="n"/>
      <c r="E80" s="4" t="n"/>
      <c r="F80" s="9">
        <f>IF(A80="","",IF(AND(COUNT(B80:E80)=4,B80&gt;0,C80&gt;0,D80&gt;0,E80&gt;=0,ISNUMBER(Calculator!$B$8),Calculator!$B$8&gt;0),ROUNDUP(ROUND(B80*C80*D80/Calculator!$B$8,8),0),"Check inputs"))</f>
        <v/>
      </c>
      <c r="G80" s="9">
        <f>IF(A80="","",IF(AND(COUNT(B80:E80)=4,B80&gt;0,C80&gt;0,D80&gt;0,E80&gt;=0,ISNUMBER(Calculator!$B$8),Calculator!$B$8&gt;0),MAX(F80,ROUNDUP(ROUND(E80,8),0)),"Check inputs"))</f>
        <v/>
      </c>
      <c r="H80" s="9">
        <f>IF(A80="","",IF(AND(COUNT(B80:E80)=4,B80&gt;0,C80&gt;0,D80&gt;0,E80&gt;=0,ISNUMBER(Calculator!$B$8),Calculator!$B$8&gt;0),IF(F80&gt;ROUNDUP(ROUND(E80,8),0),"Dimensional","Actual"),"Check inputs"))</f>
        <v/>
      </c>
    </row>
    <row r="81">
      <c r="A81" s="4" t="n"/>
      <c r="B81" s="4" t="n"/>
      <c r="C81" s="4" t="n"/>
      <c r="D81" s="4" t="n"/>
      <c r="E81" s="4" t="n"/>
      <c r="F81" s="9">
        <f>IF(A81="","",IF(AND(COUNT(B81:E81)=4,B81&gt;0,C81&gt;0,D81&gt;0,E81&gt;=0,ISNUMBER(Calculator!$B$8),Calculator!$B$8&gt;0),ROUNDUP(ROUND(B81*C81*D81/Calculator!$B$8,8),0),"Check inputs"))</f>
        <v/>
      </c>
      <c r="G81" s="9">
        <f>IF(A81="","",IF(AND(COUNT(B81:E81)=4,B81&gt;0,C81&gt;0,D81&gt;0,E81&gt;=0,ISNUMBER(Calculator!$B$8),Calculator!$B$8&gt;0),MAX(F81,ROUNDUP(ROUND(E81,8),0)),"Check inputs"))</f>
        <v/>
      </c>
      <c r="H81" s="9">
        <f>IF(A81="","",IF(AND(COUNT(B81:E81)=4,B81&gt;0,C81&gt;0,D81&gt;0,E81&gt;=0,ISNUMBER(Calculator!$B$8),Calculator!$B$8&gt;0),IF(F81&gt;ROUNDUP(ROUND(E81,8),0),"Dimensional","Actual"),"Check inputs"))</f>
        <v/>
      </c>
    </row>
    <row r="82">
      <c r="A82" s="4" t="n"/>
      <c r="B82" s="4" t="n"/>
      <c r="C82" s="4" t="n"/>
      <c r="D82" s="4" t="n"/>
      <c r="E82" s="4" t="n"/>
      <c r="F82" s="9">
        <f>IF(A82="","",IF(AND(COUNT(B82:E82)=4,B82&gt;0,C82&gt;0,D82&gt;0,E82&gt;=0,ISNUMBER(Calculator!$B$8),Calculator!$B$8&gt;0),ROUNDUP(ROUND(B82*C82*D82/Calculator!$B$8,8),0),"Check inputs"))</f>
        <v/>
      </c>
      <c r="G82" s="9">
        <f>IF(A82="","",IF(AND(COUNT(B82:E82)=4,B82&gt;0,C82&gt;0,D82&gt;0,E82&gt;=0,ISNUMBER(Calculator!$B$8),Calculator!$B$8&gt;0),MAX(F82,ROUNDUP(ROUND(E82,8),0)),"Check inputs"))</f>
        <v/>
      </c>
      <c r="H82" s="9">
        <f>IF(A82="","",IF(AND(COUNT(B82:E82)=4,B82&gt;0,C82&gt;0,D82&gt;0,E82&gt;=0,ISNUMBER(Calculator!$B$8),Calculator!$B$8&gt;0),IF(F82&gt;ROUNDUP(ROUND(E82,8),0),"Dimensional","Actual"),"Check inputs"))</f>
        <v/>
      </c>
    </row>
    <row r="83">
      <c r="A83" s="4" t="n"/>
      <c r="B83" s="4" t="n"/>
      <c r="C83" s="4" t="n"/>
      <c r="D83" s="4" t="n"/>
      <c r="E83" s="4" t="n"/>
      <c r="F83" s="9">
        <f>IF(A83="","",IF(AND(COUNT(B83:E83)=4,B83&gt;0,C83&gt;0,D83&gt;0,E83&gt;=0,ISNUMBER(Calculator!$B$8),Calculator!$B$8&gt;0),ROUNDUP(ROUND(B83*C83*D83/Calculator!$B$8,8),0),"Check inputs"))</f>
        <v/>
      </c>
      <c r="G83" s="9">
        <f>IF(A83="","",IF(AND(COUNT(B83:E83)=4,B83&gt;0,C83&gt;0,D83&gt;0,E83&gt;=0,ISNUMBER(Calculator!$B$8),Calculator!$B$8&gt;0),MAX(F83,ROUNDUP(ROUND(E83,8),0)),"Check inputs"))</f>
        <v/>
      </c>
      <c r="H83" s="9">
        <f>IF(A83="","",IF(AND(COUNT(B83:E83)=4,B83&gt;0,C83&gt;0,D83&gt;0,E83&gt;=0,ISNUMBER(Calculator!$B$8),Calculator!$B$8&gt;0),IF(F83&gt;ROUNDUP(ROUND(E83,8),0),"Dimensional","Actual"),"Check inputs"))</f>
        <v/>
      </c>
    </row>
    <row r="84">
      <c r="A84" s="4" t="n"/>
      <c r="B84" s="4" t="n"/>
      <c r="C84" s="4" t="n"/>
      <c r="D84" s="4" t="n"/>
      <c r="E84" s="4" t="n"/>
      <c r="F84" s="9">
        <f>IF(A84="","",IF(AND(COUNT(B84:E84)=4,B84&gt;0,C84&gt;0,D84&gt;0,E84&gt;=0,ISNUMBER(Calculator!$B$8),Calculator!$B$8&gt;0),ROUNDUP(ROUND(B84*C84*D84/Calculator!$B$8,8),0),"Check inputs"))</f>
        <v/>
      </c>
      <c r="G84" s="9">
        <f>IF(A84="","",IF(AND(COUNT(B84:E84)=4,B84&gt;0,C84&gt;0,D84&gt;0,E84&gt;=0,ISNUMBER(Calculator!$B$8),Calculator!$B$8&gt;0),MAX(F84,ROUNDUP(ROUND(E84,8),0)),"Check inputs"))</f>
        <v/>
      </c>
      <c r="H84" s="9">
        <f>IF(A84="","",IF(AND(COUNT(B84:E84)=4,B84&gt;0,C84&gt;0,D84&gt;0,E84&gt;=0,ISNUMBER(Calculator!$B$8),Calculator!$B$8&gt;0),IF(F84&gt;ROUNDUP(ROUND(E84,8),0),"Dimensional","Actual"),"Check inputs"))</f>
        <v/>
      </c>
    </row>
    <row r="85">
      <c r="A85" s="4" t="n"/>
      <c r="B85" s="4" t="n"/>
      <c r="C85" s="4" t="n"/>
      <c r="D85" s="4" t="n"/>
      <c r="E85" s="4" t="n"/>
      <c r="F85" s="9">
        <f>IF(A85="","",IF(AND(COUNT(B85:E85)=4,B85&gt;0,C85&gt;0,D85&gt;0,E85&gt;=0,ISNUMBER(Calculator!$B$8),Calculator!$B$8&gt;0),ROUNDUP(ROUND(B85*C85*D85/Calculator!$B$8,8),0),"Check inputs"))</f>
        <v/>
      </c>
      <c r="G85" s="9">
        <f>IF(A85="","",IF(AND(COUNT(B85:E85)=4,B85&gt;0,C85&gt;0,D85&gt;0,E85&gt;=0,ISNUMBER(Calculator!$B$8),Calculator!$B$8&gt;0),MAX(F85,ROUNDUP(ROUND(E85,8),0)),"Check inputs"))</f>
        <v/>
      </c>
      <c r="H85" s="9">
        <f>IF(A85="","",IF(AND(COUNT(B85:E85)=4,B85&gt;0,C85&gt;0,D85&gt;0,E85&gt;=0,ISNUMBER(Calculator!$B$8),Calculator!$B$8&gt;0),IF(F85&gt;ROUNDUP(ROUND(E85,8),0),"Dimensional","Actual"),"Check inputs"))</f>
        <v/>
      </c>
    </row>
    <row r="86">
      <c r="A86" s="4" t="n"/>
      <c r="B86" s="4" t="n"/>
      <c r="C86" s="4" t="n"/>
      <c r="D86" s="4" t="n"/>
      <c r="E86" s="4" t="n"/>
      <c r="F86" s="9">
        <f>IF(A86="","",IF(AND(COUNT(B86:E86)=4,B86&gt;0,C86&gt;0,D86&gt;0,E86&gt;=0,ISNUMBER(Calculator!$B$8),Calculator!$B$8&gt;0),ROUNDUP(ROUND(B86*C86*D86/Calculator!$B$8,8),0),"Check inputs"))</f>
        <v/>
      </c>
      <c r="G86" s="9">
        <f>IF(A86="","",IF(AND(COUNT(B86:E86)=4,B86&gt;0,C86&gt;0,D86&gt;0,E86&gt;=0,ISNUMBER(Calculator!$B$8),Calculator!$B$8&gt;0),MAX(F86,ROUNDUP(ROUND(E86,8),0)),"Check inputs"))</f>
        <v/>
      </c>
      <c r="H86" s="9">
        <f>IF(A86="","",IF(AND(COUNT(B86:E86)=4,B86&gt;0,C86&gt;0,D86&gt;0,E86&gt;=0,ISNUMBER(Calculator!$B$8),Calculator!$B$8&gt;0),IF(F86&gt;ROUNDUP(ROUND(E86,8),0),"Dimensional","Actual"),"Check inputs"))</f>
        <v/>
      </c>
    </row>
    <row r="87">
      <c r="A87" s="4" t="n"/>
      <c r="B87" s="4" t="n"/>
      <c r="C87" s="4" t="n"/>
      <c r="D87" s="4" t="n"/>
      <c r="E87" s="4" t="n"/>
      <c r="F87" s="9">
        <f>IF(A87="","",IF(AND(COUNT(B87:E87)=4,B87&gt;0,C87&gt;0,D87&gt;0,E87&gt;=0,ISNUMBER(Calculator!$B$8),Calculator!$B$8&gt;0),ROUNDUP(ROUND(B87*C87*D87/Calculator!$B$8,8),0),"Check inputs"))</f>
        <v/>
      </c>
      <c r="G87" s="9">
        <f>IF(A87="","",IF(AND(COUNT(B87:E87)=4,B87&gt;0,C87&gt;0,D87&gt;0,E87&gt;=0,ISNUMBER(Calculator!$B$8),Calculator!$B$8&gt;0),MAX(F87,ROUNDUP(ROUND(E87,8),0)),"Check inputs"))</f>
        <v/>
      </c>
      <c r="H87" s="9">
        <f>IF(A87="","",IF(AND(COUNT(B87:E87)=4,B87&gt;0,C87&gt;0,D87&gt;0,E87&gt;=0,ISNUMBER(Calculator!$B$8),Calculator!$B$8&gt;0),IF(F87&gt;ROUNDUP(ROUND(E87,8),0),"Dimensional","Actual"),"Check inputs"))</f>
        <v/>
      </c>
    </row>
    <row r="88">
      <c r="A88" s="4" t="n"/>
      <c r="B88" s="4" t="n"/>
      <c r="C88" s="4" t="n"/>
      <c r="D88" s="4" t="n"/>
      <c r="E88" s="4" t="n"/>
      <c r="F88" s="9">
        <f>IF(A88="","",IF(AND(COUNT(B88:E88)=4,B88&gt;0,C88&gt;0,D88&gt;0,E88&gt;=0,ISNUMBER(Calculator!$B$8),Calculator!$B$8&gt;0),ROUNDUP(ROUND(B88*C88*D88/Calculator!$B$8,8),0),"Check inputs"))</f>
        <v/>
      </c>
      <c r="G88" s="9">
        <f>IF(A88="","",IF(AND(COUNT(B88:E88)=4,B88&gt;0,C88&gt;0,D88&gt;0,E88&gt;=0,ISNUMBER(Calculator!$B$8),Calculator!$B$8&gt;0),MAX(F88,ROUNDUP(ROUND(E88,8),0)),"Check inputs"))</f>
        <v/>
      </c>
      <c r="H88" s="9">
        <f>IF(A88="","",IF(AND(COUNT(B88:E88)=4,B88&gt;0,C88&gt;0,D88&gt;0,E88&gt;=0,ISNUMBER(Calculator!$B$8),Calculator!$B$8&gt;0),IF(F88&gt;ROUNDUP(ROUND(E88,8),0),"Dimensional","Actual"),"Check inputs"))</f>
        <v/>
      </c>
    </row>
    <row r="89">
      <c r="A89" s="4" t="n"/>
      <c r="B89" s="4" t="n"/>
      <c r="C89" s="4" t="n"/>
      <c r="D89" s="4" t="n"/>
      <c r="E89" s="4" t="n"/>
      <c r="F89" s="9">
        <f>IF(A89="","",IF(AND(COUNT(B89:E89)=4,B89&gt;0,C89&gt;0,D89&gt;0,E89&gt;=0,ISNUMBER(Calculator!$B$8),Calculator!$B$8&gt;0),ROUNDUP(ROUND(B89*C89*D89/Calculator!$B$8,8),0),"Check inputs"))</f>
        <v/>
      </c>
      <c r="G89" s="9">
        <f>IF(A89="","",IF(AND(COUNT(B89:E89)=4,B89&gt;0,C89&gt;0,D89&gt;0,E89&gt;=0,ISNUMBER(Calculator!$B$8),Calculator!$B$8&gt;0),MAX(F89,ROUNDUP(ROUND(E89,8),0)),"Check inputs"))</f>
        <v/>
      </c>
      <c r="H89" s="9">
        <f>IF(A89="","",IF(AND(COUNT(B89:E89)=4,B89&gt;0,C89&gt;0,D89&gt;0,E89&gt;=0,ISNUMBER(Calculator!$B$8),Calculator!$B$8&gt;0),IF(F89&gt;ROUNDUP(ROUND(E89,8),0),"Dimensional","Actual"),"Check inputs"))</f>
        <v/>
      </c>
    </row>
    <row r="90">
      <c r="A90" s="4" t="n"/>
      <c r="B90" s="4" t="n"/>
      <c r="C90" s="4" t="n"/>
      <c r="D90" s="4" t="n"/>
      <c r="E90" s="4" t="n"/>
      <c r="F90" s="9">
        <f>IF(A90="","",IF(AND(COUNT(B90:E90)=4,B90&gt;0,C90&gt;0,D90&gt;0,E90&gt;=0,ISNUMBER(Calculator!$B$8),Calculator!$B$8&gt;0),ROUNDUP(ROUND(B90*C90*D90/Calculator!$B$8,8),0),"Check inputs"))</f>
        <v/>
      </c>
      <c r="G90" s="9">
        <f>IF(A90="","",IF(AND(COUNT(B90:E90)=4,B90&gt;0,C90&gt;0,D90&gt;0,E90&gt;=0,ISNUMBER(Calculator!$B$8),Calculator!$B$8&gt;0),MAX(F90,ROUNDUP(ROUND(E90,8),0)),"Check inputs"))</f>
        <v/>
      </c>
      <c r="H90" s="9">
        <f>IF(A90="","",IF(AND(COUNT(B90:E90)=4,B90&gt;0,C90&gt;0,D90&gt;0,E90&gt;=0,ISNUMBER(Calculator!$B$8),Calculator!$B$8&gt;0),IF(F90&gt;ROUNDUP(ROUND(E90,8),0),"Dimensional","Actual"),"Check inputs"))</f>
        <v/>
      </c>
    </row>
    <row r="91">
      <c r="A91" s="4" t="n"/>
      <c r="B91" s="4" t="n"/>
      <c r="C91" s="4" t="n"/>
      <c r="D91" s="4" t="n"/>
      <c r="E91" s="4" t="n"/>
      <c r="F91" s="9">
        <f>IF(A91="","",IF(AND(COUNT(B91:E91)=4,B91&gt;0,C91&gt;0,D91&gt;0,E91&gt;=0,ISNUMBER(Calculator!$B$8),Calculator!$B$8&gt;0),ROUNDUP(ROUND(B91*C91*D91/Calculator!$B$8,8),0),"Check inputs"))</f>
        <v/>
      </c>
      <c r="G91" s="9">
        <f>IF(A91="","",IF(AND(COUNT(B91:E91)=4,B91&gt;0,C91&gt;0,D91&gt;0,E91&gt;=0,ISNUMBER(Calculator!$B$8),Calculator!$B$8&gt;0),MAX(F91,ROUNDUP(ROUND(E91,8),0)),"Check inputs"))</f>
        <v/>
      </c>
      <c r="H91" s="9">
        <f>IF(A91="","",IF(AND(COUNT(B91:E91)=4,B91&gt;0,C91&gt;0,D91&gt;0,E91&gt;=0,ISNUMBER(Calculator!$B$8),Calculator!$B$8&gt;0),IF(F91&gt;ROUNDUP(ROUND(E91,8),0),"Dimensional","Actual"),"Check inputs"))</f>
        <v/>
      </c>
    </row>
    <row r="92">
      <c r="A92" s="4" t="n"/>
      <c r="B92" s="4" t="n"/>
      <c r="C92" s="4" t="n"/>
      <c r="D92" s="4" t="n"/>
      <c r="E92" s="4" t="n"/>
      <c r="F92" s="9">
        <f>IF(A92="","",IF(AND(COUNT(B92:E92)=4,B92&gt;0,C92&gt;0,D92&gt;0,E92&gt;=0,ISNUMBER(Calculator!$B$8),Calculator!$B$8&gt;0),ROUNDUP(ROUND(B92*C92*D92/Calculator!$B$8,8),0),"Check inputs"))</f>
        <v/>
      </c>
      <c r="G92" s="9">
        <f>IF(A92="","",IF(AND(COUNT(B92:E92)=4,B92&gt;0,C92&gt;0,D92&gt;0,E92&gt;=0,ISNUMBER(Calculator!$B$8),Calculator!$B$8&gt;0),MAX(F92,ROUNDUP(ROUND(E92,8),0)),"Check inputs"))</f>
        <v/>
      </c>
      <c r="H92" s="9">
        <f>IF(A92="","",IF(AND(COUNT(B92:E92)=4,B92&gt;0,C92&gt;0,D92&gt;0,E92&gt;=0,ISNUMBER(Calculator!$B$8),Calculator!$B$8&gt;0),IF(F92&gt;ROUNDUP(ROUND(E92,8),0),"Dimensional","Actual"),"Check inputs"))</f>
        <v/>
      </c>
    </row>
    <row r="93">
      <c r="A93" s="4" t="n"/>
      <c r="B93" s="4" t="n"/>
      <c r="C93" s="4" t="n"/>
      <c r="D93" s="4" t="n"/>
      <c r="E93" s="4" t="n"/>
      <c r="F93" s="9">
        <f>IF(A93="","",IF(AND(COUNT(B93:E93)=4,B93&gt;0,C93&gt;0,D93&gt;0,E93&gt;=0,ISNUMBER(Calculator!$B$8),Calculator!$B$8&gt;0),ROUNDUP(ROUND(B93*C93*D93/Calculator!$B$8,8),0),"Check inputs"))</f>
        <v/>
      </c>
      <c r="G93" s="9">
        <f>IF(A93="","",IF(AND(COUNT(B93:E93)=4,B93&gt;0,C93&gt;0,D93&gt;0,E93&gt;=0,ISNUMBER(Calculator!$B$8),Calculator!$B$8&gt;0),MAX(F93,ROUNDUP(ROUND(E93,8),0)),"Check inputs"))</f>
        <v/>
      </c>
      <c r="H93" s="9">
        <f>IF(A93="","",IF(AND(COUNT(B93:E93)=4,B93&gt;0,C93&gt;0,D93&gt;0,E93&gt;=0,ISNUMBER(Calculator!$B$8),Calculator!$B$8&gt;0),IF(F93&gt;ROUNDUP(ROUND(E93,8),0),"Dimensional","Actual"),"Check inputs"))</f>
        <v/>
      </c>
    </row>
    <row r="94">
      <c r="A94" s="4" t="n"/>
      <c r="B94" s="4" t="n"/>
      <c r="C94" s="4" t="n"/>
      <c r="D94" s="4" t="n"/>
      <c r="E94" s="4" t="n"/>
      <c r="F94" s="9">
        <f>IF(A94="","",IF(AND(COUNT(B94:E94)=4,B94&gt;0,C94&gt;0,D94&gt;0,E94&gt;=0,ISNUMBER(Calculator!$B$8),Calculator!$B$8&gt;0),ROUNDUP(ROUND(B94*C94*D94/Calculator!$B$8,8),0),"Check inputs"))</f>
        <v/>
      </c>
      <c r="G94" s="9">
        <f>IF(A94="","",IF(AND(COUNT(B94:E94)=4,B94&gt;0,C94&gt;0,D94&gt;0,E94&gt;=0,ISNUMBER(Calculator!$B$8),Calculator!$B$8&gt;0),MAX(F94,ROUNDUP(ROUND(E94,8),0)),"Check inputs"))</f>
        <v/>
      </c>
      <c r="H94" s="9">
        <f>IF(A94="","",IF(AND(COUNT(B94:E94)=4,B94&gt;0,C94&gt;0,D94&gt;0,E94&gt;=0,ISNUMBER(Calculator!$B$8),Calculator!$B$8&gt;0),IF(F94&gt;ROUNDUP(ROUND(E94,8),0),"Dimensional","Actual"),"Check inputs"))</f>
        <v/>
      </c>
    </row>
    <row r="95">
      <c r="A95" s="4" t="n"/>
      <c r="B95" s="4" t="n"/>
      <c r="C95" s="4" t="n"/>
      <c r="D95" s="4" t="n"/>
      <c r="E95" s="4" t="n"/>
      <c r="F95" s="9">
        <f>IF(A95="","",IF(AND(COUNT(B95:E95)=4,B95&gt;0,C95&gt;0,D95&gt;0,E95&gt;=0,ISNUMBER(Calculator!$B$8),Calculator!$B$8&gt;0),ROUNDUP(ROUND(B95*C95*D95/Calculator!$B$8,8),0),"Check inputs"))</f>
        <v/>
      </c>
      <c r="G95" s="9">
        <f>IF(A95="","",IF(AND(COUNT(B95:E95)=4,B95&gt;0,C95&gt;0,D95&gt;0,E95&gt;=0,ISNUMBER(Calculator!$B$8),Calculator!$B$8&gt;0),MAX(F95,ROUNDUP(ROUND(E95,8),0)),"Check inputs"))</f>
        <v/>
      </c>
      <c r="H95" s="9">
        <f>IF(A95="","",IF(AND(COUNT(B95:E95)=4,B95&gt;0,C95&gt;0,D95&gt;0,E95&gt;=0,ISNUMBER(Calculator!$B$8),Calculator!$B$8&gt;0),IF(F95&gt;ROUNDUP(ROUND(E95,8),0),"Dimensional","Actual"),"Check inputs"))</f>
        <v/>
      </c>
    </row>
    <row r="96">
      <c r="A96" s="4" t="n"/>
      <c r="B96" s="4" t="n"/>
      <c r="C96" s="4" t="n"/>
      <c r="D96" s="4" t="n"/>
      <c r="E96" s="4" t="n"/>
      <c r="F96" s="9">
        <f>IF(A96="","",IF(AND(COUNT(B96:E96)=4,B96&gt;0,C96&gt;0,D96&gt;0,E96&gt;=0,ISNUMBER(Calculator!$B$8),Calculator!$B$8&gt;0),ROUNDUP(ROUND(B96*C96*D96/Calculator!$B$8,8),0),"Check inputs"))</f>
        <v/>
      </c>
      <c r="G96" s="9">
        <f>IF(A96="","",IF(AND(COUNT(B96:E96)=4,B96&gt;0,C96&gt;0,D96&gt;0,E96&gt;=0,ISNUMBER(Calculator!$B$8),Calculator!$B$8&gt;0),MAX(F96,ROUNDUP(ROUND(E96,8),0)),"Check inputs"))</f>
        <v/>
      </c>
      <c r="H96" s="9">
        <f>IF(A96="","",IF(AND(COUNT(B96:E96)=4,B96&gt;0,C96&gt;0,D96&gt;0,E96&gt;=0,ISNUMBER(Calculator!$B$8),Calculator!$B$8&gt;0),IF(F96&gt;ROUNDUP(ROUND(E96,8),0),"Dimensional","Actual"),"Check inputs"))</f>
        <v/>
      </c>
    </row>
    <row r="97">
      <c r="A97" s="4" t="n"/>
      <c r="B97" s="4" t="n"/>
      <c r="C97" s="4" t="n"/>
      <c r="D97" s="4" t="n"/>
      <c r="E97" s="4" t="n"/>
      <c r="F97" s="9">
        <f>IF(A97="","",IF(AND(COUNT(B97:E97)=4,B97&gt;0,C97&gt;0,D97&gt;0,E97&gt;=0,ISNUMBER(Calculator!$B$8),Calculator!$B$8&gt;0),ROUNDUP(ROUND(B97*C97*D97/Calculator!$B$8,8),0),"Check inputs"))</f>
        <v/>
      </c>
      <c r="G97" s="9">
        <f>IF(A97="","",IF(AND(COUNT(B97:E97)=4,B97&gt;0,C97&gt;0,D97&gt;0,E97&gt;=0,ISNUMBER(Calculator!$B$8),Calculator!$B$8&gt;0),MAX(F97,ROUNDUP(ROUND(E97,8),0)),"Check inputs"))</f>
        <v/>
      </c>
      <c r="H97" s="9">
        <f>IF(A97="","",IF(AND(COUNT(B97:E97)=4,B97&gt;0,C97&gt;0,D97&gt;0,E97&gt;=0,ISNUMBER(Calculator!$B$8),Calculator!$B$8&gt;0),IF(F97&gt;ROUNDUP(ROUND(E97,8),0),"Dimensional","Actual"),"Check inputs"))</f>
        <v/>
      </c>
    </row>
    <row r="98">
      <c r="A98" s="4" t="n"/>
      <c r="B98" s="4" t="n"/>
      <c r="C98" s="4" t="n"/>
      <c r="D98" s="4" t="n"/>
      <c r="E98" s="4" t="n"/>
      <c r="F98" s="9">
        <f>IF(A98="","",IF(AND(COUNT(B98:E98)=4,B98&gt;0,C98&gt;0,D98&gt;0,E98&gt;=0,ISNUMBER(Calculator!$B$8),Calculator!$B$8&gt;0),ROUNDUP(ROUND(B98*C98*D98/Calculator!$B$8,8),0),"Check inputs"))</f>
        <v/>
      </c>
      <c r="G98" s="9">
        <f>IF(A98="","",IF(AND(COUNT(B98:E98)=4,B98&gt;0,C98&gt;0,D98&gt;0,E98&gt;=0,ISNUMBER(Calculator!$B$8),Calculator!$B$8&gt;0),MAX(F98,ROUNDUP(ROUND(E98,8),0)),"Check inputs"))</f>
        <v/>
      </c>
      <c r="H98" s="9">
        <f>IF(A98="","",IF(AND(COUNT(B98:E98)=4,B98&gt;0,C98&gt;0,D98&gt;0,E98&gt;=0,ISNUMBER(Calculator!$B$8),Calculator!$B$8&gt;0),IF(F98&gt;ROUNDUP(ROUND(E98,8),0),"Dimensional","Actual"),"Check inputs"))</f>
        <v/>
      </c>
    </row>
    <row r="99">
      <c r="A99" s="4" t="n"/>
      <c r="B99" s="4" t="n"/>
      <c r="C99" s="4" t="n"/>
      <c r="D99" s="4" t="n"/>
      <c r="E99" s="4" t="n"/>
      <c r="F99" s="9">
        <f>IF(A99="","",IF(AND(COUNT(B99:E99)=4,B99&gt;0,C99&gt;0,D99&gt;0,E99&gt;=0,ISNUMBER(Calculator!$B$8),Calculator!$B$8&gt;0),ROUNDUP(ROUND(B99*C99*D99/Calculator!$B$8,8),0),"Check inputs"))</f>
        <v/>
      </c>
      <c r="G99" s="9">
        <f>IF(A99="","",IF(AND(COUNT(B99:E99)=4,B99&gt;0,C99&gt;0,D99&gt;0,E99&gt;=0,ISNUMBER(Calculator!$B$8),Calculator!$B$8&gt;0),MAX(F99,ROUNDUP(ROUND(E99,8),0)),"Check inputs"))</f>
        <v/>
      </c>
      <c r="H99" s="9">
        <f>IF(A99="","",IF(AND(COUNT(B99:E99)=4,B99&gt;0,C99&gt;0,D99&gt;0,E99&gt;=0,ISNUMBER(Calculator!$B$8),Calculator!$B$8&gt;0),IF(F99&gt;ROUNDUP(ROUND(E99,8),0),"Dimensional","Actual"),"Check inputs"))</f>
        <v/>
      </c>
    </row>
    <row r="100">
      <c r="A100" s="4" t="n"/>
      <c r="B100" s="4" t="n"/>
      <c r="C100" s="4" t="n"/>
      <c r="D100" s="4" t="n"/>
      <c r="E100" s="4" t="n"/>
      <c r="F100" s="9">
        <f>IF(A100="","",IF(AND(COUNT(B100:E100)=4,B100&gt;0,C100&gt;0,D100&gt;0,E100&gt;=0,ISNUMBER(Calculator!$B$8),Calculator!$B$8&gt;0),ROUNDUP(ROUND(B100*C100*D100/Calculator!$B$8,8),0),"Check inputs"))</f>
        <v/>
      </c>
      <c r="G100" s="9">
        <f>IF(A100="","",IF(AND(COUNT(B100:E100)=4,B100&gt;0,C100&gt;0,D100&gt;0,E100&gt;=0,ISNUMBER(Calculator!$B$8),Calculator!$B$8&gt;0),MAX(F100,ROUNDUP(ROUND(E100,8),0)),"Check inputs"))</f>
        <v/>
      </c>
      <c r="H100" s="9">
        <f>IF(A100="","",IF(AND(COUNT(B100:E100)=4,B100&gt;0,C100&gt;0,D100&gt;0,E100&gt;=0,ISNUMBER(Calculator!$B$8),Calculator!$B$8&gt;0),IF(F100&gt;ROUNDUP(ROUND(E100,8),0),"Dimensional","Actual"),"Check inputs"))</f>
        <v/>
      </c>
    </row>
  </sheetData>
  <conditionalFormatting sqref="A2:H100">
    <cfRule type="expression" priority="1" dxfId="0">
      <formula>$H2="Dimensional"</formula>
    </cfRule>
    <cfRule type="expression" priority="2" dxfId="1">
      <formula>$H2="Check inputs"</formula>
    </cfRule>
  </conditionalFormatting>
  <conditionalFormatting sqref="K6">
    <cfRule type="expression" priority="3" dxfId="1">
      <formula>AND(K6&lt;&gt;"OK",K6&lt;&gt;"")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Tidy Tabs: Dimensional Weight and Billable Weight</t>
        </is>
      </c>
    </row>
    <row r="2">
      <c r="A2" s="13" t="inlineStr"/>
    </row>
    <row r="3">
      <c r="A3" s="13" t="inlineStr">
        <is>
          <t>1. Calculator tab: type length, width and height in inches, the actual weight in pounds and the divisor in the yellow cells B4:B8. The sample is a 12 x 10 x 8 in box that weighs 4.2 lb with divisor 139.</t>
        </is>
      </c>
    </row>
    <row r="4">
      <c r="A4" s="13" t="inlineStr">
        <is>
          <t>2. Dimensional weight, B11: =ROUNDUP(B4*B5*B6/B8,0). Length x width x height divided by the divisor, rounded up to the next whole pound. 12 x 10 x 8 = 960 cubic inches; 960 / 139 = 6.91, which rounds up to 7.</t>
        </is>
      </c>
    </row>
    <row r="5">
      <c r="A5" s="13" t="inlineStr">
        <is>
          <t>3. Actual weight, B12: =ROUNDUP(B7,0). 4.2 lb rounds up to 5.</t>
        </is>
      </c>
    </row>
    <row r="6">
      <c r="A6" s="13" t="inlineStr">
        <is>
          <t>4. Billable weight, B13: =MAX(B11,B12). The larger of the two. B14 shows which one applied (Dimensional, or Actual when they are equal or actual is larger).</t>
        </is>
      </c>
    </row>
    <row r="7">
      <c r="A7" s="13" t="inlineStr">
        <is>
          <t>5. In the file the division is wrapped in ROUND(...,8) before ROUNDUP, so a result that should be exactly 7 is not pushed to 8 by tiny floating point error.</t>
        </is>
      </c>
    </row>
    <row r="8">
      <c r="A8" s="13" t="inlineStr">
        <is>
          <t>6. If a size is blank, text, 0 or negative, or the divisor is not above 0, the results say Check inputs.</t>
        </is>
      </c>
    </row>
    <row r="9">
      <c r="A9" s="13" t="inlineStr">
        <is>
          <t>7. Packages tab: the same math for up to 99 boxes, using the divisor on the Calculator tab. K6 shows OK when every listed box has numbers.</t>
        </is>
      </c>
    </row>
    <row r="10">
      <c r="A10" s="13" t="inlineStr">
        <is>
          <t>8. The divisor is not a universal number. Carriers use different divisors for different services and change them, so check your carrier's current rule. This sheet does not give carrier rates or rules.</t>
        </is>
      </c>
    </row>
    <row r="11">
      <c r="A11" s="13" t="inlineStr"/>
    </row>
    <row r="12">
      <c r="A12" s="13" t="inlineStr">
        <is>
          <t>Boxes are fictional. Checked in LibreOffice Calc only; not opened in Excel or Google Sheets.</t>
        </is>
      </c>
    </row>
    <row r="13">
      <c r="A13" s="13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2026-10-24T07:32:28Z</dcterms:created>
  <dcterms:modified xsi:type="dcterms:W3CDTF">2026-10-24T07:32:28Z</dcterms:modified>
</cp:coreProperties>
</file>