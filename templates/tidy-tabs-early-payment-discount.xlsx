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unts" sheetId="1" state="visible" r:id="rId1"/>
    <sheet name="How to use" sheetId="2" state="visible" r:id="rId2"/>
  </sheets>
  <definedNames>
    <definedName name="_xlnm.Print_Titles" localSheetId="0">'Discounts'!$1:$1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&quot;$&quot;#,##0.00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5" fontId="0" fillId="4" borderId="0" pivotButton="0" quotePrefix="0" xfId="0"/>
    <xf numFmtId="166" fontId="0" fillId="4" borderId="0" pivotButton="0" quotePrefix="0" xfId="0"/>
    <xf numFmtId="0" fontId="0" fillId="4" borderId="0" pivotButton="0" quotePrefix="0" xfId="0"/>
    <xf numFmtId="167" fontId="0" fillId="3" borderId="0" pivotButton="0" quotePrefix="0" xfId="0"/>
    <xf numFmtId="1" fontId="0" fillId="4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D7DA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3" customWidth="1" min="9" max="9"/>
    <col width="16" customWidth="1" min="10" max="10"/>
    <col width="4" customWidth="1" min="11" max="11"/>
    <col width="32" customWidth="1" min="12" max="12"/>
    <col width="14" customWidth="1" min="13" max="13"/>
  </cols>
  <sheetData>
    <row r="1" ht="30" customHeight="1">
      <c r="A1" s="1" t="inlineStr">
        <is>
          <t>Invoice</t>
        </is>
      </c>
      <c r="B1" s="1" t="inlineStr">
        <is>
          <t>Client</t>
        </is>
      </c>
      <c r="C1" s="1" t="inlineStr">
        <is>
          <t>Invoice date</t>
        </is>
      </c>
      <c r="D1" s="1" t="inlineStr">
        <is>
          <t>Amount</t>
        </is>
      </c>
      <c r="E1" s="1" t="inlineStr">
        <is>
          <t>Paid date</t>
        </is>
      </c>
      <c r="F1" s="1" t="inlineStr">
        <is>
          <t>Discount deadline</t>
        </is>
      </c>
      <c r="G1" s="1" t="inlineStr">
        <is>
          <t>Discount amount</t>
        </is>
      </c>
      <c r="H1" s="1" t="inlineStr">
        <is>
          <t>Pay by deadline</t>
        </is>
      </c>
      <c r="I1" s="1" t="inlineStr">
        <is>
          <t>Full amount due date</t>
        </is>
      </c>
      <c r="J1" s="1" t="inlineStr">
        <is>
          <t>Status</t>
        </is>
      </c>
      <c r="L1" s="2" t="inlineStr">
        <is>
          <t>Terms and totals</t>
        </is>
      </c>
    </row>
    <row r="2">
      <c r="A2" s="3" t="inlineStr">
        <is>
          <t>INV-3001</t>
        </is>
      </c>
      <c r="B2" s="3" t="inlineStr">
        <is>
          <t>Maple Street Bakery</t>
        </is>
      </c>
      <c r="C2" s="4" t="n">
        <v>46266</v>
      </c>
      <c r="D2" s="5" t="n">
        <v>1250</v>
      </c>
      <c r="E2" s="4" t="n">
        <v>46274</v>
      </c>
      <c r="F2" s="6">
        <f>IF(C2="","",C2+$M$3)</f>
        <v/>
      </c>
      <c r="G2" s="7">
        <f>IF(OR(C2="",NOT(ISNUMBER(D2))),"",ROUND(D2*$M$2,2))</f>
        <v/>
      </c>
      <c r="H2" s="7">
        <f>IF(G2="","",D2-G2)</f>
        <v/>
      </c>
      <c r="I2" s="6">
        <f>IF(C2="","",C2+$M$4)</f>
        <v/>
      </c>
      <c r="J2" s="8">
        <f>IF(OR(C2="",G2=""),"",IF(E2="","Open",IF(E2&lt;=F2,"Discount earned","Full amount")))</f>
        <v/>
      </c>
      <c r="L2" t="inlineStr">
        <is>
          <t>Discount rate</t>
        </is>
      </c>
      <c r="M2" s="9" t="n">
        <v>0.02</v>
      </c>
    </row>
    <row r="3">
      <c r="A3" s="3" t="inlineStr">
        <is>
          <t>INV-3002</t>
        </is>
      </c>
      <c r="B3" s="3" t="inlineStr">
        <is>
          <t>Harbor Yoga Studio</t>
        </is>
      </c>
      <c r="C3" s="4" t="n">
        <v>46268</v>
      </c>
      <c r="D3" s="5" t="n">
        <v>480</v>
      </c>
      <c r="E3" s="4" t="n">
        <v>46285</v>
      </c>
      <c r="F3" s="6">
        <f>IF(C3="","",C3+$M$3)</f>
        <v/>
      </c>
      <c r="G3" s="7">
        <f>IF(OR(C3="",NOT(ISNUMBER(D3))),"",ROUND(D3*$M$2,2))</f>
        <v/>
      </c>
      <c r="H3" s="7">
        <f>IF(G3="","",D3-G3)</f>
        <v/>
      </c>
      <c r="I3" s="6">
        <f>IF(C3="","",C3+$M$4)</f>
        <v/>
      </c>
      <c r="J3" s="8">
        <f>IF(OR(C3="",G3=""),"",IF(E3="","Open",IF(E3&lt;=F3,"Discount earned","Full amount")))</f>
        <v/>
      </c>
      <c r="L3" t="inlineStr">
        <is>
          <t>Discount days</t>
        </is>
      </c>
      <c r="M3" s="3" t="n">
        <v>10</v>
      </c>
    </row>
    <row r="4">
      <c r="A4" s="3" t="inlineStr">
        <is>
          <t>INV-3003</t>
        </is>
      </c>
      <c r="B4" s="3" t="inlineStr">
        <is>
          <t>Birch Design Co</t>
        </is>
      </c>
      <c r="C4" s="4" t="n">
        <v>46273</v>
      </c>
      <c r="D4" s="5" t="n">
        <v>2200</v>
      </c>
      <c r="E4" s="4" t="n">
        <v>46283</v>
      </c>
      <c r="F4" s="6">
        <f>IF(C4="","",C4+$M$3)</f>
        <v/>
      </c>
      <c r="G4" s="7">
        <f>IF(OR(C4="",NOT(ISNUMBER(D4))),"",ROUND(D4*$M$2,2))</f>
        <v/>
      </c>
      <c r="H4" s="7">
        <f>IF(G4="","",D4-G4)</f>
        <v/>
      </c>
      <c r="I4" s="6">
        <f>IF(C4="","",C4+$M$4)</f>
        <v/>
      </c>
      <c r="J4" s="8">
        <f>IF(OR(C4="",G4=""),"",IF(E4="","Open",IF(E4&lt;=F4,"Discount earned","Full amount")))</f>
        <v/>
      </c>
      <c r="L4" t="inlineStr">
        <is>
          <t>Net days (full amount due)</t>
        </is>
      </c>
      <c r="M4" s="3" t="n">
        <v>30</v>
      </c>
    </row>
    <row r="5">
      <c r="A5" s="3" t="inlineStr">
        <is>
          <t>INV-3004</t>
        </is>
      </c>
      <c r="B5" s="3" t="inlineStr">
        <is>
          <t>Lantern Print Shop</t>
        </is>
      </c>
      <c r="C5" s="4" t="n">
        <v>46280</v>
      </c>
      <c r="D5" s="5" t="n">
        <v>835.5</v>
      </c>
      <c r="E5" s="4" t="n">
        <v>46295</v>
      </c>
      <c r="F5" s="6">
        <f>IF(C5="","",C5+$M$3)</f>
        <v/>
      </c>
      <c r="G5" s="7">
        <f>IF(OR(C5="",NOT(ISNUMBER(D5))),"",ROUND(D5*$M$2,2))</f>
        <v/>
      </c>
      <c r="H5" s="7">
        <f>IF(G5="","",D5-G5)</f>
        <v/>
      </c>
      <c r="I5" s="6">
        <f>IF(C5="","",C5+$M$4)</f>
        <v/>
      </c>
      <c r="J5" s="8">
        <f>IF(OR(C5="",G5=""),"",IF(E5="","Open",IF(E5&lt;=F5,"Discount earned","Full amount")))</f>
        <v/>
      </c>
    </row>
    <row r="6">
      <c r="A6" s="3" t="inlineStr">
        <is>
          <t>INV-3005</t>
        </is>
      </c>
      <c r="B6" s="3" t="inlineStr">
        <is>
          <t>Cedar Row Realty</t>
        </is>
      </c>
      <c r="C6" s="4" t="n">
        <v>46287</v>
      </c>
      <c r="D6" s="5" t="n">
        <v>960</v>
      </c>
      <c r="E6" s="4" t="n">
        <v>46295</v>
      </c>
      <c r="F6" s="6">
        <f>IF(C6="","",C6+$M$3)</f>
        <v/>
      </c>
      <c r="G6" s="7">
        <f>IF(OR(C6="",NOT(ISNUMBER(D6))),"",ROUND(D6*$M$2,2))</f>
        <v/>
      </c>
      <c r="H6" s="7">
        <f>IF(G6="","",D6-G6)</f>
        <v/>
      </c>
      <c r="I6" s="6">
        <f>IF(C6="","",C6+$M$4)</f>
        <v/>
      </c>
      <c r="J6" s="8">
        <f>IF(OR(C6="",G6=""),"",IF(E6="","Open",IF(E6&lt;=F6,"Discount earned","Full amount")))</f>
        <v/>
      </c>
      <c r="L6" t="inlineStr">
        <is>
          <t>Discounts taken by clients</t>
        </is>
      </c>
      <c r="M6" s="7">
        <f>SUMIF(J2:J25,"Discount earned",G2:G25)</f>
        <v/>
      </c>
    </row>
    <row r="7">
      <c r="A7" s="3" t="inlineStr">
        <is>
          <t>INV-3006</t>
        </is>
      </c>
      <c r="B7" s="3" t="inlineStr">
        <is>
          <t>Willow Pet Care</t>
        </is>
      </c>
      <c r="C7" s="4" t="n">
        <v>46296</v>
      </c>
      <c r="D7" s="5" t="n">
        <v>312.5</v>
      </c>
      <c r="E7" s="4" t="n"/>
      <c r="F7" s="6">
        <f>IF(C7="","",C7+$M$3)</f>
        <v/>
      </c>
      <c r="G7" s="7">
        <f>IF(OR(C7="",NOT(ISNUMBER(D7))),"",ROUND(D7*$M$2,2))</f>
        <v/>
      </c>
      <c r="H7" s="7">
        <f>IF(G7="","",D7-G7)</f>
        <v/>
      </c>
      <c r="I7" s="6">
        <f>IF(C7="","",C7+$M$4)</f>
        <v/>
      </c>
      <c r="J7" s="8">
        <f>IF(OR(C7="",G7=""),"",IF(E7="","Open",IF(E7&lt;=F7,"Discount earned","Full amount")))</f>
        <v/>
      </c>
      <c r="L7" t="inlineStr">
        <is>
          <t>Discounts missed</t>
        </is>
      </c>
      <c r="M7" s="7">
        <f>SUMIF(J2:J25,"Full amount",G2:G25)</f>
        <v/>
      </c>
    </row>
    <row r="8">
      <c r="A8" s="3" t="inlineStr">
        <is>
          <t>INV-3007</t>
        </is>
      </c>
      <c r="B8" s="3" t="inlineStr">
        <is>
          <t>Granite Fitness</t>
        </is>
      </c>
      <c r="C8" s="4" t="n">
        <v>46300</v>
      </c>
      <c r="D8" s="5" t="n">
        <v>1480</v>
      </c>
      <c r="E8" s="4" t="n"/>
      <c r="F8" s="6">
        <f>IF(C8="","",C8+$M$3)</f>
        <v/>
      </c>
      <c r="G8" s="7">
        <f>IF(OR(C8="",NOT(ISNUMBER(D8))),"",ROUND(D8*$M$2,2))</f>
        <v/>
      </c>
      <c r="H8" s="7">
        <f>IF(G8="","",D8-G8)</f>
        <v/>
      </c>
      <c r="I8" s="6">
        <f>IF(C8="","",C8+$M$4)</f>
        <v/>
      </c>
      <c r="J8" s="8">
        <f>IF(OR(C8="",G8=""),"",IF(E8="","Open",IF(E8&lt;=F8,"Discount earned","Full amount")))</f>
        <v/>
      </c>
      <c r="L8" t="inlineStr">
        <is>
          <t>Discount still available (open)</t>
        </is>
      </c>
      <c r="M8" s="7">
        <f>SUMIF(J2:J25,"Open",G2:G25)</f>
        <v/>
      </c>
    </row>
    <row r="9">
      <c r="A9" s="3" t="inlineStr">
        <is>
          <t>INV-3008</t>
        </is>
      </c>
      <c r="B9" s="3" t="inlineStr">
        <is>
          <t>Juniper Books</t>
        </is>
      </c>
      <c r="C9" s="4" t="n">
        <v>46304</v>
      </c>
      <c r="D9" s="5" t="n">
        <v>725.4</v>
      </c>
      <c r="E9" s="4" t="n"/>
      <c r="F9" s="6">
        <f>IF(C9="","",C9+$M$3)</f>
        <v/>
      </c>
      <c r="G9" s="7">
        <f>IF(OR(C9="",NOT(ISNUMBER(D9))),"",ROUND(D9*$M$2,2))</f>
        <v/>
      </c>
      <c r="H9" s="7">
        <f>IF(G9="","",D9-G9)</f>
        <v/>
      </c>
      <c r="I9" s="6">
        <f>IF(C9="","",C9+$M$4)</f>
        <v/>
      </c>
      <c r="J9" s="8">
        <f>IF(OR(C9="",G9=""),"",IF(E9="","Open",IF(E9&lt;=F9,"Discount earned","Full amount")))</f>
        <v/>
      </c>
      <c r="L9" t="inlineStr">
        <is>
          <t>Open invoices</t>
        </is>
      </c>
      <c r="M9" s="10">
        <f>COUNTIF(J2:J25,"Open")</f>
        <v/>
      </c>
    </row>
    <row r="10">
      <c r="A10" s="3" t="n"/>
      <c r="B10" s="3" t="n"/>
      <c r="C10" s="4" t="n"/>
      <c r="D10" s="5" t="n"/>
      <c r="E10" s="4" t="n"/>
      <c r="F10" s="6">
        <f>IF(C10="","",C10+$M$3)</f>
        <v/>
      </c>
      <c r="G10" s="7">
        <f>IF(OR(C10="",NOT(ISNUMBER(D10))),"",ROUND(D10*$M$2,2))</f>
        <v/>
      </c>
      <c r="H10" s="7">
        <f>IF(G10="","",D10-G10)</f>
        <v/>
      </c>
      <c r="I10" s="6">
        <f>IF(C10="","",C10+$M$4)</f>
        <v/>
      </c>
      <c r="J10" s="8">
        <f>IF(OR(C10="",G10=""),"",IF(E10="","Open",IF(E10&lt;=F10,"Discount earned","Full amount")))</f>
        <v/>
      </c>
    </row>
    <row r="11">
      <c r="A11" s="3" t="n"/>
      <c r="B11" s="3" t="n"/>
      <c r="C11" s="4" t="n"/>
      <c r="D11" s="5" t="n"/>
      <c r="E11" s="4" t="n"/>
      <c r="F11" s="6">
        <f>IF(C11="","",C11+$M$3)</f>
        <v/>
      </c>
      <c r="G11" s="7">
        <f>IF(OR(C11="",NOT(ISNUMBER(D11))),"",ROUND(D11*$M$2,2))</f>
        <v/>
      </c>
      <c r="H11" s="7">
        <f>IF(G11="","",D11-G11)</f>
        <v/>
      </c>
      <c r="I11" s="6">
        <f>IF(C11="","",C11+$M$4)</f>
        <v/>
      </c>
      <c r="J11" s="8">
        <f>IF(OR(C11="",G11=""),"",IF(E11="","Open",IF(E11&lt;=F11,"Discount earned","Full amount")))</f>
        <v/>
      </c>
    </row>
    <row r="12">
      <c r="A12" s="3" t="n"/>
      <c r="B12" s="3" t="n"/>
      <c r="C12" s="4" t="n"/>
      <c r="D12" s="5" t="n"/>
      <c r="E12" s="4" t="n"/>
      <c r="F12" s="6">
        <f>IF(C12="","",C12+$M$3)</f>
        <v/>
      </c>
      <c r="G12" s="7">
        <f>IF(OR(C12="",NOT(ISNUMBER(D12))),"",ROUND(D12*$M$2,2))</f>
        <v/>
      </c>
      <c r="H12" s="7">
        <f>IF(G12="","",D12-G12)</f>
        <v/>
      </c>
      <c r="I12" s="6">
        <f>IF(C12="","",C12+$M$4)</f>
        <v/>
      </c>
      <c r="J12" s="8">
        <f>IF(OR(C12="",G12=""),"",IF(E12="","Open",IF(E12&lt;=F12,"Discount earned","Full amount")))</f>
        <v/>
      </c>
    </row>
    <row r="13">
      <c r="A13" s="3" t="n"/>
      <c r="B13" s="3" t="n"/>
      <c r="C13" s="4" t="n"/>
      <c r="D13" s="5" t="n"/>
      <c r="E13" s="4" t="n"/>
      <c r="F13" s="6">
        <f>IF(C13="","",C13+$M$3)</f>
        <v/>
      </c>
      <c r="G13" s="7">
        <f>IF(OR(C13="",NOT(ISNUMBER(D13))),"",ROUND(D13*$M$2,2))</f>
        <v/>
      </c>
      <c r="H13" s="7">
        <f>IF(G13="","",D13-G13)</f>
        <v/>
      </c>
      <c r="I13" s="6">
        <f>IF(C13="","",C13+$M$4)</f>
        <v/>
      </c>
      <c r="J13" s="8">
        <f>IF(OR(C13="",G13=""),"",IF(E13="","Open",IF(E13&lt;=F13,"Discount earned","Full amount")))</f>
        <v/>
      </c>
    </row>
    <row r="14">
      <c r="A14" s="3" t="n"/>
      <c r="B14" s="3" t="n"/>
      <c r="C14" s="4" t="n"/>
      <c r="D14" s="5" t="n"/>
      <c r="E14" s="4" t="n"/>
      <c r="F14" s="6">
        <f>IF(C14="","",C14+$M$3)</f>
        <v/>
      </c>
      <c r="G14" s="7">
        <f>IF(OR(C14="",NOT(ISNUMBER(D14))),"",ROUND(D14*$M$2,2))</f>
        <v/>
      </c>
      <c r="H14" s="7">
        <f>IF(G14="","",D14-G14)</f>
        <v/>
      </c>
      <c r="I14" s="6">
        <f>IF(C14="","",C14+$M$4)</f>
        <v/>
      </c>
      <c r="J14" s="8">
        <f>IF(OR(C14="",G14=""),"",IF(E14="","Open",IF(E14&lt;=F14,"Discount earned","Full amount")))</f>
        <v/>
      </c>
    </row>
    <row r="15">
      <c r="A15" s="3" t="n"/>
      <c r="B15" s="3" t="n"/>
      <c r="C15" s="4" t="n"/>
      <c r="D15" s="5" t="n"/>
      <c r="E15" s="4" t="n"/>
      <c r="F15" s="6">
        <f>IF(C15="","",C15+$M$3)</f>
        <v/>
      </c>
      <c r="G15" s="7">
        <f>IF(OR(C15="",NOT(ISNUMBER(D15))),"",ROUND(D15*$M$2,2))</f>
        <v/>
      </c>
      <c r="H15" s="7">
        <f>IF(G15="","",D15-G15)</f>
        <v/>
      </c>
      <c r="I15" s="6">
        <f>IF(C15="","",C15+$M$4)</f>
        <v/>
      </c>
      <c r="J15" s="8">
        <f>IF(OR(C15="",G15=""),"",IF(E15="","Open",IF(E15&lt;=F15,"Discount earned","Full amount")))</f>
        <v/>
      </c>
    </row>
    <row r="16">
      <c r="A16" s="3" t="n"/>
      <c r="B16" s="3" t="n"/>
      <c r="C16" s="4" t="n"/>
      <c r="D16" s="5" t="n"/>
      <c r="E16" s="4" t="n"/>
      <c r="F16" s="6">
        <f>IF(C16="","",C16+$M$3)</f>
        <v/>
      </c>
      <c r="G16" s="7">
        <f>IF(OR(C16="",NOT(ISNUMBER(D16))),"",ROUND(D16*$M$2,2))</f>
        <v/>
      </c>
      <c r="H16" s="7">
        <f>IF(G16="","",D16-G16)</f>
        <v/>
      </c>
      <c r="I16" s="6">
        <f>IF(C16="","",C16+$M$4)</f>
        <v/>
      </c>
      <c r="J16" s="8">
        <f>IF(OR(C16="",G16=""),"",IF(E16="","Open",IF(E16&lt;=F16,"Discount earned","Full amount")))</f>
        <v/>
      </c>
    </row>
    <row r="17">
      <c r="A17" s="3" t="n"/>
      <c r="B17" s="3" t="n"/>
      <c r="C17" s="4" t="n"/>
      <c r="D17" s="5" t="n"/>
      <c r="E17" s="4" t="n"/>
      <c r="F17" s="6">
        <f>IF(C17="","",C17+$M$3)</f>
        <v/>
      </c>
      <c r="G17" s="7">
        <f>IF(OR(C17="",NOT(ISNUMBER(D17))),"",ROUND(D17*$M$2,2))</f>
        <v/>
      </c>
      <c r="H17" s="7">
        <f>IF(G17="","",D17-G17)</f>
        <v/>
      </c>
      <c r="I17" s="6">
        <f>IF(C17="","",C17+$M$4)</f>
        <v/>
      </c>
      <c r="J17" s="8">
        <f>IF(OR(C17="",G17=""),"",IF(E17="","Open",IF(E17&lt;=F17,"Discount earned","Full amount")))</f>
        <v/>
      </c>
    </row>
    <row r="18">
      <c r="A18" s="3" t="n"/>
      <c r="B18" s="3" t="n"/>
      <c r="C18" s="4" t="n"/>
      <c r="D18" s="5" t="n"/>
      <c r="E18" s="4" t="n"/>
      <c r="F18" s="6">
        <f>IF(C18="","",C18+$M$3)</f>
        <v/>
      </c>
      <c r="G18" s="7">
        <f>IF(OR(C18="",NOT(ISNUMBER(D18))),"",ROUND(D18*$M$2,2))</f>
        <v/>
      </c>
      <c r="H18" s="7">
        <f>IF(G18="","",D18-G18)</f>
        <v/>
      </c>
      <c r="I18" s="6">
        <f>IF(C18="","",C18+$M$4)</f>
        <v/>
      </c>
      <c r="J18" s="8">
        <f>IF(OR(C18="",G18=""),"",IF(E18="","Open",IF(E18&lt;=F18,"Discount earned","Full amount")))</f>
        <v/>
      </c>
    </row>
    <row r="19">
      <c r="A19" s="3" t="n"/>
      <c r="B19" s="3" t="n"/>
      <c r="C19" s="4" t="n"/>
      <c r="D19" s="5" t="n"/>
      <c r="E19" s="4" t="n"/>
      <c r="F19" s="6">
        <f>IF(C19="","",C19+$M$3)</f>
        <v/>
      </c>
      <c r="G19" s="7">
        <f>IF(OR(C19="",NOT(ISNUMBER(D19))),"",ROUND(D19*$M$2,2))</f>
        <v/>
      </c>
      <c r="H19" s="7">
        <f>IF(G19="","",D19-G19)</f>
        <v/>
      </c>
      <c r="I19" s="6">
        <f>IF(C19="","",C19+$M$4)</f>
        <v/>
      </c>
      <c r="J19" s="8">
        <f>IF(OR(C19="",G19=""),"",IF(E19="","Open",IF(E19&lt;=F19,"Discount earned","Full amount")))</f>
        <v/>
      </c>
    </row>
    <row r="20">
      <c r="A20" s="3" t="n"/>
      <c r="B20" s="3" t="n"/>
      <c r="C20" s="4" t="n"/>
      <c r="D20" s="5" t="n"/>
      <c r="E20" s="4" t="n"/>
      <c r="F20" s="6">
        <f>IF(C20="","",C20+$M$3)</f>
        <v/>
      </c>
      <c r="G20" s="7">
        <f>IF(OR(C20="",NOT(ISNUMBER(D20))),"",ROUND(D20*$M$2,2))</f>
        <v/>
      </c>
      <c r="H20" s="7">
        <f>IF(G20="","",D20-G20)</f>
        <v/>
      </c>
      <c r="I20" s="6">
        <f>IF(C20="","",C20+$M$4)</f>
        <v/>
      </c>
      <c r="J20" s="8">
        <f>IF(OR(C20="",G20=""),"",IF(E20="","Open",IF(E20&lt;=F20,"Discount earned","Full amount")))</f>
        <v/>
      </c>
    </row>
    <row r="21">
      <c r="A21" s="3" t="n"/>
      <c r="B21" s="3" t="n"/>
      <c r="C21" s="4" t="n"/>
      <c r="D21" s="5" t="n"/>
      <c r="E21" s="4" t="n"/>
      <c r="F21" s="6">
        <f>IF(C21="","",C21+$M$3)</f>
        <v/>
      </c>
      <c r="G21" s="7">
        <f>IF(OR(C21="",NOT(ISNUMBER(D21))),"",ROUND(D21*$M$2,2))</f>
        <v/>
      </c>
      <c r="H21" s="7">
        <f>IF(G21="","",D21-G21)</f>
        <v/>
      </c>
      <c r="I21" s="6">
        <f>IF(C21="","",C21+$M$4)</f>
        <v/>
      </c>
      <c r="J21" s="8">
        <f>IF(OR(C21="",G21=""),"",IF(E21="","Open",IF(E21&lt;=F21,"Discount earned","Full amount")))</f>
        <v/>
      </c>
    </row>
    <row r="22">
      <c r="A22" s="3" t="n"/>
      <c r="B22" s="3" t="n"/>
      <c r="C22" s="4" t="n"/>
      <c r="D22" s="5" t="n"/>
      <c r="E22" s="4" t="n"/>
      <c r="F22" s="6">
        <f>IF(C22="","",C22+$M$3)</f>
        <v/>
      </c>
      <c r="G22" s="7">
        <f>IF(OR(C22="",NOT(ISNUMBER(D22))),"",ROUND(D22*$M$2,2))</f>
        <v/>
      </c>
      <c r="H22" s="7">
        <f>IF(G22="","",D22-G22)</f>
        <v/>
      </c>
      <c r="I22" s="6">
        <f>IF(C22="","",C22+$M$4)</f>
        <v/>
      </c>
      <c r="J22" s="8">
        <f>IF(OR(C22="",G22=""),"",IF(E22="","Open",IF(E22&lt;=F22,"Discount earned","Full amount")))</f>
        <v/>
      </c>
    </row>
    <row r="23">
      <c r="A23" s="3" t="n"/>
      <c r="B23" s="3" t="n"/>
      <c r="C23" s="4" t="n"/>
      <c r="D23" s="5" t="n"/>
      <c r="E23" s="4" t="n"/>
      <c r="F23" s="6">
        <f>IF(C23="","",C23+$M$3)</f>
        <v/>
      </c>
      <c r="G23" s="7">
        <f>IF(OR(C23="",NOT(ISNUMBER(D23))),"",ROUND(D23*$M$2,2))</f>
        <v/>
      </c>
      <c r="H23" s="7">
        <f>IF(G23="","",D23-G23)</f>
        <v/>
      </c>
      <c r="I23" s="6">
        <f>IF(C23="","",C23+$M$4)</f>
        <v/>
      </c>
      <c r="J23" s="8">
        <f>IF(OR(C23="",G23=""),"",IF(E23="","Open",IF(E23&lt;=F23,"Discount earned","Full amount")))</f>
        <v/>
      </c>
    </row>
    <row r="24">
      <c r="A24" s="3" t="n"/>
      <c r="B24" s="3" t="n"/>
      <c r="C24" s="4" t="n"/>
      <c r="D24" s="5" t="n"/>
      <c r="E24" s="4" t="n"/>
      <c r="F24" s="6">
        <f>IF(C24="","",C24+$M$3)</f>
        <v/>
      </c>
      <c r="G24" s="7">
        <f>IF(OR(C24="",NOT(ISNUMBER(D24))),"",ROUND(D24*$M$2,2))</f>
        <v/>
      </c>
      <c r="H24" s="7">
        <f>IF(G24="","",D24-G24)</f>
        <v/>
      </c>
      <c r="I24" s="6">
        <f>IF(C24="","",C24+$M$4)</f>
        <v/>
      </c>
      <c r="J24" s="8">
        <f>IF(OR(C24="",G24=""),"",IF(E24="","Open",IF(E24&lt;=F24,"Discount earned","Full amount")))</f>
        <v/>
      </c>
    </row>
    <row r="25">
      <c r="A25" s="3" t="n"/>
      <c r="B25" s="3" t="n"/>
      <c r="C25" s="4" t="n"/>
      <c r="D25" s="5" t="n"/>
      <c r="E25" s="4" t="n"/>
      <c r="F25" s="6">
        <f>IF(C25="","",C25+$M$3)</f>
        <v/>
      </c>
      <c r="G25" s="7">
        <f>IF(OR(C25="",NOT(ISNUMBER(D25))),"",ROUND(D25*$M$2,2))</f>
        <v/>
      </c>
      <c r="H25" s="7">
        <f>IF(G25="","",D25-G25)</f>
        <v/>
      </c>
      <c r="I25" s="6">
        <f>IF(C25="","",C25+$M$4)</f>
        <v/>
      </c>
      <c r="J25" s="8">
        <f>IF(OR(C25="",G25=""),"",IF(E25="","Open",IF(E25&lt;=F25,"Discount earned","Full amount")))</f>
        <v/>
      </c>
    </row>
  </sheetData>
  <conditionalFormatting sqref="J2:J25">
    <cfRule type="expression" priority="1" dxfId="0">
      <formula>J2="Full amount"</formula>
    </cfRule>
    <cfRule type="expression" priority="2" dxfId="1">
      <formula>J2="Discount earned"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Tidy Tabs: Calculate an Early Payment Discount (2/10 Net 30)</t>
        </is>
      </c>
    </row>
    <row r="2">
      <c r="A2" s="12" t="inlineStr"/>
    </row>
    <row r="3">
      <c r="A3" s="12" t="inlineStr">
        <is>
          <t>1. Discounts tab: type the invoice, client, invoice date and amount (A to D). When a client pays, type the paid date in E; leave it blank while open. Rows 2 to 25 have formulas ready.</t>
        </is>
      </c>
    </row>
    <row r="4">
      <c r="A4" s="12" t="inlineStr">
        <is>
          <t>2. M2, M3 and M4 hold your terms: discount rate (2%), discount days (10) and net days (30). 2/10 net 30 means 2% off if paid within 10 days, otherwise the full amount in 30. Change them for terms like 1/15 net 45.</t>
        </is>
      </c>
    </row>
    <row r="5">
      <c r="A5" s="12" t="inlineStr">
        <is>
          <t>3. F2: =C2+$M$3 is the last day to pay and still take the discount.</t>
        </is>
      </c>
    </row>
    <row r="6">
      <c r="A6" s="12" t="inlineStr">
        <is>
          <t>4. G2: =ROUND(D2*$M$2,2) is the discount in dollars. H2: =D2-G2 is what the client pays by the deadline. I2: =C2+$M$4 is the date the full amount is due.</t>
        </is>
      </c>
    </row>
    <row r="7">
      <c r="A7" s="12" t="inlineStr">
        <is>
          <t>5. J2 compares the paid date with the deadline. A payment on the deadline day still earns the discount. Blank paid date shows Open.</t>
        </is>
      </c>
    </row>
    <row r="8">
      <c r="A8" s="12" t="inlineStr">
        <is>
          <t>6. M6 to M9 total the discounts taken, missed and still available.</t>
        </is>
      </c>
    </row>
    <row r="9">
      <c r="A9" s="12" t="inlineStr">
        <is>
          <t>7. Dates must be real dates, not text. The discount is calendar days, not business days.</t>
        </is>
      </c>
    </row>
    <row r="10">
      <c r="A10" s="12" t="inlineStr">
        <is>
          <t>8. This is arithmetic from the terms you type. The terms that count are the ones in your contract or invoice; the template does not decide what a client owes.</t>
        </is>
      </c>
    </row>
    <row r="11">
      <c r="A11" s="12" t="inlineStr"/>
    </row>
    <row r="12">
      <c r="A12" s="12" t="inlineStr">
        <is>
          <t>Clients, dates and amounts are fictional. Checked in LibreOffice Calc only; not opened in Excel or Google Sheets.</t>
        </is>
      </c>
    </row>
    <row r="13">
      <c r="A13" s="12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2026-10-14T07:27:16Z</dcterms:created>
  <dcterms:modified xsi:type="dcterms:W3CDTF">2026-10-14T07:27:16Z</dcterms:modified>
</cp:coreProperties>
</file>