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  <sheet name="Summary" sheetId="2" state="visible" r:id="rId2"/>
    <sheet name="How to use" sheetId="3" state="visible" r:id="rId3"/>
  </sheets>
  <definedNames>
    <definedName name="_xlnm.Print_Titles" localSheetId="0">'Emails'!$1:$1</definedName>
    <definedName name="_xlnm.Print_Area" localSheetId="0">'Emails'!$A$1:$E$41</definedName>
    <definedName name="_xlnm.Print_Titles" localSheetId="1">'Summary'!$1:$1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3" borderId="0" pivotButton="0" quotePrefix="0" xfId="0"/>
    <xf numFmtId="0" fontId="0" fillId="4" borderId="0" pivotButton="0" quotePrefix="0" xfId="0"/>
    <xf numFmtId="49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4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2" customWidth="1" min="4" max="4"/>
    <col width="9" customWidth="1" min="5" max="5"/>
  </cols>
  <sheetData>
    <row r="1" ht="30" customHeight="1">
      <c r="A1" s="1" t="inlineStr">
        <is>
          <t>Email as typed</t>
        </is>
      </c>
      <c r="B1" s="1" t="inlineStr">
        <is>
          <t>Username</t>
        </is>
      </c>
      <c r="C1" s="1" t="inlineStr">
        <is>
          <t>Domain</t>
        </is>
      </c>
      <c r="D1" s="1" t="inlineStr">
        <is>
          <t>Domain (lower case)</t>
        </is>
      </c>
      <c r="E1" s="1" t="inlineStr">
        <is>
          <t>Shape</t>
        </is>
      </c>
    </row>
    <row r="2">
      <c r="A2" s="2" t="inlineStr">
        <is>
          <t>Jane.Doe@Example.com</t>
        </is>
      </c>
      <c r="B2" s="3">
        <f>IF(A2="","",IFERROR(LEFT(A2,FIND("@",A2)-1),""))</f>
        <v/>
      </c>
      <c r="C2" s="3">
        <f>IF(A2="","",IFERROR(MID(A2,FIND("@",A2)+1,LEN(A2)),""))</f>
        <v/>
      </c>
      <c r="D2" s="3">
        <f>IF(C2="","",LOWER(C2))</f>
        <v/>
      </c>
      <c r="E2" s="3">
        <f>IF(A2="","",IF(AND(LEN(A2)-LEN(SUBSTITUTE(A2,"@",""))=1,LEFT(A2,1)&lt;&gt;"@",ISNUMBER(FIND(".",A2,FIND("@",A2)+2)),RIGHT(A2,1)&lt;&gt;".",ISERROR(FIND(" ",A2))),"OK","Check"))</f>
        <v/>
      </c>
    </row>
    <row r="3">
      <c r="A3" s="2" t="inlineStr">
        <is>
          <t>sam@shop.example.org</t>
        </is>
      </c>
      <c r="B3" s="3">
        <f>IF(A3="","",IFERROR(LEFT(A3,FIND("@",A3)-1),""))</f>
        <v/>
      </c>
      <c r="C3" s="3">
        <f>IF(A3="","",IFERROR(MID(A3,FIND("@",A3)+1,LEN(A3)),""))</f>
        <v/>
      </c>
      <c r="D3" s="3">
        <f>IF(C3="","",LOWER(C3))</f>
        <v/>
      </c>
      <c r="E3" s="3">
        <f>IF(A3="","",IF(AND(LEN(A3)-LEN(SUBSTITUTE(A3,"@",""))=1,LEFT(A3,1)&lt;&gt;"@",ISNUMBER(FIND(".",A3,FIND("@",A3)+2)),RIGHT(A3,1)&lt;&gt;".",ISERROR(FIND(" ",A3))),"OK","Check"))</f>
        <v/>
      </c>
    </row>
    <row r="4">
      <c r="A4" s="2" t="inlineStr">
        <is>
          <t>rosa.m+orders@example.net</t>
        </is>
      </c>
      <c r="B4" s="3">
        <f>IF(A4="","",IFERROR(LEFT(A4,FIND("@",A4)-1),""))</f>
        <v/>
      </c>
      <c r="C4" s="3">
        <f>IF(A4="","",IFERROR(MID(A4,FIND("@",A4)+1,LEN(A4)),""))</f>
        <v/>
      </c>
      <c r="D4" s="3">
        <f>IF(C4="","",LOWER(C4))</f>
        <v/>
      </c>
      <c r="E4" s="3">
        <f>IF(A4="","",IF(AND(LEN(A4)-LEN(SUBSTITUTE(A4,"@",""))=1,LEFT(A4,1)&lt;&gt;"@",ISNUMBER(FIND(".",A4,FIND("@",A4)+2)),RIGHT(A4,1)&lt;&gt;".",ISERROR(FIND(" ",A4))),"OK","Check"))</f>
        <v/>
      </c>
    </row>
    <row r="5">
      <c r="A5" s="2" t="inlineStr">
        <is>
          <t>lee_k@example.com</t>
        </is>
      </c>
      <c r="B5" s="3">
        <f>IF(A5="","",IFERROR(LEFT(A5,FIND("@",A5)-1),""))</f>
        <v/>
      </c>
      <c r="C5" s="3">
        <f>IF(A5="","",IFERROR(MID(A5,FIND("@",A5)+1,LEN(A5)),""))</f>
        <v/>
      </c>
      <c r="D5" s="3">
        <f>IF(C5="","",LOWER(C5))</f>
        <v/>
      </c>
      <c r="E5" s="3">
        <f>IF(A5="","",IF(AND(LEN(A5)-LEN(SUBSTITUTE(A5,"@",""))=1,LEFT(A5,1)&lt;&gt;"@",ISNUMBER(FIND(".",A5,FIND("@",A5)+2)),RIGHT(A5,1)&lt;&gt;".",ISERROR(FIND(" ",A5))),"OK","Check"))</f>
        <v/>
      </c>
    </row>
    <row r="6">
      <c r="A6" s="2" t="inlineStr">
        <is>
          <t>BILL.R@EXAMPLE.ORG</t>
        </is>
      </c>
      <c r="B6" s="3">
        <f>IF(A6="","",IFERROR(LEFT(A6,FIND("@",A6)-1),""))</f>
        <v/>
      </c>
      <c r="C6" s="3">
        <f>IF(A6="","",IFERROR(MID(A6,FIND("@",A6)+1,LEN(A6)),""))</f>
        <v/>
      </c>
      <c r="D6" s="3">
        <f>IF(C6="","",LOWER(C6))</f>
        <v/>
      </c>
      <c r="E6" s="3">
        <f>IF(A6="","",IF(AND(LEN(A6)-LEN(SUBSTITUTE(A6,"@",""))=1,LEFT(A6,1)&lt;&gt;"@",ISNUMBER(FIND(".",A6,FIND("@",A6)+2)),RIGHT(A6,1)&lt;&gt;".",ISERROR(FIND(" ",A6))),"OK","Check"))</f>
        <v/>
      </c>
    </row>
    <row r="7">
      <c r="A7" s="2" t="inlineStr">
        <is>
          <t>maria@@example.com</t>
        </is>
      </c>
      <c r="B7" s="3">
        <f>IF(A7="","",IFERROR(LEFT(A7,FIND("@",A7)-1),""))</f>
        <v/>
      </c>
      <c r="C7" s="3">
        <f>IF(A7="","",IFERROR(MID(A7,FIND("@",A7)+1,LEN(A7)),""))</f>
        <v/>
      </c>
      <c r="D7" s="3">
        <f>IF(C7="","",LOWER(C7))</f>
        <v/>
      </c>
      <c r="E7" s="3">
        <f>IF(A7="","",IF(AND(LEN(A7)-LEN(SUBSTITUTE(A7,"@",""))=1,LEFT(A7,1)&lt;&gt;"@",ISNUMBER(FIND(".",A7,FIND("@",A7)+2)),RIGHT(A7,1)&lt;&gt;".",ISERROR(FIND(" ",A7))),"OK","Check"))</f>
        <v/>
      </c>
    </row>
    <row r="8">
      <c r="A8" s="2" t="inlineStr">
        <is>
          <t>tomexample.com</t>
        </is>
      </c>
      <c r="B8" s="3">
        <f>IF(A8="","",IFERROR(LEFT(A8,FIND("@",A8)-1),""))</f>
        <v/>
      </c>
      <c r="C8" s="3">
        <f>IF(A8="","",IFERROR(MID(A8,FIND("@",A8)+1,LEN(A8)),""))</f>
        <v/>
      </c>
      <c r="D8" s="3">
        <f>IF(C8="","",LOWER(C8))</f>
        <v/>
      </c>
      <c r="E8" s="3">
        <f>IF(A8="","",IF(AND(LEN(A8)-LEN(SUBSTITUTE(A8,"@",""))=1,LEFT(A8,1)&lt;&gt;"@",ISNUMBER(FIND(".",A8,FIND("@",A8)+2)),RIGHT(A8,1)&lt;&gt;".",ISERROR(FIND(" ",A8))),"OK","Check"))</f>
        <v/>
      </c>
    </row>
    <row r="9">
      <c r="A9" s="2" t="inlineStr">
        <is>
          <t>ann lee@example.net</t>
        </is>
      </c>
      <c r="B9" s="3">
        <f>IF(A9="","",IFERROR(LEFT(A9,FIND("@",A9)-1),""))</f>
        <v/>
      </c>
      <c r="C9" s="3">
        <f>IF(A9="","",IFERROR(MID(A9,FIND("@",A9)+1,LEN(A9)),""))</f>
        <v/>
      </c>
      <c r="D9" s="3">
        <f>IF(C9="","",LOWER(C9))</f>
        <v/>
      </c>
      <c r="E9" s="3">
        <f>IF(A9="","",IF(AND(LEN(A9)-LEN(SUBSTITUTE(A9,"@",""))=1,LEFT(A9,1)&lt;&gt;"@",ISNUMBER(FIND(".",A9,FIND("@",A9)+2)),RIGHT(A9,1)&lt;&gt;".",ISERROR(FIND(" ",A9))),"OK","Check"))</f>
        <v/>
      </c>
    </row>
    <row r="10">
      <c r="A10" s="2" t="inlineStr">
        <is>
          <t>kim@example</t>
        </is>
      </c>
      <c r="B10" s="3">
        <f>IF(A10="","",IFERROR(LEFT(A10,FIND("@",A10)-1),""))</f>
        <v/>
      </c>
      <c r="C10" s="3">
        <f>IF(A10="","",IFERROR(MID(A10,FIND("@",A10)+1,LEN(A10)),""))</f>
        <v/>
      </c>
      <c r="D10" s="3">
        <f>IF(C10="","",LOWER(C10))</f>
        <v/>
      </c>
      <c r="E10" s="3">
        <f>IF(A10="","",IF(AND(LEN(A10)-LEN(SUBSTITUTE(A10,"@",""))=1,LEFT(A10,1)&lt;&gt;"@",ISNUMBER(FIND(".",A10,FIND("@",A10)+2)),RIGHT(A10,1)&lt;&gt;".",ISERROR(FIND(" ",A10))),"OK","Check"))</f>
        <v/>
      </c>
    </row>
    <row r="11">
      <c r="A11" s="2" t="inlineStr">
        <is>
          <t xml:space="preserve">pat@example.com </t>
        </is>
      </c>
      <c r="B11" s="3">
        <f>IF(A11="","",IFERROR(LEFT(A11,FIND("@",A11)-1),""))</f>
        <v/>
      </c>
      <c r="C11" s="3">
        <f>IF(A11="","",IFERROR(MID(A11,FIND("@",A11)+1,LEN(A11)),""))</f>
        <v/>
      </c>
      <c r="D11" s="3">
        <f>IF(C11="","",LOWER(C11))</f>
        <v/>
      </c>
      <c r="E11" s="3">
        <f>IF(A11="","",IF(AND(LEN(A11)-LEN(SUBSTITUTE(A11,"@",""))=1,LEFT(A11,1)&lt;&gt;"@",ISNUMBER(FIND(".",A11,FIND("@",A11)+2)),RIGHT(A11,1)&lt;&gt;".",ISERROR(FIND(" ",A11))),"OK","Check"))</f>
        <v/>
      </c>
    </row>
    <row r="12">
      <c r="A12" s="2" t="inlineStr">
        <is>
          <t>dev.team@mail.example.com</t>
        </is>
      </c>
      <c r="B12" s="3">
        <f>IF(A12="","",IFERROR(LEFT(A12,FIND("@",A12)-1),""))</f>
        <v/>
      </c>
      <c r="C12" s="3">
        <f>IF(A12="","",IFERROR(MID(A12,FIND("@",A12)+1,LEN(A12)),""))</f>
        <v/>
      </c>
      <c r="D12" s="3">
        <f>IF(C12="","",LOWER(C12))</f>
        <v/>
      </c>
      <c r="E12" s="3">
        <f>IF(A12="","",IF(AND(LEN(A12)-LEN(SUBSTITUTE(A12,"@",""))=1,LEFT(A12,1)&lt;&gt;"@",ISNUMBER(FIND(".",A12,FIND("@",A12)+2)),RIGHT(A12,1)&lt;&gt;".",ISERROR(FIND(" ",A12))),"OK","Check"))</f>
        <v/>
      </c>
    </row>
    <row r="13">
      <c r="A13" s="2" t="inlineStr">
        <is>
          <t>hello@example.org</t>
        </is>
      </c>
      <c r="B13" s="3">
        <f>IF(A13="","",IFERROR(LEFT(A13,FIND("@",A13)-1),""))</f>
        <v/>
      </c>
      <c r="C13" s="3">
        <f>IF(A13="","",IFERROR(MID(A13,FIND("@",A13)+1,LEN(A13)),""))</f>
        <v/>
      </c>
      <c r="D13" s="3">
        <f>IF(C13="","",LOWER(C13))</f>
        <v/>
      </c>
      <c r="E13" s="3">
        <f>IF(A13="","",IF(AND(LEN(A13)-LEN(SUBSTITUTE(A13,"@",""))=1,LEFT(A13,1)&lt;&gt;"@",ISNUMBER(FIND(".",A13,FIND("@",A13)+2)),RIGHT(A13,1)&lt;&gt;".",ISERROR(FIND(" ",A13))),"OK","Check"))</f>
        <v/>
      </c>
    </row>
    <row r="14">
      <c r="A14" s="2" t="n"/>
      <c r="B14" s="3">
        <f>IF(A14="","",IFERROR(LEFT(A14,FIND("@",A14)-1),""))</f>
        <v/>
      </c>
      <c r="C14" s="3">
        <f>IF(A14="","",IFERROR(MID(A14,FIND("@",A14)+1,LEN(A14)),""))</f>
        <v/>
      </c>
      <c r="D14" s="3">
        <f>IF(C14="","",LOWER(C14))</f>
        <v/>
      </c>
      <c r="E14" s="3">
        <f>IF(A14="","",IF(AND(LEN(A14)-LEN(SUBSTITUTE(A14,"@",""))=1,LEFT(A14,1)&lt;&gt;"@",ISNUMBER(FIND(".",A14,FIND("@",A14)+2)),RIGHT(A14,1)&lt;&gt;".",ISERROR(FIND(" ",A14))),"OK","Check"))</f>
        <v/>
      </c>
    </row>
    <row r="15">
      <c r="A15" s="2" t="inlineStr">
        <is>
          <t>orders@example.net</t>
        </is>
      </c>
      <c r="B15" s="3">
        <f>IF(A15="","",IFERROR(LEFT(A15,FIND("@",A15)-1),""))</f>
        <v/>
      </c>
      <c r="C15" s="3">
        <f>IF(A15="","",IFERROR(MID(A15,FIND("@",A15)+1,LEN(A15)),""))</f>
        <v/>
      </c>
      <c r="D15" s="3">
        <f>IF(C15="","",LOWER(C15))</f>
        <v/>
      </c>
      <c r="E15" s="3">
        <f>IF(A15="","",IF(AND(LEN(A15)-LEN(SUBSTITUTE(A15,"@",""))=1,LEFT(A15,1)&lt;&gt;"@",ISNUMBER(FIND(".",A15,FIND("@",A15)+2)),RIGHT(A15,1)&lt;&gt;".",ISERROR(FIND(" ",A15))),"OK","Check"))</f>
        <v/>
      </c>
    </row>
    <row r="16">
      <c r="A16" s="2" t="inlineStr">
        <is>
          <t>chris.p@example.com</t>
        </is>
      </c>
      <c r="B16" s="3">
        <f>IF(A16="","",IFERROR(LEFT(A16,FIND("@",A16)-1),""))</f>
        <v/>
      </c>
      <c r="C16" s="3">
        <f>IF(A16="","",IFERROR(MID(A16,FIND("@",A16)+1,LEN(A16)),""))</f>
        <v/>
      </c>
      <c r="D16" s="3">
        <f>IF(C16="","",LOWER(C16))</f>
        <v/>
      </c>
      <c r="E16" s="3">
        <f>IF(A16="","",IF(AND(LEN(A16)-LEN(SUBSTITUTE(A16,"@",""))=1,LEFT(A16,1)&lt;&gt;"@",ISNUMBER(FIND(".",A16,FIND("@",A16)+2)),RIGHT(A16,1)&lt;&gt;".",ISERROR(FIND(" ",A16))),"OK","Check"))</f>
        <v/>
      </c>
    </row>
    <row r="17">
      <c r="A17" s="2" t="n"/>
      <c r="B17" s="3">
        <f>IF(A17="","",IFERROR(LEFT(A17,FIND("@",A17)-1),""))</f>
        <v/>
      </c>
      <c r="C17" s="3">
        <f>IF(A17="","",IFERROR(MID(A17,FIND("@",A17)+1,LEN(A17)),""))</f>
        <v/>
      </c>
      <c r="D17" s="3">
        <f>IF(C17="","",LOWER(C17))</f>
        <v/>
      </c>
      <c r="E17" s="3">
        <f>IF(A17="","",IF(AND(LEN(A17)-LEN(SUBSTITUTE(A17,"@",""))=1,LEFT(A17,1)&lt;&gt;"@",ISNUMBER(FIND(".",A17,FIND("@",A17)+2)),RIGHT(A17,1)&lt;&gt;".",ISERROR(FIND(" ",A17))),"OK","Check"))</f>
        <v/>
      </c>
    </row>
    <row r="18">
      <c r="A18" s="2" t="n"/>
      <c r="B18" s="3">
        <f>IF(A18="","",IFERROR(LEFT(A18,FIND("@",A18)-1),""))</f>
        <v/>
      </c>
      <c r="C18" s="3">
        <f>IF(A18="","",IFERROR(MID(A18,FIND("@",A18)+1,LEN(A18)),""))</f>
        <v/>
      </c>
      <c r="D18" s="3">
        <f>IF(C18="","",LOWER(C18))</f>
        <v/>
      </c>
      <c r="E18" s="3">
        <f>IF(A18="","",IF(AND(LEN(A18)-LEN(SUBSTITUTE(A18,"@",""))=1,LEFT(A18,1)&lt;&gt;"@",ISNUMBER(FIND(".",A18,FIND("@",A18)+2)),RIGHT(A18,1)&lt;&gt;".",ISERROR(FIND(" ",A18))),"OK","Check"))</f>
        <v/>
      </c>
    </row>
    <row r="19">
      <c r="A19" s="2" t="n"/>
      <c r="B19" s="3">
        <f>IF(A19="","",IFERROR(LEFT(A19,FIND("@",A19)-1),""))</f>
        <v/>
      </c>
      <c r="C19" s="3">
        <f>IF(A19="","",IFERROR(MID(A19,FIND("@",A19)+1,LEN(A19)),""))</f>
        <v/>
      </c>
      <c r="D19" s="3">
        <f>IF(C19="","",LOWER(C19))</f>
        <v/>
      </c>
      <c r="E19" s="3">
        <f>IF(A19="","",IF(AND(LEN(A19)-LEN(SUBSTITUTE(A19,"@",""))=1,LEFT(A19,1)&lt;&gt;"@",ISNUMBER(FIND(".",A19,FIND("@",A19)+2)),RIGHT(A19,1)&lt;&gt;".",ISERROR(FIND(" ",A19))),"OK","Check"))</f>
        <v/>
      </c>
    </row>
    <row r="20">
      <c r="A20" s="2" t="n"/>
      <c r="B20" s="3">
        <f>IF(A20="","",IFERROR(LEFT(A20,FIND("@",A20)-1),""))</f>
        <v/>
      </c>
      <c r="C20" s="3">
        <f>IF(A20="","",IFERROR(MID(A20,FIND("@",A20)+1,LEN(A20)),""))</f>
        <v/>
      </c>
      <c r="D20" s="3">
        <f>IF(C20="","",LOWER(C20))</f>
        <v/>
      </c>
      <c r="E20" s="3">
        <f>IF(A20="","",IF(AND(LEN(A20)-LEN(SUBSTITUTE(A20,"@",""))=1,LEFT(A20,1)&lt;&gt;"@",ISNUMBER(FIND(".",A20,FIND("@",A20)+2)),RIGHT(A20,1)&lt;&gt;".",ISERROR(FIND(" ",A20))),"OK","Check"))</f>
        <v/>
      </c>
    </row>
    <row r="21">
      <c r="A21" s="2" t="n"/>
      <c r="B21" s="3">
        <f>IF(A21="","",IFERROR(LEFT(A21,FIND("@",A21)-1),""))</f>
        <v/>
      </c>
      <c r="C21" s="3">
        <f>IF(A21="","",IFERROR(MID(A21,FIND("@",A21)+1,LEN(A21)),""))</f>
        <v/>
      </c>
      <c r="D21" s="3">
        <f>IF(C21="","",LOWER(C21))</f>
        <v/>
      </c>
      <c r="E21" s="3">
        <f>IF(A21="","",IF(AND(LEN(A21)-LEN(SUBSTITUTE(A21,"@",""))=1,LEFT(A21,1)&lt;&gt;"@",ISNUMBER(FIND(".",A21,FIND("@",A21)+2)),RIGHT(A21,1)&lt;&gt;".",ISERROR(FIND(" ",A21))),"OK","Check"))</f>
        <v/>
      </c>
    </row>
    <row r="22">
      <c r="A22" s="2" t="n"/>
      <c r="B22" s="3">
        <f>IF(A22="","",IFERROR(LEFT(A22,FIND("@",A22)-1),""))</f>
        <v/>
      </c>
      <c r="C22" s="3">
        <f>IF(A22="","",IFERROR(MID(A22,FIND("@",A22)+1,LEN(A22)),""))</f>
        <v/>
      </c>
      <c r="D22" s="3">
        <f>IF(C22="","",LOWER(C22))</f>
        <v/>
      </c>
      <c r="E22" s="3">
        <f>IF(A22="","",IF(AND(LEN(A22)-LEN(SUBSTITUTE(A22,"@",""))=1,LEFT(A22,1)&lt;&gt;"@",ISNUMBER(FIND(".",A22,FIND("@",A22)+2)),RIGHT(A22,1)&lt;&gt;".",ISERROR(FIND(" ",A22))),"OK","Check"))</f>
        <v/>
      </c>
    </row>
    <row r="23">
      <c r="A23" s="2" t="n"/>
      <c r="B23" s="3">
        <f>IF(A23="","",IFERROR(LEFT(A23,FIND("@",A23)-1),""))</f>
        <v/>
      </c>
      <c r="C23" s="3">
        <f>IF(A23="","",IFERROR(MID(A23,FIND("@",A23)+1,LEN(A23)),""))</f>
        <v/>
      </c>
      <c r="D23" s="3">
        <f>IF(C23="","",LOWER(C23))</f>
        <v/>
      </c>
      <c r="E23" s="3">
        <f>IF(A23="","",IF(AND(LEN(A23)-LEN(SUBSTITUTE(A23,"@",""))=1,LEFT(A23,1)&lt;&gt;"@",ISNUMBER(FIND(".",A23,FIND("@",A23)+2)),RIGHT(A23,1)&lt;&gt;".",ISERROR(FIND(" ",A23))),"OK","Check"))</f>
        <v/>
      </c>
    </row>
    <row r="24">
      <c r="A24" s="2" t="n"/>
      <c r="B24" s="3">
        <f>IF(A24="","",IFERROR(LEFT(A24,FIND("@",A24)-1),""))</f>
        <v/>
      </c>
      <c r="C24" s="3">
        <f>IF(A24="","",IFERROR(MID(A24,FIND("@",A24)+1,LEN(A24)),""))</f>
        <v/>
      </c>
      <c r="D24" s="3">
        <f>IF(C24="","",LOWER(C24))</f>
        <v/>
      </c>
      <c r="E24" s="3">
        <f>IF(A24="","",IF(AND(LEN(A24)-LEN(SUBSTITUTE(A24,"@",""))=1,LEFT(A24,1)&lt;&gt;"@",ISNUMBER(FIND(".",A24,FIND("@",A24)+2)),RIGHT(A24,1)&lt;&gt;".",ISERROR(FIND(" ",A24))),"OK","Check"))</f>
        <v/>
      </c>
    </row>
    <row r="25">
      <c r="A25" s="2" t="n"/>
      <c r="B25" s="3">
        <f>IF(A25="","",IFERROR(LEFT(A25,FIND("@",A25)-1),""))</f>
        <v/>
      </c>
      <c r="C25" s="3">
        <f>IF(A25="","",IFERROR(MID(A25,FIND("@",A25)+1,LEN(A25)),""))</f>
        <v/>
      </c>
      <c r="D25" s="3">
        <f>IF(C25="","",LOWER(C25))</f>
        <v/>
      </c>
      <c r="E25" s="3">
        <f>IF(A25="","",IF(AND(LEN(A25)-LEN(SUBSTITUTE(A25,"@",""))=1,LEFT(A25,1)&lt;&gt;"@",ISNUMBER(FIND(".",A25,FIND("@",A25)+2)),RIGHT(A25,1)&lt;&gt;".",ISERROR(FIND(" ",A25))),"OK","Check"))</f>
        <v/>
      </c>
    </row>
    <row r="26">
      <c r="A26" s="2" t="n"/>
      <c r="B26" s="3">
        <f>IF(A26="","",IFERROR(LEFT(A26,FIND("@",A26)-1),""))</f>
        <v/>
      </c>
      <c r="C26" s="3">
        <f>IF(A26="","",IFERROR(MID(A26,FIND("@",A26)+1,LEN(A26)),""))</f>
        <v/>
      </c>
      <c r="D26" s="3">
        <f>IF(C26="","",LOWER(C26))</f>
        <v/>
      </c>
      <c r="E26" s="3">
        <f>IF(A26="","",IF(AND(LEN(A26)-LEN(SUBSTITUTE(A26,"@",""))=1,LEFT(A26,1)&lt;&gt;"@",ISNUMBER(FIND(".",A26,FIND("@",A26)+2)),RIGHT(A26,1)&lt;&gt;".",ISERROR(FIND(" ",A26))),"OK","Check"))</f>
        <v/>
      </c>
    </row>
    <row r="27">
      <c r="A27" s="2" t="n"/>
      <c r="B27" s="3">
        <f>IF(A27="","",IFERROR(LEFT(A27,FIND("@",A27)-1),""))</f>
        <v/>
      </c>
      <c r="C27" s="3">
        <f>IF(A27="","",IFERROR(MID(A27,FIND("@",A27)+1,LEN(A27)),""))</f>
        <v/>
      </c>
      <c r="D27" s="3">
        <f>IF(C27="","",LOWER(C27))</f>
        <v/>
      </c>
      <c r="E27" s="3">
        <f>IF(A27="","",IF(AND(LEN(A27)-LEN(SUBSTITUTE(A27,"@",""))=1,LEFT(A27,1)&lt;&gt;"@",ISNUMBER(FIND(".",A27,FIND("@",A27)+2)),RIGHT(A27,1)&lt;&gt;".",ISERROR(FIND(" ",A27))),"OK","Check"))</f>
        <v/>
      </c>
    </row>
    <row r="28">
      <c r="A28" s="2" t="n"/>
      <c r="B28" s="3">
        <f>IF(A28="","",IFERROR(LEFT(A28,FIND("@",A28)-1),""))</f>
        <v/>
      </c>
      <c r="C28" s="3">
        <f>IF(A28="","",IFERROR(MID(A28,FIND("@",A28)+1,LEN(A28)),""))</f>
        <v/>
      </c>
      <c r="D28" s="3">
        <f>IF(C28="","",LOWER(C28))</f>
        <v/>
      </c>
      <c r="E28" s="3">
        <f>IF(A28="","",IF(AND(LEN(A28)-LEN(SUBSTITUTE(A28,"@",""))=1,LEFT(A28,1)&lt;&gt;"@",ISNUMBER(FIND(".",A28,FIND("@",A28)+2)),RIGHT(A28,1)&lt;&gt;".",ISERROR(FIND(" ",A28))),"OK","Check"))</f>
        <v/>
      </c>
    </row>
    <row r="29">
      <c r="A29" s="2" t="n"/>
      <c r="B29" s="3">
        <f>IF(A29="","",IFERROR(LEFT(A29,FIND("@",A29)-1),""))</f>
        <v/>
      </c>
      <c r="C29" s="3">
        <f>IF(A29="","",IFERROR(MID(A29,FIND("@",A29)+1,LEN(A29)),""))</f>
        <v/>
      </c>
      <c r="D29" s="3">
        <f>IF(C29="","",LOWER(C29))</f>
        <v/>
      </c>
      <c r="E29" s="3">
        <f>IF(A29="","",IF(AND(LEN(A29)-LEN(SUBSTITUTE(A29,"@",""))=1,LEFT(A29,1)&lt;&gt;"@",ISNUMBER(FIND(".",A29,FIND("@",A29)+2)),RIGHT(A29,1)&lt;&gt;".",ISERROR(FIND(" ",A29))),"OK","Check"))</f>
        <v/>
      </c>
    </row>
    <row r="30">
      <c r="A30" s="2" t="n"/>
      <c r="B30" s="3">
        <f>IF(A30="","",IFERROR(LEFT(A30,FIND("@",A30)-1),""))</f>
        <v/>
      </c>
      <c r="C30" s="3">
        <f>IF(A30="","",IFERROR(MID(A30,FIND("@",A30)+1,LEN(A30)),""))</f>
        <v/>
      </c>
      <c r="D30" s="3">
        <f>IF(C30="","",LOWER(C30))</f>
        <v/>
      </c>
      <c r="E30" s="3">
        <f>IF(A30="","",IF(AND(LEN(A30)-LEN(SUBSTITUTE(A30,"@",""))=1,LEFT(A30,1)&lt;&gt;"@",ISNUMBER(FIND(".",A30,FIND("@",A30)+2)),RIGHT(A30,1)&lt;&gt;".",ISERROR(FIND(" ",A30))),"OK","Check"))</f>
        <v/>
      </c>
    </row>
    <row r="31">
      <c r="A31" s="2" t="n"/>
      <c r="B31" s="3">
        <f>IF(A31="","",IFERROR(LEFT(A31,FIND("@",A31)-1),""))</f>
        <v/>
      </c>
      <c r="C31" s="3">
        <f>IF(A31="","",IFERROR(MID(A31,FIND("@",A31)+1,LEN(A31)),""))</f>
        <v/>
      </c>
      <c r="D31" s="3">
        <f>IF(C31="","",LOWER(C31))</f>
        <v/>
      </c>
      <c r="E31" s="3">
        <f>IF(A31="","",IF(AND(LEN(A31)-LEN(SUBSTITUTE(A31,"@",""))=1,LEFT(A31,1)&lt;&gt;"@",ISNUMBER(FIND(".",A31,FIND("@",A31)+2)),RIGHT(A31,1)&lt;&gt;".",ISERROR(FIND(" ",A31))),"OK","Check"))</f>
        <v/>
      </c>
    </row>
    <row r="32">
      <c r="A32" s="2" t="n"/>
      <c r="B32" s="3">
        <f>IF(A32="","",IFERROR(LEFT(A32,FIND("@",A32)-1),""))</f>
        <v/>
      </c>
      <c r="C32" s="3">
        <f>IF(A32="","",IFERROR(MID(A32,FIND("@",A32)+1,LEN(A32)),""))</f>
        <v/>
      </c>
      <c r="D32" s="3">
        <f>IF(C32="","",LOWER(C32))</f>
        <v/>
      </c>
      <c r="E32" s="3">
        <f>IF(A32="","",IF(AND(LEN(A32)-LEN(SUBSTITUTE(A32,"@",""))=1,LEFT(A32,1)&lt;&gt;"@",ISNUMBER(FIND(".",A32,FIND("@",A32)+2)),RIGHT(A32,1)&lt;&gt;".",ISERROR(FIND(" ",A32))),"OK","Check"))</f>
        <v/>
      </c>
    </row>
    <row r="33">
      <c r="A33" s="2" t="n"/>
      <c r="B33" s="3">
        <f>IF(A33="","",IFERROR(LEFT(A33,FIND("@",A33)-1),""))</f>
        <v/>
      </c>
      <c r="C33" s="3">
        <f>IF(A33="","",IFERROR(MID(A33,FIND("@",A33)+1,LEN(A33)),""))</f>
        <v/>
      </c>
      <c r="D33" s="3">
        <f>IF(C33="","",LOWER(C33))</f>
        <v/>
      </c>
      <c r="E33" s="3">
        <f>IF(A33="","",IF(AND(LEN(A33)-LEN(SUBSTITUTE(A33,"@",""))=1,LEFT(A33,1)&lt;&gt;"@",ISNUMBER(FIND(".",A33,FIND("@",A33)+2)),RIGHT(A33,1)&lt;&gt;".",ISERROR(FIND(" ",A33))),"OK","Check"))</f>
        <v/>
      </c>
    </row>
    <row r="34">
      <c r="A34" s="2" t="n"/>
      <c r="B34" s="3">
        <f>IF(A34="","",IFERROR(LEFT(A34,FIND("@",A34)-1),""))</f>
        <v/>
      </c>
      <c r="C34" s="3">
        <f>IF(A34="","",IFERROR(MID(A34,FIND("@",A34)+1,LEN(A34)),""))</f>
        <v/>
      </c>
      <c r="D34" s="3">
        <f>IF(C34="","",LOWER(C34))</f>
        <v/>
      </c>
      <c r="E34" s="3">
        <f>IF(A34="","",IF(AND(LEN(A34)-LEN(SUBSTITUTE(A34,"@",""))=1,LEFT(A34,1)&lt;&gt;"@",ISNUMBER(FIND(".",A34,FIND("@",A34)+2)),RIGHT(A34,1)&lt;&gt;".",ISERROR(FIND(" ",A34))),"OK","Check"))</f>
        <v/>
      </c>
    </row>
    <row r="35">
      <c r="A35" s="2" t="n"/>
      <c r="B35" s="3">
        <f>IF(A35="","",IFERROR(LEFT(A35,FIND("@",A35)-1),""))</f>
        <v/>
      </c>
      <c r="C35" s="3">
        <f>IF(A35="","",IFERROR(MID(A35,FIND("@",A35)+1,LEN(A35)),""))</f>
        <v/>
      </c>
      <c r="D35" s="3">
        <f>IF(C35="","",LOWER(C35))</f>
        <v/>
      </c>
      <c r="E35" s="3">
        <f>IF(A35="","",IF(AND(LEN(A35)-LEN(SUBSTITUTE(A35,"@",""))=1,LEFT(A35,1)&lt;&gt;"@",ISNUMBER(FIND(".",A35,FIND("@",A35)+2)),RIGHT(A35,1)&lt;&gt;".",ISERROR(FIND(" ",A35))),"OK","Check"))</f>
        <v/>
      </c>
    </row>
    <row r="36">
      <c r="A36" s="2" t="n"/>
      <c r="B36" s="3">
        <f>IF(A36="","",IFERROR(LEFT(A36,FIND("@",A36)-1),""))</f>
        <v/>
      </c>
      <c r="C36" s="3">
        <f>IF(A36="","",IFERROR(MID(A36,FIND("@",A36)+1,LEN(A36)),""))</f>
        <v/>
      </c>
      <c r="D36" s="3">
        <f>IF(C36="","",LOWER(C36))</f>
        <v/>
      </c>
      <c r="E36" s="3">
        <f>IF(A36="","",IF(AND(LEN(A36)-LEN(SUBSTITUTE(A36,"@",""))=1,LEFT(A36,1)&lt;&gt;"@",ISNUMBER(FIND(".",A36,FIND("@",A36)+2)),RIGHT(A36,1)&lt;&gt;".",ISERROR(FIND(" ",A36))),"OK","Check"))</f>
        <v/>
      </c>
    </row>
    <row r="37">
      <c r="A37" s="2" t="n"/>
      <c r="B37" s="3">
        <f>IF(A37="","",IFERROR(LEFT(A37,FIND("@",A37)-1),""))</f>
        <v/>
      </c>
      <c r="C37" s="3">
        <f>IF(A37="","",IFERROR(MID(A37,FIND("@",A37)+1,LEN(A37)),""))</f>
        <v/>
      </c>
      <c r="D37" s="3">
        <f>IF(C37="","",LOWER(C37))</f>
        <v/>
      </c>
      <c r="E37" s="3">
        <f>IF(A37="","",IF(AND(LEN(A37)-LEN(SUBSTITUTE(A37,"@",""))=1,LEFT(A37,1)&lt;&gt;"@",ISNUMBER(FIND(".",A37,FIND("@",A37)+2)),RIGHT(A37,1)&lt;&gt;".",ISERROR(FIND(" ",A37))),"OK","Check"))</f>
        <v/>
      </c>
    </row>
    <row r="38">
      <c r="A38" s="2" t="n"/>
      <c r="B38" s="3">
        <f>IF(A38="","",IFERROR(LEFT(A38,FIND("@",A38)-1),""))</f>
        <v/>
      </c>
      <c r="C38" s="3">
        <f>IF(A38="","",IFERROR(MID(A38,FIND("@",A38)+1,LEN(A38)),""))</f>
        <v/>
      </c>
      <c r="D38" s="3">
        <f>IF(C38="","",LOWER(C38))</f>
        <v/>
      </c>
      <c r="E38" s="3">
        <f>IF(A38="","",IF(AND(LEN(A38)-LEN(SUBSTITUTE(A38,"@",""))=1,LEFT(A38,1)&lt;&gt;"@",ISNUMBER(FIND(".",A38,FIND("@",A38)+2)),RIGHT(A38,1)&lt;&gt;".",ISERROR(FIND(" ",A38))),"OK","Check"))</f>
        <v/>
      </c>
    </row>
    <row r="39">
      <c r="A39" s="2" t="n"/>
      <c r="B39" s="3">
        <f>IF(A39="","",IFERROR(LEFT(A39,FIND("@",A39)-1),""))</f>
        <v/>
      </c>
      <c r="C39" s="3">
        <f>IF(A39="","",IFERROR(MID(A39,FIND("@",A39)+1,LEN(A39)),""))</f>
        <v/>
      </c>
      <c r="D39" s="3">
        <f>IF(C39="","",LOWER(C39))</f>
        <v/>
      </c>
      <c r="E39" s="3">
        <f>IF(A39="","",IF(AND(LEN(A39)-LEN(SUBSTITUTE(A39,"@",""))=1,LEFT(A39,1)&lt;&gt;"@",ISNUMBER(FIND(".",A39,FIND("@",A39)+2)),RIGHT(A39,1)&lt;&gt;".",ISERROR(FIND(" ",A39))),"OK","Check"))</f>
        <v/>
      </c>
    </row>
    <row r="40">
      <c r="A40" s="2" t="n"/>
      <c r="B40" s="3">
        <f>IF(A40="","",IFERROR(LEFT(A40,FIND("@",A40)-1),""))</f>
        <v/>
      </c>
      <c r="C40" s="3">
        <f>IF(A40="","",IFERROR(MID(A40,FIND("@",A40)+1,LEN(A40)),""))</f>
        <v/>
      </c>
      <c r="D40" s="3">
        <f>IF(C40="","",LOWER(C40))</f>
        <v/>
      </c>
      <c r="E40" s="3">
        <f>IF(A40="","",IF(AND(LEN(A40)-LEN(SUBSTITUTE(A40,"@",""))=1,LEFT(A40,1)&lt;&gt;"@",ISNUMBER(FIND(".",A40,FIND("@",A40)+2)),RIGHT(A40,1)&lt;&gt;".",ISERROR(FIND(" ",A40))),"OK","Check"))</f>
        <v/>
      </c>
    </row>
    <row r="41">
      <c r="A41" s="2" t="n"/>
      <c r="B41" s="3">
        <f>IF(A41="","",IFERROR(LEFT(A41,FIND("@",A41)-1),""))</f>
        <v/>
      </c>
      <c r="C41" s="3">
        <f>IF(A41="","",IFERROR(MID(A41,FIND("@",A41)+1,LEN(A41)),""))</f>
        <v/>
      </c>
      <c r="D41" s="3">
        <f>IF(C41="","",LOWER(C41))</f>
        <v/>
      </c>
      <c r="E41" s="3">
        <f>IF(A41="","",IF(AND(LEN(A41)-LEN(SUBSTITUTE(A41,"@",""))=1,LEFT(A41,1)&lt;&gt;"@",ISNUMBER(FIND(".",A41,FIND("@",A41)+2)),RIGHT(A41,1)&lt;&gt;".",ISERROR(FIND(" ",A41))),"OK","Check"))</f>
        <v/>
      </c>
    </row>
    <row r="42">
      <c r="A42" s="2" t="n"/>
      <c r="B42" s="3">
        <f>IF(A42="","",IFERROR(LEFT(A42,FIND("@",A42)-1),""))</f>
        <v/>
      </c>
      <c r="C42" s="3">
        <f>IF(A42="","",IFERROR(MID(A42,FIND("@",A42)+1,LEN(A42)),""))</f>
        <v/>
      </c>
      <c r="D42" s="3">
        <f>IF(C42="","",LOWER(C42))</f>
        <v/>
      </c>
      <c r="E42" s="3">
        <f>IF(A42="","",IF(AND(LEN(A42)-LEN(SUBSTITUTE(A42,"@",""))=1,LEFT(A42,1)&lt;&gt;"@",ISNUMBER(FIND(".",A42,FIND("@",A42)+2)),RIGHT(A42,1)&lt;&gt;".",ISERROR(FIND(" ",A42))),"OK","Check"))</f>
        <v/>
      </c>
    </row>
    <row r="43">
      <c r="A43" s="2" t="n"/>
      <c r="B43" s="3">
        <f>IF(A43="","",IFERROR(LEFT(A43,FIND("@",A43)-1),""))</f>
        <v/>
      </c>
      <c r="C43" s="3">
        <f>IF(A43="","",IFERROR(MID(A43,FIND("@",A43)+1,LEN(A43)),""))</f>
        <v/>
      </c>
      <c r="D43" s="3">
        <f>IF(C43="","",LOWER(C43))</f>
        <v/>
      </c>
      <c r="E43" s="3">
        <f>IF(A43="","",IF(AND(LEN(A43)-LEN(SUBSTITUTE(A43,"@",""))=1,LEFT(A43,1)&lt;&gt;"@",ISNUMBER(FIND(".",A43,FIND("@",A43)+2)),RIGHT(A43,1)&lt;&gt;".",ISERROR(FIND(" ",A43))),"OK","Check"))</f>
        <v/>
      </c>
    </row>
    <row r="44">
      <c r="A44" s="2" t="n"/>
      <c r="B44" s="3">
        <f>IF(A44="","",IFERROR(LEFT(A44,FIND("@",A44)-1),""))</f>
        <v/>
      </c>
      <c r="C44" s="3">
        <f>IF(A44="","",IFERROR(MID(A44,FIND("@",A44)+1,LEN(A44)),""))</f>
        <v/>
      </c>
      <c r="D44" s="3">
        <f>IF(C44="","",LOWER(C44))</f>
        <v/>
      </c>
      <c r="E44" s="3">
        <f>IF(A44="","",IF(AND(LEN(A44)-LEN(SUBSTITUTE(A44,"@",""))=1,LEFT(A44,1)&lt;&gt;"@",ISNUMBER(FIND(".",A44,FIND("@",A44)+2)),RIGHT(A44,1)&lt;&gt;".",ISERROR(FIND(" ",A44))),"OK","Check"))</f>
        <v/>
      </c>
    </row>
    <row r="45">
      <c r="A45" s="2" t="n"/>
      <c r="B45" s="3">
        <f>IF(A45="","",IFERROR(LEFT(A45,FIND("@",A45)-1),""))</f>
        <v/>
      </c>
      <c r="C45" s="3">
        <f>IF(A45="","",IFERROR(MID(A45,FIND("@",A45)+1,LEN(A45)),""))</f>
        <v/>
      </c>
      <c r="D45" s="3">
        <f>IF(C45="","",LOWER(C45))</f>
        <v/>
      </c>
      <c r="E45" s="3">
        <f>IF(A45="","",IF(AND(LEN(A45)-LEN(SUBSTITUTE(A45,"@",""))=1,LEFT(A45,1)&lt;&gt;"@",ISNUMBER(FIND(".",A45,FIND("@",A45)+2)),RIGHT(A45,1)&lt;&gt;".",ISERROR(FIND(" ",A45))),"OK","Check"))</f>
        <v/>
      </c>
    </row>
    <row r="46">
      <c r="A46" s="2" t="n"/>
      <c r="B46" s="3">
        <f>IF(A46="","",IFERROR(LEFT(A46,FIND("@",A46)-1),""))</f>
        <v/>
      </c>
      <c r="C46" s="3">
        <f>IF(A46="","",IFERROR(MID(A46,FIND("@",A46)+1,LEN(A46)),""))</f>
        <v/>
      </c>
      <c r="D46" s="3">
        <f>IF(C46="","",LOWER(C46))</f>
        <v/>
      </c>
      <c r="E46" s="3">
        <f>IF(A46="","",IF(AND(LEN(A46)-LEN(SUBSTITUTE(A46,"@",""))=1,LEFT(A46,1)&lt;&gt;"@",ISNUMBER(FIND(".",A46,FIND("@",A46)+2)),RIGHT(A46,1)&lt;&gt;".",ISERROR(FIND(" ",A46))),"OK","Check"))</f>
        <v/>
      </c>
    </row>
    <row r="47">
      <c r="A47" s="2" t="n"/>
      <c r="B47" s="3">
        <f>IF(A47="","",IFERROR(LEFT(A47,FIND("@",A47)-1),""))</f>
        <v/>
      </c>
      <c r="C47" s="3">
        <f>IF(A47="","",IFERROR(MID(A47,FIND("@",A47)+1,LEN(A47)),""))</f>
        <v/>
      </c>
      <c r="D47" s="3">
        <f>IF(C47="","",LOWER(C47))</f>
        <v/>
      </c>
      <c r="E47" s="3">
        <f>IF(A47="","",IF(AND(LEN(A47)-LEN(SUBSTITUTE(A47,"@",""))=1,LEFT(A47,1)&lt;&gt;"@",ISNUMBER(FIND(".",A47,FIND("@",A47)+2)),RIGHT(A47,1)&lt;&gt;".",ISERROR(FIND(" ",A47))),"OK","Check"))</f>
        <v/>
      </c>
    </row>
    <row r="48">
      <c r="A48" s="2" t="n"/>
      <c r="B48" s="3">
        <f>IF(A48="","",IFERROR(LEFT(A48,FIND("@",A48)-1),""))</f>
        <v/>
      </c>
      <c r="C48" s="3">
        <f>IF(A48="","",IFERROR(MID(A48,FIND("@",A48)+1,LEN(A48)),""))</f>
        <v/>
      </c>
      <c r="D48" s="3">
        <f>IF(C48="","",LOWER(C48))</f>
        <v/>
      </c>
      <c r="E48" s="3">
        <f>IF(A48="","",IF(AND(LEN(A48)-LEN(SUBSTITUTE(A48,"@",""))=1,LEFT(A48,1)&lt;&gt;"@",ISNUMBER(FIND(".",A48,FIND("@",A48)+2)),RIGHT(A48,1)&lt;&gt;".",ISERROR(FIND(" ",A48))),"OK","Check"))</f>
        <v/>
      </c>
    </row>
    <row r="49">
      <c r="A49" s="2" t="n"/>
      <c r="B49" s="3">
        <f>IF(A49="","",IFERROR(LEFT(A49,FIND("@",A49)-1),""))</f>
        <v/>
      </c>
      <c r="C49" s="3">
        <f>IF(A49="","",IFERROR(MID(A49,FIND("@",A49)+1,LEN(A49)),""))</f>
        <v/>
      </c>
      <c r="D49" s="3">
        <f>IF(C49="","",LOWER(C49))</f>
        <v/>
      </c>
      <c r="E49" s="3">
        <f>IF(A49="","",IF(AND(LEN(A49)-LEN(SUBSTITUTE(A49,"@",""))=1,LEFT(A49,1)&lt;&gt;"@",ISNUMBER(FIND(".",A49,FIND("@",A49)+2)),RIGHT(A49,1)&lt;&gt;".",ISERROR(FIND(" ",A49))),"OK","Check"))</f>
        <v/>
      </c>
    </row>
    <row r="50">
      <c r="A50" s="2" t="n"/>
      <c r="B50" s="3">
        <f>IF(A50="","",IFERROR(LEFT(A50,FIND("@",A50)-1),""))</f>
        <v/>
      </c>
      <c r="C50" s="3">
        <f>IF(A50="","",IFERROR(MID(A50,FIND("@",A50)+1,LEN(A50)),""))</f>
        <v/>
      </c>
      <c r="D50" s="3">
        <f>IF(C50="","",LOWER(C50))</f>
        <v/>
      </c>
      <c r="E50" s="3">
        <f>IF(A50="","",IF(AND(LEN(A50)-LEN(SUBSTITUTE(A50,"@",""))=1,LEFT(A50,1)&lt;&gt;"@",ISNUMBER(FIND(".",A50,FIND("@",A50)+2)),RIGHT(A50,1)&lt;&gt;".",ISERROR(FIND(" ",A50))),"OK","Check"))</f>
        <v/>
      </c>
    </row>
    <row r="51">
      <c r="A51" s="2" t="n"/>
      <c r="B51" s="3">
        <f>IF(A51="","",IFERROR(LEFT(A51,FIND("@",A51)-1),""))</f>
        <v/>
      </c>
      <c r="C51" s="3">
        <f>IF(A51="","",IFERROR(MID(A51,FIND("@",A51)+1,LEN(A51)),""))</f>
        <v/>
      </c>
      <c r="D51" s="3">
        <f>IF(C51="","",LOWER(C51))</f>
        <v/>
      </c>
      <c r="E51" s="3">
        <f>IF(A51="","",IF(AND(LEN(A51)-LEN(SUBSTITUTE(A51,"@",""))=1,LEFT(A51,1)&lt;&gt;"@",ISNUMBER(FIND(".",A51,FIND("@",A51)+2)),RIGHT(A51,1)&lt;&gt;".",ISERROR(FIND(" ",A51))),"OK","Check"))</f>
        <v/>
      </c>
    </row>
    <row r="52">
      <c r="A52" s="2" t="n"/>
      <c r="B52" s="3">
        <f>IF(A52="","",IFERROR(LEFT(A52,FIND("@",A52)-1),""))</f>
        <v/>
      </c>
      <c r="C52" s="3">
        <f>IF(A52="","",IFERROR(MID(A52,FIND("@",A52)+1,LEN(A52)),""))</f>
        <v/>
      </c>
      <c r="D52" s="3">
        <f>IF(C52="","",LOWER(C52))</f>
        <v/>
      </c>
      <c r="E52" s="3">
        <f>IF(A52="","",IF(AND(LEN(A52)-LEN(SUBSTITUTE(A52,"@",""))=1,LEFT(A52,1)&lt;&gt;"@",ISNUMBER(FIND(".",A52,FIND("@",A52)+2)),RIGHT(A52,1)&lt;&gt;".",ISERROR(FIND(" ",A52))),"OK","Check"))</f>
        <v/>
      </c>
    </row>
    <row r="53">
      <c r="A53" s="2" t="n"/>
      <c r="B53" s="3">
        <f>IF(A53="","",IFERROR(LEFT(A53,FIND("@",A53)-1),""))</f>
        <v/>
      </c>
      <c r="C53" s="3">
        <f>IF(A53="","",IFERROR(MID(A53,FIND("@",A53)+1,LEN(A53)),""))</f>
        <v/>
      </c>
      <c r="D53" s="3">
        <f>IF(C53="","",LOWER(C53))</f>
        <v/>
      </c>
      <c r="E53" s="3">
        <f>IF(A53="","",IF(AND(LEN(A53)-LEN(SUBSTITUTE(A53,"@",""))=1,LEFT(A53,1)&lt;&gt;"@",ISNUMBER(FIND(".",A53,FIND("@",A53)+2)),RIGHT(A53,1)&lt;&gt;".",ISERROR(FIND(" ",A53))),"OK","Check"))</f>
        <v/>
      </c>
    </row>
    <row r="54">
      <c r="A54" s="2" t="n"/>
      <c r="B54" s="3">
        <f>IF(A54="","",IFERROR(LEFT(A54,FIND("@",A54)-1),""))</f>
        <v/>
      </c>
      <c r="C54" s="3">
        <f>IF(A54="","",IFERROR(MID(A54,FIND("@",A54)+1,LEN(A54)),""))</f>
        <v/>
      </c>
      <c r="D54" s="3">
        <f>IF(C54="","",LOWER(C54))</f>
        <v/>
      </c>
      <c r="E54" s="3">
        <f>IF(A54="","",IF(AND(LEN(A54)-LEN(SUBSTITUTE(A54,"@",""))=1,LEFT(A54,1)&lt;&gt;"@",ISNUMBER(FIND(".",A54,FIND("@",A54)+2)),RIGHT(A54,1)&lt;&gt;".",ISERROR(FIND(" ",A54))),"OK","Check"))</f>
        <v/>
      </c>
    </row>
    <row r="55">
      <c r="A55" s="2" t="n"/>
      <c r="B55" s="3">
        <f>IF(A55="","",IFERROR(LEFT(A55,FIND("@",A55)-1),""))</f>
        <v/>
      </c>
      <c r="C55" s="3">
        <f>IF(A55="","",IFERROR(MID(A55,FIND("@",A55)+1,LEN(A55)),""))</f>
        <v/>
      </c>
      <c r="D55" s="3">
        <f>IF(C55="","",LOWER(C55))</f>
        <v/>
      </c>
      <c r="E55" s="3">
        <f>IF(A55="","",IF(AND(LEN(A55)-LEN(SUBSTITUTE(A55,"@",""))=1,LEFT(A55,1)&lt;&gt;"@",ISNUMBER(FIND(".",A55,FIND("@",A55)+2)),RIGHT(A55,1)&lt;&gt;".",ISERROR(FIND(" ",A55))),"OK","Check"))</f>
        <v/>
      </c>
    </row>
    <row r="56">
      <c r="A56" s="2" t="n"/>
      <c r="B56" s="3">
        <f>IF(A56="","",IFERROR(LEFT(A56,FIND("@",A56)-1),""))</f>
        <v/>
      </c>
      <c r="C56" s="3">
        <f>IF(A56="","",IFERROR(MID(A56,FIND("@",A56)+1,LEN(A56)),""))</f>
        <v/>
      </c>
      <c r="D56" s="3">
        <f>IF(C56="","",LOWER(C56))</f>
        <v/>
      </c>
      <c r="E56" s="3">
        <f>IF(A56="","",IF(AND(LEN(A56)-LEN(SUBSTITUTE(A56,"@",""))=1,LEFT(A56,1)&lt;&gt;"@",ISNUMBER(FIND(".",A56,FIND("@",A56)+2)),RIGHT(A56,1)&lt;&gt;".",ISERROR(FIND(" ",A56))),"OK","Check"))</f>
        <v/>
      </c>
    </row>
    <row r="57">
      <c r="A57" s="2" t="n"/>
      <c r="B57" s="3">
        <f>IF(A57="","",IFERROR(LEFT(A57,FIND("@",A57)-1),""))</f>
        <v/>
      </c>
      <c r="C57" s="3">
        <f>IF(A57="","",IFERROR(MID(A57,FIND("@",A57)+1,LEN(A57)),""))</f>
        <v/>
      </c>
      <c r="D57" s="3">
        <f>IF(C57="","",LOWER(C57))</f>
        <v/>
      </c>
      <c r="E57" s="3">
        <f>IF(A57="","",IF(AND(LEN(A57)-LEN(SUBSTITUTE(A57,"@",""))=1,LEFT(A57,1)&lt;&gt;"@",ISNUMBER(FIND(".",A57,FIND("@",A57)+2)),RIGHT(A57,1)&lt;&gt;".",ISERROR(FIND(" ",A57))),"OK","Check"))</f>
        <v/>
      </c>
    </row>
    <row r="58">
      <c r="A58" s="2" t="n"/>
      <c r="B58" s="3">
        <f>IF(A58="","",IFERROR(LEFT(A58,FIND("@",A58)-1),""))</f>
        <v/>
      </c>
      <c r="C58" s="3">
        <f>IF(A58="","",IFERROR(MID(A58,FIND("@",A58)+1,LEN(A58)),""))</f>
        <v/>
      </c>
      <c r="D58" s="3">
        <f>IF(C58="","",LOWER(C58))</f>
        <v/>
      </c>
      <c r="E58" s="3">
        <f>IF(A58="","",IF(AND(LEN(A58)-LEN(SUBSTITUTE(A58,"@",""))=1,LEFT(A58,1)&lt;&gt;"@",ISNUMBER(FIND(".",A58,FIND("@",A58)+2)),RIGHT(A58,1)&lt;&gt;".",ISERROR(FIND(" ",A58))),"OK","Check"))</f>
        <v/>
      </c>
    </row>
    <row r="59">
      <c r="A59" s="2" t="n"/>
      <c r="B59" s="3">
        <f>IF(A59="","",IFERROR(LEFT(A59,FIND("@",A59)-1),""))</f>
        <v/>
      </c>
      <c r="C59" s="3">
        <f>IF(A59="","",IFERROR(MID(A59,FIND("@",A59)+1,LEN(A59)),""))</f>
        <v/>
      </c>
      <c r="D59" s="3">
        <f>IF(C59="","",LOWER(C59))</f>
        <v/>
      </c>
      <c r="E59" s="3">
        <f>IF(A59="","",IF(AND(LEN(A59)-LEN(SUBSTITUTE(A59,"@",""))=1,LEFT(A59,1)&lt;&gt;"@",ISNUMBER(FIND(".",A59,FIND("@",A59)+2)),RIGHT(A59,1)&lt;&gt;".",ISERROR(FIND(" ",A59))),"OK","Check"))</f>
        <v/>
      </c>
    </row>
    <row r="60">
      <c r="A60" s="2" t="n"/>
      <c r="B60" s="3">
        <f>IF(A60="","",IFERROR(LEFT(A60,FIND("@",A60)-1),""))</f>
        <v/>
      </c>
      <c r="C60" s="3">
        <f>IF(A60="","",IFERROR(MID(A60,FIND("@",A60)+1,LEN(A60)),""))</f>
        <v/>
      </c>
      <c r="D60" s="3">
        <f>IF(C60="","",LOWER(C60))</f>
        <v/>
      </c>
      <c r="E60" s="3">
        <f>IF(A60="","",IF(AND(LEN(A60)-LEN(SUBSTITUTE(A60,"@",""))=1,LEFT(A60,1)&lt;&gt;"@",ISNUMBER(FIND(".",A60,FIND("@",A60)+2)),RIGHT(A60,1)&lt;&gt;".",ISERROR(FIND(" ",A60))),"OK","Check"))</f>
        <v/>
      </c>
    </row>
    <row r="61">
      <c r="A61" s="4" t="n"/>
      <c r="B61">
        <f>IF(A61="","",IFERROR(LEFT(A61,FIND("@",A61)-1),""))</f>
        <v/>
      </c>
      <c r="C61">
        <f>IF(A61="","",IFERROR(MID(A61,FIND("@",A61)+1,LEN(A61)),""))</f>
        <v/>
      </c>
      <c r="D61">
        <f>IF(C61="","",LOWER(C61))</f>
        <v/>
      </c>
      <c r="E61">
        <f>IF(A61="","",IF(AND(LEN(A61)-LEN(SUBSTITUTE(A61,"@",""))=1,LEFT(A61,1)&lt;&gt;"@",ISNUMBER(FIND(".",A61,FIND("@",A61)+2)),RIGHT(A61,1)&lt;&gt;".",ISERROR(FIND(" ",A61))),"OK","Check"))</f>
        <v/>
      </c>
    </row>
    <row r="62">
      <c r="A62" s="4" t="n"/>
      <c r="B62">
        <f>IF(A62="","",IFERROR(LEFT(A62,FIND("@",A62)-1),""))</f>
        <v/>
      </c>
      <c r="C62">
        <f>IF(A62="","",IFERROR(MID(A62,FIND("@",A62)+1,LEN(A62)),""))</f>
        <v/>
      </c>
      <c r="D62">
        <f>IF(C62="","",LOWER(C62))</f>
        <v/>
      </c>
      <c r="E62">
        <f>IF(A62="","",IF(AND(LEN(A62)-LEN(SUBSTITUTE(A62,"@",""))=1,LEFT(A62,1)&lt;&gt;"@",ISNUMBER(FIND(".",A62,FIND("@",A62)+2)),RIGHT(A62,1)&lt;&gt;".",ISERROR(FIND(" ",A62))),"OK","Check"))</f>
        <v/>
      </c>
    </row>
    <row r="63">
      <c r="A63" s="4" t="n"/>
      <c r="B63">
        <f>IF(A63="","",IFERROR(LEFT(A63,FIND("@",A63)-1),""))</f>
        <v/>
      </c>
      <c r="C63">
        <f>IF(A63="","",IFERROR(MID(A63,FIND("@",A63)+1,LEN(A63)),""))</f>
        <v/>
      </c>
      <c r="D63">
        <f>IF(C63="","",LOWER(C63))</f>
        <v/>
      </c>
      <c r="E63">
        <f>IF(A63="","",IF(AND(LEN(A63)-LEN(SUBSTITUTE(A63,"@",""))=1,LEFT(A63,1)&lt;&gt;"@",ISNUMBER(FIND(".",A63,FIND("@",A63)+2)),RIGHT(A63,1)&lt;&gt;".",ISERROR(FIND(" ",A63))),"OK","Check"))</f>
        <v/>
      </c>
    </row>
    <row r="64">
      <c r="A64" s="4" t="n"/>
      <c r="B64">
        <f>IF(A64="","",IFERROR(LEFT(A64,FIND("@",A64)-1),""))</f>
        <v/>
      </c>
      <c r="C64">
        <f>IF(A64="","",IFERROR(MID(A64,FIND("@",A64)+1,LEN(A64)),""))</f>
        <v/>
      </c>
      <c r="D64">
        <f>IF(C64="","",LOWER(C64))</f>
        <v/>
      </c>
      <c r="E64">
        <f>IF(A64="","",IF(AND(LEN(A64)-LEN(SUBSTITUTE(A64,"@",""))=1,LEFT(A64,1)&lt;&gt;"@",ISNUMBER(FIND(".",A64,FIND("@",A64)+2)),RIGHT(A64,1)&lt;&gt;".",ISERROR(FIND(" ",A64))),"OK","Check"))</f>
        <v/>
      </c>
    </row>
    <row r="65">
      <c r="A65" s="4" t="n"/>
      <c r="B65">
        <f>IF(A65="","",IFERROR(LEFT(A65,FIND("@",A65)-1),""))</f>
        <v/>
      </c>
      <c r="C65">
        <f>IF(A65="","",IFERROR(MID(A65,FIND("@",A65)+1,LEN(A65)),""))</f>
        <v/>
      </c>
      <c r="D65">
        <f>IF(C65="","",LOWER(C65))</f>
        <v/>
      </c>
      <c r="E65">
        <f>IF(A65="","",IF(AND(LEN(A65)-LEN(SUBSTITUTE(A65,"@",""))=1,LEFT(A65,1)&lt;&gt;"@",ISNUMBER(FIND(".",A65,FIND("@",A65)+2)),RIGHT(A65,1)&lt;&gt;".",ISERROR(FIND(" ",A65))),"OK","Check"))</f>
        <v/>
      </c>
    </row>
    <row r="66">
      <c r="A66" s="4" t="n"/>
      <c r="B66">
        <f>IF(A66="","",IFERROR(LEFT(A66,FIND("@",A66)-1),""))</f>
        <v/>
      </c>
      <c r="C66">
        <f>IF(A66="","",IFERROR(MID(A66,FIND("@",A66)+1,LEN(A66)),""))</f>
        <v/>
      </c>
      <c r="D66">
        <f>IF(C66="","",LOWER(C66))</f>
        <v/>
      </c>
      <c r="E66">
        <f>IF(A66="","",IF(AND(LEN(A66)-LEN(SUBSTITUTE(A66,"@",""))=1,LEFT(A66,1)&lt;&gt;"@",ISNUMBER(FIND(".",A66,FIND("@",A66)+2)),RIGHT(A66,1)&lt;&gt;".",ISERROR(FIND(" ",A66))),"OK","Check"))</f>
        <v/>
      </c>
    </row>
    <row r="67">
      <c r="A67" s="4" t="n"/>
      <c r="B67">
        <f>IF(A67="","",IFERROR(LEFT(A67,FIND("@",A67)-1),""))</f>
        <v/>
      </c>
      <c r="C67">
        <f>IF(A67="","",IFERROR(MID(A67,FIND("@",A67)+1,LEN(A67)),""))</f>
        <v/>
      </c>
      <c r="D67">
        <f>IF(C67="","",LOWER(C67))</f>
        <v/>
      </c>
      <c r="E67">
        <f>IF(A67="","",IF(AND(LEN(A67)-LEN(SUBSTITUTE(A67,"@",""))=1,LEFT(A67,1)&lt;&gt;"@",ISNUMBER(FIND(".",A67,FIND("@",A67)+2)),RIGHT(A67,1)&lt;&gt;".",ISERROR(FIND(" ",A67))),"OK","Check"))</f>
        <v/>
      </c>
    </row>
    <row r="68">
      <c r="A68" s="4" t="n"/>
      <c r="B68">
        <f>IF(A68="","",IFERROR(LEFT(A68,FIND("@",A68)-1),""))</f>
        <v/>
      </c>
      <c r="C68">
        <f>IF(A68="","",IFERROR(MID(A68,FIND("@",A68)+1,LEN(A68)),""))</f>
        <v/>
      </c>
      <c r="D68">
        <f>IF(C68="","",LOWER(C68))</f>
        <v/>
      </c>
      <c r="E68">
        <f>IF(A68="","",IF(AND(LEN(A68)-LEN(SUBSTITUTE(A68,"@",""))=1,LEFT(A68,1)&lt;&gt;"@",ISNUMBER(FIND(".",A68,FIND("@",A68)+2)),RIGHT(A68,1)&lt;&gt;".",ISERROR(FIND(" ",A68))),"OK","Check"))</f>
        <v/>
      </c>
    </row>
    <row r="69">
      <c r="A69" s="4" t="n"/>
      <c r="B69">
        <f>IF(A69="","",IFERROR(LEFT(A69,FIND("@",A69)-1),""))</f>
        <v/>
      </c>
      <c r="C69">
        <f>IF(A69="","",IFERROR(MID(A69,FIND("@",A69)+1,LEN(A69)),""))</f>
        <v/>
      </c>
      <c r="D69">
        <f>IF(C69="","",LOWER(C69))</f>
        <v/>
      </c>
      <c r="E69">
        <f>IF(A69="","",IF(AND(LEN(A69)-LEN(SUBSTITUTE(A69,"@",""))=1,LEFT(A69,1)&lt;&gt;"@",ISNUMBER(FIND(".",A69,FIND("@",A69)+2)),RIGHT(A69,1)&lt;&gt;".",ISERROR(FIND(" ",A69))),"OK","Check"))</f>
        <v/>
      </c>
    </row>
    <row r="70">
      <c r="A70" s="4" t="n"/>
      <c r="B70">
        <f>IF(A70="","",IFERROR(LEFT(A70,FIND("@",A70)-1),""))</f>
        <v/>
      </c>
      <c r="C70">
        <f>IF(A70="","",IFERROR(MID(A70,FIND("@",A70)+1,LEN(A70)),""))</f>
        <v/>
      </c>
      <c r="D70">
        <f>IF(C70="","",LOWER(C70))</f>
        <v/>
      </c>
      <c r="E70">
        <f>IF(A70="","",IF(AND(LEN(A70)-LEN(SUBSTITUTE(A70,"@",""))=1,LEFT(A70,1)&lt;&gt;"@",ISNUMBER(FIND(".",A70,FIND("@",A70)+2)),RIGHT(A70,1)&lt;&gt;".",ISERROR(FIND(" ",A70))),"OK","Check"))</f>
        <v/>
      </c>
    </row>
    <row r="71">
      <c r="A71" s="4" t="n"/>
      <c r="B71">
        <f>IF(A71="","",IFERROR(LEFT(A71,FIND("@",A71)-1),""))</f>
        <v/>
      </c>
      <c r="C71">
        <f>IF(A71="","",IFERROR(MID(A71,FIND("@",A71)+1,LEN(A71)),""))</f>
        <v/>
      </c>
      <c r="D71">
        <f>IF(C71="","",LOWER(C71))</f>
        <v/>
      </c>
      <c r="E71">
        <f>IF(A71="","",IF(AND(LEN(A71)-LEN(SUBSTITUTE(A71,"@",""))=1,LEFT(A71,1)&lt;&gt;"@",ISNUMBER(FIND(".",A71,FIND("@",A71)+2)),RIGHT(A71,1)&lt;&gt;".",ISERROR(FIND(" ",A71))),"OK","Check"))</f>
        <v/>
      </c>
    </row>
    <row r="72">
      <c r="A72" s="4" t="n"/>
      <c r="B72">
        <f>IF(A72="","",IFERROR(LEFT(A72,FIND("@",A72)-1),""))</f>
        <v/>
      </c>
      <c r="C72">
        <f>IF(A72="","",IFERROR(MID(A72,FIND("@",A72)+1,LEN(A72)),""))</f>
        <v/>
      </c>
      <c r="D72">
        <f>IF(C72="","",LOWER(C72))</f>
        <v/>
      </c>
      <c r="E72">
        <f>IF(A72="","",IF(AND(LEN(A72)-LEN(SUBSTITUTE(A72,"@",""))=1,LEFT(A72,1)&lt;&gt;"@",ISNUMBER(FIND(".",A72,FIND("@",A72)+2)),RIGHT(A72,1)&lt;&gt;".",ISERROR(FIND(" ",A72))),"OK","Check"))</f>
        <v/>
      </c>
    </row>
    <row r="73">
      <c r="A73" s="4" t="n"/>
      <c r="B73">
        <f>IF(A73="","",IFERROR(LEFT(A73,FIND("@",A73)-1),""))</f>
        <v/>
      </c>
      <c r="C73">
        <f>IF(A73="","",IFERROR(MID(A73,FIND("@",A73)+1,LEN(A73)),""))</f>
        <v/>
      </c>
      <c r="D73">
        <f>IF(C73="","",LOWER(C73))</f>
        <v/>
      </c>
      <c r="E73">
        <f>IF(A73="","",IF(AND(LEN(A73)-LEN(SUBSTITUTE(A73,"@",""))=1,LEFT(A73,1)&lt;&gt;"@",ISNUMBER(FIND(".",A73,FIND("@",A73)+2)),RIGHT(A73,1)&lt;&gt;".",ISERROR(FIND(" ",A73))),"OK","Check"))</f>
        <v/>
      </c>
    </row>
    <row r="74">
      <c r="A74" s="4" t="n"/>
      <c r="B74">
        <f>IF(A74="","",IFERROR(LEFT(A74,FIND("@",A74)-1),""))</f>
        <v/>
      </c>
      <c r="C74">
        <f>IF(A74="","",IFERROR(MID(A74,FIND("@",A74)+1,LEN(A74)),""))</f>
        <v/>
      </c>
      <c r="D74">
        <f>IF(C74="","",LOWER(C74))</f>
        <v/>
      </c>
      <c r="E74">
        <f>IF(A74="","",IF(AND(LEN(A74)-LEN(SUBSTITUTE(A74,"@",""))=1,LEFT(A74,1)&lt;&gt;"@",ISNUMBER(FIND(".",A74,FIND("@",A74)+2)),RIGHT(A74,1)&lt;&gt;".",ISERROR(FIND(" ",A74))),"OK","Check"))</f>
        <v/>
      </c>
    </row>
    <row r="75">
      <c r="A75" s="4" t="n"/>
      <c r="B75">
        <f>IF(A75="","",IFERROR(LEFT(A75,FIND("@",A75)-1),""))</f>
        <v/>
      </c>
      <c r="C75">
        <f>IF(A75="","",IFERROR(MID(A75,FIND("@",A75)+1,LEN(A75)),""))</f>
        <v/>
      </c>
      <c r="D75">
        <f>IF(C75="","",LOWER(C75))</f>
        <v/>
      </c>
      <c r="E75">
        <f>IF(A75="","",IF(AND(LEN(A75)-LEN(SUBSTITUTE(A75,"@",""))=1,LEFT(A75,1)&lt;&gt;"@",ISNUMBER(FIND(".",A75,FIND("@",A75)+2)),RIGHT(A75,1)&lt;&gt;".",ISERROR(FIND(" ",A75))),"OK","Check"))</f>
        <v/>
      </c>
    </row>
    <row r="76">
      <c r="A76" s="4" t="n"/>
      <c r="B76">
        <f>IF(A76="","",IFERROR(LEFT(A76,FIND("@",A76)-1),""))</f>
        <v/>
      </c>
      <c r="C76">
        <f>IF(A76="","",IFERROR(MID(A76,FIND("@",A76)+1,LEN(A76)),""))</f>
        <v/>
      </c>
      <c r="D76">
        <f>IF(C76="","",LOWER(C76))</f>
        <v/>
      </c>
      <c r="E76">
        <f>IF(A76="","",IF(AND(LEN(A76)-LEN(SUBSTITUTE(A76,"@",""))=1,LEFT(A76,1)&lt;&gt;"@",ISNUMBER(FIND(".",A76,FIND("@",A76)+2)),RIGHT(A76,1)&lt;&gt;".",ISERROR(FIND(" ",A76))),"OK","Check"))</f>
        <v/>
      </c>
    </row>
    <row r="77">
      <c r="A77" s="4" t="n"/>
      <c r="B77">
        <f>IF(A77="","",IFERROR(LEFT(A77,FIND("@",A77)-1),""))</f>
        <v/>
      </c>
      <c r="C77">
        <f>IF(A77="","",IFERROR(MID(A77,FIND("@",A77)+1,LEN(A77)),""))</f>
        <v/>
      </c>
      <c r="D77">
        <f>IF(C77="","",LOWER(C77))</f>
        <v/>
      </c>
      <c r="E77">
        <f>IF(A77="","",IF(AND(LEN(A77)-LEN(SUBSTITUTE(A77,"@",""))=1,LEFT(A77,1)&lt;&gt;"@",ISNUMBER(FIND(".",A77,FIND("@",A77)+2)),RIGHT(A77,1)&lt;&gt;".",ISERROR(FIND(" ",A77))),"OK","Check"))</f>
        <v/>
      </c>
    </row>
    <row r="78">
      <c r="A78" s="4" t="n"/>
      <c r="B78">
        <f>IF(A78="","",IFERROR(LEFT(A78,FIND("@",A78)-1),""))</f>
        <v/>
      </c>
      <c r="C78">
        <f>IF(A78="","",IFERROR(MID(A78,FIND("@",A78)+1,LEN(A78)),""))</f>
        <v/>
      </c>
      <c r="D78">
        <f>IF(C78="","",LOWER(C78))</f>
        <v/>
      </c>
      <c r="E78">
        <f>IF(A78="","",IF(AND(LEN(A78)-LEN(SUBSTITUTE(A78,"@",""))=1,LEFT(A78,1)&lt;&gt;"@",ISNUMBER(FIND(".",A78,FIND("@",A78)+2)),RIGHT(A78,1)&lt;&gt;".",ISERROR(FIND(" ",A78))),"OK","Check"))</f>
        <v/>
      </c>
    </row>
    <row r="79">
      <c r="A79" s="4" t="n"/>
      <c r="B79">
        <f>IF(A79="","",IFERROR(LEFT(A79,FIND("@",A79)-1),""))</f>
        <v/>
      </c>
      <c r="C79">
        <f>IF(A79="","",IFERROR(MID(A79,FIND("@",A79)+1,LEN(A79)),""))</f>
        <v/>
      </c>
      <c r="D79">
        <f>IF(C79="","",LOWER(C79))</f>
        <v/>
      </c>
      <c r="E79">
        <f>IF(A79="","",IF(AND(LEN(A79)-LEN(SUBSTITUTE(A79,"@",""))=1,LEFT(A79,1)&lt;&gt;"@",ISNUMBER(FIND(".",A79,FIND("@",A79)+2)),RIGHT(A79,1)&lt;&gt;".",ISERROR(FIND(" ",A79))),"OK","Check"))</f>
        <v/>
      </c>
    </row>
    <row r="80">
      <c r="A80" s="4" t="n"/>
      <c r="B80">
        <f>IF(A80="","",IFERROR(LEFT(A80,FIND("@",A80)-1),""))</f>
        <v/>
      </c>
      <c r="C80">
        <f>IF(A80="","",IFERROR(MID(A80,FIND("@",A80)+1,LEN(A80)),""))</f>
        <v/>
      </c>
      <c r="D80">
        <f>IF(C80="","",LOWER(C80))</f>
        <v/>
      </c>
      <c r="E80">
        <f>IF(A80="","",IF(AND(LEN(A80)-LEN(SUBSTITUTE(A80,"@",""))=1,LEFT(A80,1)&lt;&gt;"@",ISNUMBER(FIND(".",A80,FIND("@",A80)+2)),RIGHT(A80,1)&lt;&gt;".",ISERROR(FIND(" ",A80))),"OK","Check"))</f>
        <v/>
      </c>
    </row>
    <row r="81">
      <c r="A81" s="4" t="n"/>
      <c r="B81">
        <f>IF(A81="","",IFERROR(LEFT(A81,FIND("@",A81)-1),""))</f>
        <v/>
      </c>
      <c r="C81">
        <f>IF(A81="","",IFERROR(MID(A81,FIND("@",A81)+1,LEN(A81)),""))</f>
        <v/>
      </c>
      <c r="D81">
        <f>IF(C81="","",LOWER(C81))</f>
        <v/>
      </c>
      <c r="E81">
        <f>IF(A81="","",IF(AND(LEN(A81)-LEN(SUBSTITUTE(A81,"@",""))=1,LEFT(A81,1)&lt;&gt;"@",ISNUMBER(FIND(".",A81,FIND("@",A81)+2)),RIGHT(A81,1)&lt;&gt;".",ISERROR(FIND(" ",A81))),"OK","Check"))</f>
        <v/>
      </c>
    </row>
    <row r="82">
      <c r="A82" s="4" t="n"/>
      <c r="B82">
        <f>IF(A82="","",IFERROR(LEFT(A82,FIND("@",A82)-1),""))</f>
        <v/>
      </c>
      <c r="C82">
        <f>IF(A82="","",IFERROR(MID(A82,FIND("@",A82)+1,LEN(A82)),""))</f>
        <v/>
      </c>
      <c r="D82">
        <f>IF(C82="","",LOWER(C82))</f>
        <v/>
      </c>
      <c r="E82">
        <f>IF(A82="","",IF(AND(LEN(A82)-LEN(SUBSTITUTE(A82,"@",""))=1,LEFT(A82,1)&lt;&gt;"@",ISNUMBER(FIND(".",A82,FIND("@",A82)+2)),RIGHT(A82,1)&lt;&gt;".",ISERROR(FIND(" ",A82))),"OK","Check"))</f>
        <v/>
      </c>
    </row>
    <row r="83">
      <c r="A83" s="4" t="n"/>
      <c r="B83">
        <f>IF(A83="","",IFERROR(LEFT(A83,FIND("@",A83)-1),""))</f>
        <v/>
      </c>
      <c r="C83">
        <f>IF(A83="","",IFERROR(MID(A83,FIND("@",A83)+1,LEN(A83)),""))</f>
        <v/>
      </c>
      <c r="D83">
        <f>IF(C83="","",LOWER(C83))</f>
        <v/>
      </c>
      <c r="E83">
        <f>IF(A83="","",IF(AND(LEN(A83)-LEN(SUBSTITUTE(A83,"@",""))=1,LEFT(A83,1)&lt;&gt;"@",ISNUMBER(FIND(".",A83,FIND("@",A83)+2)),RIGHT(A83,1)&lt;&gt;".",ISERROR(FIND(" ",A83))),"OK","Check"))</f>
        <v/>
      </c>
    </row>
    <row r="84">
      <c r="A84" s="4" t="n"/>
      <c r="B84">
        <f>IF(A84="","",IFERROR(LEFT(A84,FIND("@",A84)-1),""))</f>
        <v/>
      </c>
      <c r="C84">
        <f>IF(A84="","",IFERROR(MID(A84,FIND("@",A84)+1,LEN(A84)),""))</f>
        <v/>
      </c>
      <c r="D84">
        <f>IF(C84="","",LOWER(C84))</f>
        <v/>
      </c>
      <c r="E84">
        <f>IF(A84="","",IF(AND(LEN(A84)-LEN(SUBSTITUTE(A84,"@",""))=1,LEFT(A84,1)&lt;&gt;"@",ISNUMBER(FIND(".",A84,FIND("@",A84)+2)),RIGHT(A84,1)&lt;&gt;".",ISERROR(FIND(" ",A84))),"OK","Check"))</f>
        <v/>
      </c>
    </row>
    <row r="85">
      <c r="A85" s="4" t="n"/>
      <c r="B85">
        <f>IF(A85="","",IFERROR(LEFT(A85,FIND("@",A85)-1),""))</f>
        <v/>
      </c>
      <c r="C85">
        <f>IF(A85="","",IFERROR(MID(A85,FIND("@",A85)+1,LEN(A85)),""))</f>
        <v/>
      </c>
      <c r="D85">
        <f>IF(C85="","",LOWER(C85))</f>
        <v/>
      </c>
      <c r="E85">
        <f>IF(A85="","",IF(AND(LEN(A85)-LEN(SUBSTITUTE(A85,"@",""))=1,LEFT(A85,1)&lt;&gt;"@",ISNUMBER(FIND(".",A85,FIND("@",A85)+2)),RIGHT(A85,1)&lt;&gt;".",ISERROR(FIND(" ",A85))),"OK","Check"))</f>
        <v/>
      </c>
    </row>
    <row r="86">
      <c r="A86" s="4" t="n"/>
      <c r="B86">
        <f>IF(A86="","",IFERROR(LEFT(A86,FIND("@",A86)-1),""))</f>
        <v/>
      </c>
      <c r="C86">
        <f>IF(A86="","",IFERROR(MID(A86,FIND("@",A86)+1,LEN(A86)),""))</f>
        <v/>
      </c>
      <c r="D86">
        <f>IF(C86="","",LOWER(C86))</f>
        <v/>
      </c>
      <c r="E86">
        <f>IF(A86="","",IF(AND(LEN(A86)-LEN(SUBSTITUTE(A86,"@",""))=1,LEFT(A86,1)&lt;&gt;"@",ISNUMBER(FIND(".",A86,FIND("@",A86)+2)),RIGHT(A86,1)&lt;&gt;".",ISERROR(FIND(" ",A86))),"OK","Check"))</f>
        <v/>
      </c>
    </row>
    <row r="87">
      <c r="A87" s="4" t="n"/>
      <c r="B87">
        <f>IF(A87="","",IFERROR(LEFT(A87,FIND("@",A87)-1),""))</f>
        <v/>
      </c>
      <c r="C87">
        <f>IF(A87="","",IFERROR(MID(A87,FIND("@",A87)+1,LEN(A87)),""))</f>
        <v/>
      </c>
      <c r="D87">
        <f>IF(C87="","",LOWER(C87))</f>
        <v/>
      </c>
      <c r="E87">
        <f>IF(A87="","",IF(AND(LEN(A87)-LEN(SUBSTITUTE(A87,"@",""))=1,LEFT(A87,1)&lt;&gt;"@",ISNUMBER(FIND(".",A87,FIND("@",A87)+2)),RIGHT(A87,1)&lt;&gt;".",ISERROR(FIND(" ",A87))),"OK","Check"))</f>
        <v/>
      </c>
    </row>
    <row r="88">
      <c r="A88" s="4" t="n"/>
      <c r="B88">
        <f>IF(A88="","",IFERROR(LEFT(A88,FIND("@",A88)-1),""))</f>
        <v/>
      </c>
      <c r="C88">
        <f>IF(A88="","",IFERROR(MID(A88,FIND("@",A88)+1,LEN(A88)),""))</f>
        <v/>
      </c>
      <c r="D88">
        <f>IF(C88="","",LOWER(C88))</f>
        <v/>
      </c>
      <c r="E88">
        <f>IF(A88="","",IF(AND(LEN(A88)-LEN(SUBSTITUTE(A88,"@",""))=1,LEFT(A88,1)&lt;&gt;"@",ISNUMBER(FIND(".",A88,FIND("@",A88)+2)),RIGHT(A88,1)&lt;&gt;".",ISERROR(FIND(" ",A88))),"OK","Check"))</f>
        <v/>
      </c>
    </row>
    <row r="89">
      <c r="A89" s="4" t="n"/>
      <c r="B89">
        <f>IF(A89="","",IFERROR(LEFT(A89,FIND("@",A89)-1),""))</f>
        <v/>
      </c>
      <c r="C89">
        <f>IF(A89="","",IFERROR(MID(A89,FIND("@",A89)+1,LEN(A89)),""))</f>
        <v/>
      </c>
      <c r="D89">
        <f>IF(C89="","",LOWER(C89))</f>
        <v/>
      </c>
      <c r="E89">
        <f>IF(A89="","",IF(AND(LEN(A89)-LEN(SUBSTITUTE(A89,"@",""))=1,LEFT(A89,1)&lt;&gt;"@",ISNUMBER(FIND(".",A89,FIND("@",A89)+2)),RIGHT(A89,1)&lt;&gt;".",ISERROR(FIND(" ",A89))),"OK","Check"))</f>
        <v/>
      </c>
    </row>
    <row r="90">
      <c r="A90" s="4" t="n"/>
      <c r="B90">
        <f>IF(A90="","",IFERROR(LEFT(A90,FIND("@",A90)-1),""))</f>
        <v/>
      </c>
      <c r="C90">
        <f>IF(A90="","",IFERROR(MID(A90,FIND("@",A90)+1,LEN(A90)),""))</f>
        <v/>
      </c>
      <c r="D90">
        <f>IF(C90="","",LOWER(C90))</f>
        <v/>
      </c>
      <c r="E90">
        <f>IF(A90="","",IF(AND(LEN(A90)-LEN(SUBSTITUTE(A90,"@",""))=1,LEFT(A90,1)&lt;&gt;"@",ISNUMBER(FIND(".",A90,FIND("@",A90)+2)),RIGHT(A90,1)&lt;&gt;".",ISERROR(FIND(" ",A90))),"OK","Check"))</f>
        <v/>
      </c>
    </row>
    <row r="91">
      <c r="A91" s="4" t="n"/>
      <c r="B91">
        <f>IF(A91="","",IFERROR(LEFT(A91,FIND("@",A91)-1),""))</f>
        <v/>
      </c>
      <c r="C91">
        <f>IF(A91="","",IFERROR(MID(A91,FIND("@",A91)+1,LEN(A91)),""))</f>
        <v/>
      </c>
      <c r="D91">
        <f>IF(C91="","",LOWER(C91))</f>
        <v/>
      </c>
      <c r="E91">
        <f>IF(A91="","",IF(AND(LEN(A91)-LEN(SUBSTITUTE(A91,"@",""))=1,LEFT(A91,1)&lt;&gt;"@",ISNUMBER(FIND(".",A91,FIND("@",A91)+2)),RIGHT(A91,1)&lt;&gt;".",ISERROR(FIND(" ",A91))),"OK","Check"))</f>
        <v/>
      </c>
    </row>
    <row r="92">
      <c r="A92" s="4" t="n"/>
      <c r="B92">
        <f>IF(A92="","",IFERROR(LEFT(A92,FIND("@",A92)-1),""))</f>
        <v/>
      </c>
      <c r="C92">
        <f>IF(A92="","",IFERROR(MID(A92,FIND("@",A92)+1,LEN(A92)),""))</f>
        <v/>
      </c>
      <c r="D92">
        <f>IF(C92="","",LOWER(C92))</f>
        <v/>
      </c>
      <c r="E92">
        <f>IF(A92="","",IF(AND(LEN(A92)-LEN(SUBSTITUTE(A92,"@",""))=1,LEFT(A92,1)&lt;&gt;"@",ISNUMBER(FIND(".",A92,FIND("@",A92)+2)),RIGHT(A92,1)&lt;&gt;".",ISERROR(FIND(" ",A92))),"OK","Check"))</f>
        <v/>
      </c>
    </row>
    <row r="93">
      <c r="A93" s="4" t="n"/>
      <c r="B93">
        <f>IF(A93="","",IFERROR(LEFT(A93,FIND("@",A93)-1),""))</f>
        <v/>
      </c>
      <c r="C93">
        <f>IF(A93="","",IFERROR(MID(A93,FIND("@",A93)+1,LEN(A93)),""))</f>
        <v/>
      </c>
      <c r="D93">
        <f>IF(C93="","",LOWER(C93))</f>
        <v/>
      </c>
      <c r="E93">
        <f>IF(A93="","",IF(AND(LEN(A93)-LEN(SUBSTITUTE(A93,"@",""))=1,LEFT(A93,1)&lt;&gt;"@",ISNUMBER(FIND(".",A93,FIND("@",A93)+2)),RIGHT(A93,1)&lt;&gt;".",ISERROR(FIND(" ",A93))),"OK","Check"))</f>
        <v/>
      </c>
    </row>
    <row r="94">
      <c r="A94" s="4" t="n"/>
      <c r="B94">
        <f>IF(A94="","",IFERROR(LEFT(A94,FIND("@",A94)-1),""))</f>
        <v/>
      </c>
      <c r="C94">
        <f>IF(A94="","",IFERROR(MID(A94,FIND("@",A94)+1,LEN(A94)),""))</f>
        <v/>
      </c>
      <c r="D94">
        <f>IF(C94="","",LOWER(C94))</f>
        <v/>
      </c>
      <c r="E94">
        <f>IF(A94="","",IF(AND(LEN(A94)-LEN(SUBSTITUTE(A94,"@",""))=1,LEFT(A94,1)&lt;&gt;"@",ISNUMBER(FIND(".",A94,FIND("@",A94)+2)),RIGHT(A94,1)&lt;&gt;".",ISERROR(FIND(" ",A94))),"OK","Check"))</f>
        <v/>
      </c>
    </row>
    <row r="95">
      <c r="A95" s="4" t="n"/>
      <c r="B95">
        <f>IF(A95="","",IFERROR(LEFT(A95,FIND("@",A95)-1),""))</f>
        <v/>
      </c>
      <c r="C95">
        <f>IF(A95="","",IFERROR(MID(A95,FIND("@",A95)+1,LEN(A95)),""))</f>
        <v/>
      </c>
      <c r="D95">
        <f>IF(C95="","",LOWER(C95))</f>
        <v/>
      </c>
      <c r="E95">
        <f>IF(A95="","",IF(AND(LEN(A95)-LEN(SUBSTITUTE(A95,"@",""))=1,LEFT(A95,1)&lt;&gt;"@",ISNUMBER(FIND(".",A95,FIND("@",A95)+2)),RIGHT(A95,1)&lt;&gt;".",ISERROR(FIND(" ",A95))),"OK","Check"))</f>
        <v/>
      </c>
    </row>
    <row r="96">
      <c r="A96" s="4" t="n"/>
      <c r="B96">
        <f>IF(A96="","",IFERROR(LEFT(A96,FIND("@",A96)-1),""))</f>
        <v/>
      </c>
      <c r="C96">
        <f>IF(A96="","",IFERROR(MID(A96,FIND("@",A96)+1,LEN(A96)),""))</f>
        <v/>
      </c>
      <c r="D96">
        <f>IF(C96="","",LOWER(C96))</f>
        <v/>
      </c>
      <c r="E96">
        <f>IF(A96="","",IF(AND(LEN(A96)-LEN(SUBSTITUTE(A96,"@",""))=1,LEFT(A96,1)&lt;&gt;"@",ISNUMBER(FIND(".",A96,FIND("@",A96)+2)),RIGHT(A96,1)&lt;&gt;".",ISERROR(FIND(" ",A96))),"OK","Check"))</f>
        <v/>
      </c>
    </row>
    <row r="97">
      <c r="A97" s="4" t="n"/>
      <c r="B97">
        <f>IF(A97="","",IFERROR(LEFT(A97,FIND("@",A97)-1),""))</f>
        <v/>
      </c>
      <c r="C97">
        <f>IF(A97="","",IFERROR(MID(A97,FIND("@",A97)+1,LEN(A97)),""))</f>
        <v/>
      </c>
      <c r="D97">
        <f>IF(C97="","",LOWER(C97))</f>
        <v/>
      </c>
      <c r="E97">
        <f>IF(A97="","",IF(AND(LEN(A97)-LEN(SUBSTITUTE(A97,"@",""))=1,LEFT(A97,1)&lt;&gt;"@",ISNUMBER(FIND(".",A97,FIND("@",A97)+2)),RIGHT(A97,1)&lt;&gt;".",ISERROR(FIND(" ",A97))),"OK","Check"))</f>
        <v/>
      </c>
    </row>
    <row r="98">
      <c r="A98" s="4" t="n"/>
      <c r="B98">
        <f>IF(A98="","",IFERROR(LEFT(A98,FIND("@",A98)-1),""))</f>
        <v/>
      </c>
      <c r="C98">
        <f>IF(A98="","",IFERROR(MID(A98,FIND("@",A98)+1,LEN(A98)),""))</f>
        <v/>
      </c>
      <c r="D98">
        <f>IF(C98="","",LOWER(C98))</f>
        <v/>
      </c>
      <c r="E98">
        <f>IF(A98="","",IF(AND(LEN(A98)-LEN(SUBSTITUTE(A98,"@",""))=1,LEFT(A98,1)&lt;&gt;"@",ISNUMBER(FIND(".",A98,FIND("@",A98)+2)),RIGHT(A98,1)&lt;&gt;".",ISERROR(FIND(" ",A98))),"OK","Check"))</f>
        <v/>
      </c>
    </row>
    <row r="99">
      <c r="A99" s="4" t="n"/>
      <c r="B99">
        <f>IF(A99="","",IFERROR(LEFT(A99,FIND("@",A99)-1),""))</f>
        <v/>
      </c>
      <c r="C99">
        <f>IF(A99="","",IFERROR(MID(A99,FIND("@",A99)+1,LEN(A99)),""))</f>
        <v/>
      </c>
      <c r="D99">
        <f>IF(C99="","",LOWER(C99))</f>
        <v/>
      </c>
      <c r="E99">
        <f>IF(A99="","",IF(AND(LEN(A99)-LEN(SUBSTITUTE(A99,"@",""))=1,LEFT(A99,1)&lt;&gt;"@",ISNUMBER(FIND(".",A99,FIND("@",A99)+2)),RIGHT(A99,1)&lt;&gt;".",ISERROR(FIND(" ",A99))),"OK","Check"))</f>
        <v/>
      </c>
    </row>
    <row r="100">
      <c r="A100" s="4" t="n"/>
      <c r="B100">
        <f>IF(A100="","",IFERROR(LEFT(A100,FIND("@",A100)-1),""))</f>
        <v/>
      </c>
      <c r="C100">
        <f>IF(A100="","",IFERROR(MID(A100,FIND("@",A100)+1,LEN(A100)),""))</f>
        <v/>
      </c>
      <c r="D100">
        <f>IF(C100="","",LOWER(C100))</f>
        <v/>
      </c>
      <c r="E100">
        <f>IF(A100="","",IF(AND(LEN(A100)-LEN(SUBSTITUTE(A100,"@",""))=1,LEFT(A100,1)&lt;&gt;"@",ISNUMBER(FIND(".",A100,FIND("@",A100)+2)),RIGHT(A100,1)&lt;&gt;".",ISERROR(FIND(" ",A100))),"OK","Check"))</f>
        <v/>
      </c>
    </row>
    <row r="101">
      <c r="A101" s="4" t="n"/>
      <c r="B101">
        <f>IF(A101="","",IFERROR(LEFT(A101,FIND("@",A101)-1),""))</f>
        <v/>
      </c>
      <c r="C101">
        <f>IF(A101="","",IFERROR(MID(A101,FIND("@",A101)+1,LEN(A101)),""))</f>
        <v/>
      </c>
      <c r="D101">
        <f>IF(C101="","",LOWER(C101))</f>
        <v/>
      </c>
      <c r="E101">
        <f>IF(A101="","",IF(AND(LEN(A101)-LEN(SUBSTITUTE(A101,"@",""))=1,LEFT(A101,1)&lt;&gt;"@",ISNUMBER(FIND(".",A101,FIND("@",A101)+2)),RIGHT(A101,1)&lt;&gt;".",ISERROR(FIND(" ",A101))),"OK","Check"))</f>
        <v/>
      </c>
    </row>
    <row r="102">
      <c r="A102" s="4" t="n"/>
      <c r="B102">
        <f>IF(A102="","",IFERROR(LEFT(A102,FIND("@",A102)-1),""))</f>
        <v/>
      </c>
      <c r="C102">
        <f>IF(A102="","",IFERROR(MID(A102,FIND("@",A102)+1,LEN(A102)),""))</f>
        <v/>
      </c>
      <c r="D102">
        <f>IF(C102="","",LOWER(C102))</f>
        <v/>
      </c>
      <c r="E102">
        <f>IF(A102="","",IF(AND(LEN(A102)-LEN(SUBSTITUTE(A102,"@",""))=1,LEFT(A102,1)&lt;&gt;"@",ISNUMBER(FIND(".",A102,FIND("@",A102)+2)),RIGHT(A102,1)&lt;&gt;".",ISERROR(FIND(" ",A102))),"OK","Check"))</f>
        <v/>
      </c>
    </row>
    <row r="103">
      <c r="A103" s="4" t="n"/>
      <c r="B103">
        <f>IF(A103="","",IFERROR(LEFT(A103,FIND("@",A103)-1),""))</f>
        <v/>
      </c>
      <c r="C103">
        <f>IF(A103="","",IFERROR(MID(A103,FIND("@",A103)+1,LEN(A103)),""))</f>
        <v/>
      </c>
      <c r="D103">
        <f>IF(C103="","",LOWER(C103))</f>
        <v/>
      </c>
      <c r="E103">
        <f>IF(A103="","",IF(AND(LEN(A103)-LEN(SUBSTITUTE(A103,"@",""))=1,LEFT(A103,1)&lt;&gt;"@",ISNUMBER(FIND(".",A103,FIND("@",A103)+2)),RIGHT(A103,1)&lt;&gt;".",ISERROR(FIND(" ",A103))),"OK","Check"))</f>
        <v/>
      </c>
    </row>
    <row r="104">
      <c r="A104" s="4" t="n"/>
      <c r="B104">
        <f>IF(A104="","",IFERROR(LEFT(A104,FIND("@",A104)-1),""))</f>
        <v/>
      </c>
      <c r="C104">
        <f>IF(A104="","",IFERROR(MID(A104,FIND("@",A104)+1,LEN(A104)),""))</f>
        <v/>
      </c>
      <c r="D104">
        <f>IF(C104="","",LOWER(C104))</f>
        <v/>
      </c>
      <c r="E104">
        <f>IF(A104="","",IF(AND(LEN(A104)-LEN(SUBSTITUTE(A104,"@",""))=1,LEFT(A104,1)&lt;&gt;"@",ISNUMBER(FIND(".",A104,FIND("@",A104)+2)),RIGHT(A104,1)&lt;&gt;".",ISERROR(FIND(" ",A104))),"OK","Check"))</f>
        <v/>
      </c>
    </row>
    <row r="105">
      <c r="A105" s="4" t="n"/>
      <c r="B105">
        <f>IF(A105="","",IFERROR(LEFT(A105,FIND("@",A105)-1),""))</f>
        <v/>
      </c>
      <c r="C105">
        <f>IF(A105="","",IFERROR(MID(A105,FIND("@",A105)+1,LEN(A105)),""))</f>
        <v/>
      </c>
      <c r="D105">
        <f>IF(C105="","",LOWER(C105))</f>
        <v/>
      </c>
      <c r="E105">
        <f>IF(A105="","",IF(AND(LEN(A105)-LEN(SUBSTITUTE(A105,"@",""))=1,LEFT(A105,1)&lt;&gt;"@",ISNUMBER(FIND(".",A105,FIND("@",A105)+2)),RIGHT(A105,1)&lt;&gt;".",ISERROR(FIND(" ",A105))),"OK","Check"))</f>
        <v/>
      </c>
    </row>
    <row r="106">
      <c r="A106" s="4" t="n"/>
      <c r="B106">
        <f>IF(A106="","",IFERROR(LEFT(A106,FIND("@",A106)-1),""))</f>
        <v/>
      </c>
      <c r="C106">
        <f>IF(A106="","",IFERROR(MID(A106,FIND("@",A106)+1,LEN(A106)),""))</f>
        <v/>
      </c>
      <c r="D106">
        <f>IF(C106="","",LOWER(C106))</f>
        <v/>
      </c>
      <c r="E106">
        <f>IF(A106="","",IF(AND(LEN(A106)-LEN(SUBSTITUTE(A106,"@",""))=1,LEFT(A106,1)&lt;&gt;"@",ISNUMBER(FIND(".",A106,FIND("@",A106)+2)),RIGHT(A106,1)&lt;&gt;".",ISERROR(FIND(" ",A106))),"OK","Check"))</f>
        <v/>
      </c>
    </row>
    <row r="107">
      <c r="A107" s="4" t="n"/>
      <c r="B107">
        <f>IF(A107="","",IFERROR(LEFT(A107,FIND("@",A107)-1),""))</f>
        <v/>
      </c>
      <c r="C107">
        <f>IF(A107="","",IFERROR(MID(A107,FIND("@",A107)+1,LEN(A107)),""))</f>
        <v/>
      </c>
      <c r="D107">
        <f>IF(C107="","",LOWER(C107))</f>
        <v/>
      </c>
      <c r="E107">
        <f>IF(A107="","",IF(AND(LEN(A107)-LEN(SUBSTITUTE(A107,"@",""))=1,LEFT(A107,1)&lt;&gt;"@",ISNUMBER(FIND(".",A107,FIND("@",A107)+2)),RIGHT(A107,1)&lt;&gt;".",ISERROR(FIND(" ",A107))),"OK","Check"))</f>
        <v/>
      </c>
    </row>
    <row r="108">
      <c r="A108" s="4" t="n"/>
      <c r="B108">
        <f>IF(A108="","",IFERROR(LEFT(A108,FIND("@",A108)-1),""))</f>
        <v/>
      </c>
      <c r="C108">
        <f>IF(A108="","",IFERROR(MID(A108,FIND("@",A108)+1,LEN(A108)),""))</f>
        <v/>
      </c>
      <c r="D108">
        <f>IF(C108="","",LOWER(C108))</f>
        <v/>
      </c>
      <c r="E108">
        <f>IF(A108="","",IF(AND(LEN(A108)-LEN(SUBSTITUTE(A108,"@",""))=1,LEFT(A108,1)&lt;&gt;"@",ISNUMBER(FIND(".",A108,FIND("@",A108)+2)),RIGHT(A108,1)&lt;&gt;".",ISERROR(FIND(" ",A108))),"OK","Check"))</f>
        <v/>
      </c>
    </row>
    <row r="109">
      <c r="A109" s="4" t="n"/>
      <c r="B109">
        <f>IF(A109="","",IFERROR(LEFT(A109,FIND("@",A109)-1),""))</f>
        <v/>
      </c>
      <c r="C109">
        <f>IF(A109="","",IFERROR(MID(A109,FIND("@",A109)+1,LEN(A109)),""))</f>
        <v/>
      </c>
      <c r="D109">
        <f>IF(C109="","",LOWER(C109))</f>
        <v/>
      </c>
      <c r="E109">
        <f>IF(A109="","",IF(AND(LEN(A109)-LEN(SUBSTITUTE(A109,"@",""))=1,LEFT(A109,1)&lt;&gt;"@",ISNUMBER(FIND(".",A109,FIND("@",A109)+2)),RIGHT(A109,1)&lt;&gt;".",ISERROR(FIND(" ",A109))),"OK","Check"))</f>
        <v/>
      </c>
    </row>
    <row r="110">
      <c r="A110" s="4" t="n"/>
      <c r="B110">
        <f>IF(A110="","",IFERROR(LEFT(A110,FIND("@",A110)-1),""))</f>
        <v/>
      </c>
      <c r="C110">
        <f>IF(A110="","",IFERROR(MID(A110,FIND("@",A110)+1,LEN(A110)),""))</f>
        <v/>
      </c>
      <c r="D110">
        <f>IF(C110="","",LOWER(C110))</f>
        <v/>
      </c>
      <c r="E110">
        <f>IF(A110="","",IF(AND(LEN(A110)-LEN(SUBSTITUTE(A110,"@",""))=1,LEFT(A110,1)&lt;&gt;"@",ISNUMBER(FIND(".",A110,FIND("@",A110)+2)),RIGHT(A110,1)&lt;&gt;".",ISERROR(FIND(" ",A110))),"OK","Check"))</f>
        <v/>
      </c>
    </row>
    <row r="111">
      <c r="A111" s="4" t="n"/>
      <c r="B111">
        <f>IF(A111="","",IFERROR(LEFT(A111,FIND("@",A111)-1),""))</f>
        <v/>
      </c>
      <c r="C111">
        <f>IF(A111="","",IFERROR(MID(A111,FIND("@",A111)+1,LEN(A111)),""))</f>
        <v/>
      </c>
      <c r="D111">
        <f>IF(C111="","",LOWER(C111))</f>
        <v/>
      </c>
      <c r="E111">
        <f>IF(A111="","",IF(AND(LEN(A111)-LEN(SUBSTITUTE(A111,"@",""))=1,LEFT(A111,1)&lt;&gt;"@",ISNUMBER(FIND(".",A111,FIND("@",A111)+2)),RIGHT(A111,1)&lt;&gt;".",ISERROR(FIND(" ",A111))),"OK","Check"))</f>
        <v/>
      </c>
    </row>
    <row r="112">
      <c r="A112" s="4" t="n"/>
      <c r="B112">
        <f>IF(A112="","",IFERROR(LEFT(A112,FIND("@",A112)-1),""))</f>
        <v/>
      </c>
      <c r="C112">
        <f>IF(A112="","",IFERROR(MID(A112,FIND("@",A112)+1,LEN(A112)),""))</f>
        <v/>
      </c>
      <c r="D112">
        <f>IF(C112="","",LOWER(C112))</f>
        <v/>
      </c>
      <c r="E112">
        <f>IF(A112="","",IF(AND(LEN(A112)-LEN(SUBSTITUTE(A112,"@",""))=1,LEFT(A112,1)&lt;&gt;"@",ISNUMBER(FIND(".",A112,FIND("@",A112)+2)),RIGHT(A112,1)&lt;&gt;".",ISERROR(FIND(" ",A112))),"OK","Check"))</f>
        <v/>
      </c>
    </row>
    <row r="113">
      <c r="A113" s="4" t="n"/>
      <c r="B113">
        <f>IF(A113="","",IFERROR(LEFT(A113,FIND("@",A113)-1),""))</f>
        <v/>
      </c>
      <c r="C113">
        <f>IF(A113="","",IFERROR(MID(A113,FIND("@",A113)+1,LEN(A113)),""))</f>
        <v/>
      </c>
      <c r="D113">
        <f>IF(C113="","",LOWER(C113))</f>
        <v/>
      </c>
      <c r="E113">
        <f>IF(A113="","",IF(AND(LEN(A113)-LEN(SUBSTITUTE(A113,"@",""))=1,LEFT(A113,1)&lt;&gt;"@",ISNUMBER(FIND(".",A113,FIND("@",A113)+2)),RIGHT(A113,1)&lt;&gt;".",ISERROR(FIND(" ",A113))),"OK","Check"))</f>
        <v/>
      </c>
    </row>
    <row r="114">
      <c r="A114" s="4" t="n"/>
      <c r="B114">
        <f>IF(A114="","",IFERROR(LEFT(A114,FIND("@",A114)-1),""))</f>
        <v/>
      </c>
      <c r="C114">
        <f>IF(A114="","",IFERROR(MID(A114,FIND("@",A114)+1,LEN(A114)),""))</f>
        <v/>
      </c>
      <c r="D114">
        <f>IF(C114="","",LOWER(C114))</f>
        <v/>
      </c>
      <c r="E114">
        <f>IF(A114="","",IF(AND(LEN(A114)-LEN(SUBSTITUTE(A114,"@",""))=1,LEFT(A114,1)&lt;&gt;"@",ISNUMBER(FIND(".",A114,FIND("@",A114)+2)),RIGHT(A114,1)&lt;&gt;".",ISERROR(FIND(" ",A114))),"OK","Check"))</f>
        <v/>
      </c>
    </row>
    <row r="115">
      <c r="A115" s="4" t="n"/>
      <c r="B115">
        <f>IF(A115="","",IFERROR(LEFT(A115,FIND("@",A115)-1),""))</f>
        <v/>
      </c>
      <c r="C115">
        <f>IF(A115="","",IFERROR(MID(A115,FIND("@",A115)+1,LEN(A115)),""))</f>
        <v/>
      </c>
      <c r="D115">
        <f>IF(C115="","",LOWER(C115))</f>
        <v/>
      </c>
      <c r="E115">
        <f>IF(A115="","",IF(AND(LEN(A115)-LEN(SUBSTITUTE(A115,"@",""))=1,LEFT(A115,1)&lt;&gt;"@",ISNUMBER(FIND(".",A115,FIND("@",A115)+2)),RIGHT(A115,1)&lt;&gt;".",ISERROR(FIND(" ",A115))),"OK","Check"))</f>
        <v/>
      </c>
    </row>
    <row r="116">
      <c r="A116" s="4" t="n"/>
      <c r="B116">
        <f>IF(A116="","",IFERROR(LEFT(A116,FIND("@",A116)-1),""))</f>
        <v/>
      </c>
      <c r="C116">
        <f>IF(A116="","",IFERROR(MID(A116,FIND("@",A116)+1,LEN(A116)),""))</f>
        <v/>
      </c>
      <c r="D116">
        <f>IF(C116="","",LOWER(C116))</f>
        <v/>
      </c>
      <c r="E116">
        <f>IF(A116="","",IF(AND(LEN(A116)-LEN(SUBSTITUTE(A116,"@",""))=1,LEFT(A116,1)&lt;&gt;"@",ISNUMBER(FIND(".",A116,FIND("@",A116)+2)),RIGHT(A116,1)&lt;&gt;".",ISERROR(FIND(" ",A116))),"OK","Check"))</f>
        <v/>
      </c>
    </row>
    <row r="117">
      <c r="A117" s="4" t="n"/>
      <c r="B117">
        <f>IF(A117="","",IFERROR(LEFT(A117,FIND("@",A117)-1),""))</f>
        <v/>
      </c>
      <c r="C117">
        <f>IF(A117="","",IFERROR(MID(A117,FIND("@",A117)+1,LEN(A117)),""))</f>
        <v/>
      </c>
      <c r="D117">
        <f>IF(C117="","",LOWER(C117))</f>
        <v/>
      </c>
      <c r="E117">
        <f>IF(A117="","",IF(AND(LEN(A117)-LEN(SUBSTITUTE(A117,"@",""))=1,LEFT(A117,1)&lt;&gt;"@",ISNUMBER(FIND(".",A117,FIND("@",A117)+2)),RIGHT(A117,1)&lt;&gt;".",ISERROR(FIND(" ",A117))),"OK","Check"))</f>
        <v/>
      </c>
    </row>
    <row r="118">
      <c r="A118" s="4" t="n"/>
      <c r="B118">
        <f>IF(A118="","",IFERROR(LEFT(A118,FIND("@",A118)-1),""))</f>
        <v/>
      </c>
      <c r="C118">
        <f>IF(A118="","",IFERROR(MID(A118,FIND("@",A118)+1,LEN(A118)),""))</f>
        <v/>
      </c>
      <c r="D118">
        <f>IF(C118="","",LOWER(C118))</f>
        <v/>
      </c>
      <c r="E118">
        <f>IF(A118="","",IF(AND(LEN(A118)-LEN(SUBSTITUTE(A118,"@",""))=1,LEFT(A118,1)&lt;&gt;"@",ISNUMBER(FIND(".",A118,FIND("@",A118)+2)),RIGHT(A118,1)&lt;&gt;".",ISERROR(FIND(" ",A118))),"OK","Check"))</f>
        <v/>
      </c>
    </row>
    <row r="119">
      <c r="A119" s="4" t="n"/>
      <c r="B119">
        <f>IF(A119="","",IFERROR(LEFT(A119,FIND("@",A119)-1),""))</f>
        <v/>
      </c>
      <c r="C119">
        <f>IF(A119="","",IFERROR(MID(A119,FIND("@",A119)+1,LEN(A119)),""))</f>
        <v/>
      </c>
      <c r="D119">
        <f>IF(C119="","",LOWER(C119))</f>
        <v/>
      </c>
      <c r="E119">
        <f>IF(A119="","",IF(AND(LEN(A119)-LEN(SUBSTITUTE(A119,"@",""))=1,LEFT(A119,1)&lt;&gt;"@",ISNUMBER(FIND(".",A119,FIND("@",A119)+2)),RIGHT(A119,1)&lt;&gt;".",ISERROR(FIND(" ",A119))),"OK","Check"))</f>
        <v/>
      </c>
    </row>
    <row r="120">
      <c r="A120" s="4" t="n"/>
      <c r="B120">
        <f>IF(A120="","",IFERROR(LEFT(A120,FIND("@",A120)-1),""))</f>
        <v/>
      </c>
      <c r="C120">
        <f>IF(A120="","",IFERROR(MID(A120,FIND("@",A120)+1,LEN(A120)),""))</f>
        <v/>
      </c>
      <c r="D120">
        <f>IF(C120="","",LOWER(C120))</f>
        <v/>
      </c>
      <c r="E120">
        <f>IF(A120="","",IF(AND(LEN(A120)-LEN(SUBSTITUTE(A120,"@",""))=1,LEFT(A120,1)&lt;&gt;"@",ISNUMBER(FIND(".",A120,FIND("@",A120)+2)),RIGHT(A120,1)&lt;&gt;".",ISERROR(FIND(" ",A120))),"OK","Check"))</f>
        <v/>
      </c>
    </row>
    <row r="121">
      <c r="A121" s="4" t="n"/>
      <c r="B121">
        <f>IF(A121="","",IFERROR(LEFT(A121,FIND("@",A121)-1),""))</f>
        <v/>
      </c>
      <c r="C121">
        <f>IF(A121="","",IFERROR(MID(A121,FIND("@",A121)+1,LEN(A121)),""))</f>
        <v/>
      </c>
      <c r="D121">
        <f>IF(C121="","",LOWER(C121))</f>
        <v/>
      </c>
      <c r="E121">
        <f>IF(A121="","",IF(AND(LEN(A121)-LEN(SUBSTITUTE(A121,"@",""))=1,LEFT(A121,1)&lt;&gt;"@",ISNUMBER(FIND(".",A121,FIND("@",A121)+2)),RIGHT(A121,1)&lt;&gt;".",ISERROR(FIND(" ",A121))),"OK","Check"))</f>
        <v/>
      </c>
    </row>
    <row r="122">
      <c r="A122" s="4" t="n"/>
      <c r="B122">
        <f>IF(A122="","",IFERROR(LEFT(A122,FIND("@",A122)-1),""))</f>
        <v/>
      </c>
      <c r="C122">
        <f>IF(A122="","",IFERROR(MID(A122,FIND("@",A122)+1,LEN(A122)),""))</f>
        <v/>
      </c>
      <c r="D122">
        <f>IF(C122="","",LOWER(C122))</f>
        <v/>
      </c>
      <c r="E122">
        <f>IF(A122="","",IF(AND(LEN(A122)-LEN(SUBSTITUTE(A122,"@",""))=1,LEFT(A122,1)&lt;&gt;"@",ISNUMBER(FIND(".",A122,FIND("@",A122)+2)),RIGHT(A122,1)&lt;&gt;".",ISERROR(FIND(" ",A122))),"OK","Check"))</f>
        <v/>
      </c>
    </row>
    <row r="123">
      <c r="A123" s="4" t="n"/>
      <c r="B123">
        <f>IF(A123="","",IFERROR(LEFT(A123,FIND("@",A123)-1),""))</f>
        <v/>
      </c>
      <c r="C123">
        <f>IF(A123="","",IFERROR(MID(A123,FIND("@",A123)+1,LEN(A123)),""))</f>
        <v/>
      </c>
      <c r="D123">
        <f>IF(C123="","",LOWER(C123))</f>
        <v/>
      </c>
      <c r="E123">
        <f>IF(A123="","",IF(AND(LEN(A123)-LEN(SUBSTITUTE(A123,"@",""))=1,LEFT(A123,1)&lt;&gt;"@",ISNUMBER(FIND(".",A123,FIND("@",A123)+2)),RIGHT(A123,1)&lt;&gt;".",ISERROR(FIND(" ",A123))),"OK","Check"))</f>
        <v/>
      </c>
    </row>
    <row r="124">
      <c r="A124" s="4" t="n"/>
      <c r="B124">
        <f>IF(A124="","",IFERROR(LEFT(A124,FIND("@",A124)-1),""))</f>
        <v/>
      </c>
      <c r="C124">
        <f>IF(A124="","",IFERROR(MID(A124,FIND("@",A124)+1,LEN(A124)),""))</f>
        <v/>
      </c>
      <c r="D124">
        <f>IF(C124="","",LOWER(C124))</f>
        <v/>
      </c>
      <c r="E124">
        <f>IF(A124="","",IF(AND(LEN(A124)-LEN(SUBSTITUTE(A124,"@",""))=1,LEFT(A124,1)&lt;&gt;"@",ISNUMBER(FIND(".",A124,FIND("@",A124)+2)),RIGHT(A124,1)&lt;&gt;".",ISERROR(FIND(" ",A124))),"OK","Check"))</f>
        <v/>
      </c>
    </row>
    <row r="125">
      <c r="A125" s="4" t="n"/>
      <c r="B125">
        <f>IF(A125="","",IFERROR(LEFT(A125,FIND("@",A125)-1),""))</f>
        <v/>
      </c>
      <c r="C125">
        <f>IF(A125="","",IFERROR(MID(A125,FIND("@",A125)+1,LEN(A125)),""))</f>
        <v/>
      </c>
      <c r="D125">
        <f>IF(C125="","",LOWER(C125))</f>
        <v/>
      </c>
      <c r="E125">
        <f>IF(A125="","",IF(AND(LEN(A125)-LEN(SUBSTITUTE(A125,"@",""))=1,LEFT(A125,1)&lt;&gt;"@",ISNUMBER(FIND(".",A125,FIND("@",A125)+2)),RIGHT(A125,1)&lt;&gt;".",ISERROR(FIND(" ",A125))),"OK","Check"))</f>
        <v/>
      </c>
    </row>
    <row r="126">
      <c r="A126" s="4" t="n"/>
      <c r="B126">
        <f>IF(A126="","",IFERROR(LEFT(A126,FIND("@",A126)-1),""))</f>
        <v/>
      </c>
      <c r="C126">
        <f>IF(A126="","",IFERROR(MID(A126,FIND("@",A126)+1,LEN(A126)),""))</f>
        <v/>
      </c>
      <c r="D126">
        <f>IF(C126="","",LOWER(C126))</f>
        <v/>
      </c>
      <c r="E126">
        <f>IF(A126="","",IF(AND(LEN(A126)-LEN(SUBSTITUTE(A126,"@",""))=1,LEFT(A126,1)&lt;&gt;"@",ISNUMBER(FIND(".",A126,FIND("@",A126)+2)),RIGHT(A126,1)&lt;&gt;".",ISERROR(FIND(" ",A126))),"OK","Check"))</f>
        <v/>
      </c>
    </row>
    <row r="127">
      <c r="A127" s="4" t="n"/>
      <c r="B127">
        <f>IF(A127="","",IFERROR(LEFT(A127,FIND("@",A127)-1),""))</f>
        <v/>
      </c>
      <c r="C127">
        <f>IF(A127="","",IFERROR(MID(A127,FIND("@",A127)+1,LEN(A127)),""))</f>
        <v/>
      </c>
      <c r="D127">
        <f>IF(C127="","",LOWER(C127))</f>
        <v/>
      </c>
      <c r="E127">
        <f>IF(A127="","",IF(AND(LEN(A127)-LEN(SUBSTITUTE(A127,"@",""))=1,LEFT(A127,1)&lt;&gt;"@",ISNUMBER(FIND(".",A127,FIND("@",A127)+2)),RIGHT(A127,1)&lt;&gt;".",ISERROR(FIND(" ",A127))),"OK","Check"))</f>
        <v/>
      </c>
    </row>
    <row r="128">
      <c r="A128" s="4" t="n"/>
      <c r="B128">
        <f>IF(A128="","",IFERROR(LEFT(A128,FIND("@",A128)-1),""))</f>
        <v/>
      </c>
      <c r="C128">
        <f>IF(A128="","",IFERROR(MID(A128,FIND("@",A128)+1,LEN(A128)),""))</f>
        <v/>
      </c>
      <c r="D128">
        <f>IF(C128="","",LOWER(C128))</f>
        <v/>
      </c>
      <c r="E128">
        <f>IF(A128="","",IF(AND(LEN(A128)-LEN(SUBSTITUTE(A128,"@",""))=1,LEFT(A128,1)&lt;&gt;"@",ISNUMBER(FIND(".",A128,FIND("@",A128)+2)),RIGHT(A128,1)&lt;&gt;".",ISERROR(FIND(" ",A128))),"OK","Check"))</f>
        <v/>
      </c>
    </row>
    <row r="129">
      <c r="A129" s="4" t="n"/>
      <c r="B129">
        <f>IF(A129="","",IFERROR(LEFT(A129,FIND("@",A129)-1),""))</f>
        <v/>
      </c>
      <c r="C129">
        <f>IF(A129="","",IFERROR(MID(A129,FIND("@",A129)+1,LEN(A129)),""))</f>
        <v/>
      </c>
      <c r="D129">
        <f>IF(C129="","",LOWER(C129))</f>
        <v/>
      </c>
      <c r="E129">
        <f>IF(A129="","",IF(AND(LEN(A129)-LEN(SUBSTITUTE(A129,"@",""))=1,LEFT(A129,1)&lt;&gt;"@",ISNUMBER(FIND(".",A129,FIND("@",A129)+2)),RIGHT(A129,1)&lt;&gt;".",ISERROR(FIND(" ",A129))),"OK","Check"))</f>
        <v/>
      </c>
    </row>
    <row r="130">
      <c r="A130" s="4" t="n"/>
      <c r="B130">
        <f>IF(A130="","",IFERROR(LEFT(A130,FIND("@",A130)-1),""))</f>
        <v/>
      </c>
      <c r="C130">
        <f>IF(A130="","",IFERROR(MID(A130,FIND("@",A130)+1,LEN(A130)),""))</f>
        <v/>
      </c>
      <c r="D130">
        <f>IF(C130="","",LOWER(C130))</f>
        <v/>
      </c>
      <c r="E130">
        <f>IF(A130="","",IF(AND(LEN(A130)-LEN(SUBSTITUTE(A130,"@",""))=1,LEFT(A130,1)&lt;&gt;"@",ISNUMBER(FIND(".",A130,FIND("@",A130)+2)),RIGHT(A130,1)&lt;&gt;".",ISERROR(FIND(" ",A130))),"OK","Check"))</f>
        <v/>
      </c>
    </row>
    <row r="131">
      <c r="A131" s="4" t="n"/>
      <c r="B131">
        <f>IF(A131="","",IFERROR(LEFT(A131,FIND("@",A131)-1),""))</f>
        <v/>
      </c>
      <c r="C131">
        <f>IF(A131="","",IFERROR(MID(A131,FIND("@",A131)+1,LEN(A131)),""))</f>
        <v/>
      </c>
      <c r="D131">
        <f>IF(C131="","",LOWER(C131))</f>
        <v/>
      </c>
      <c r="E131">
        <f>IF(A131="","",IF(AND(LEN(A131)-LEN(SUBSTITUTE(A131,"@",""))=1,LEFT(A131,1)&lt;&gt;"@",ISNUMBER(FIND(".",A131,FIND("@",A131)+2)),RIGHT(A131,1)&lt;&gt;".",ISERROR(FIND(" ",A131))),"OK","Check"))</f>
        <v/>
      </c>
    </row>
    <row r="132">
      <c r="A132" s="4" t="n"/>
      <c r="B132">
        <f>IF(A132="","",IFERROR(LEFT(A132,FIND("@",A132)-1),""))</f>
        <v/>
      </c>
      <c r="C132">
        <f>IF(A132="","",IFERROR(MID(A132,FIND("@",A132)+1,LEN(A132)),""))</f>
        <v/>
      </c>
      <c r="D132">
        <f>IF(C132="","",LOWER(C132))</f>
        <v/>
      </c>
      <c r="E132">
        <f>IF(A132="","",IF(AND(LEN(A132)-LEN(SUBSTITUTE(A132,"@",""))=1,LEFT(A132,1)&lt;&gt;"@",ISNUMBER(FIND(".",A132,FIND("@",A132)+2)),RIGHT(A132,1)&lt;&gt;".",ISERROR(FIND(" ",A132))),"OK","Check"))</f>
        <v/>
      </c>
    </row>
    <row r="133">
      <c r="A133" s="4" t="n"/>
      <c r="B133">
        <f>IF(A133="","",IFERROR(LEFT(A133,FIND("@",A133)-1),""))</f>
        <v/>
      </c>
      <c r="C133">
        <f>IF(A133="","",IFERROR(MID(A133,FIND("@",A133)+1,LEN(A133)),""))</f>
        <v/>
      </c>
      <c r="D133">
        <f>IF(C133="","",LOWER(C133))</f>
        <v/>
      </c>
      <c r="E133">
        <f>IF(A133="","",IF(AND(LEN(A133)-LEN(SUBSTITUTE(A133,"@",""))=1,LEFT(A133,1)&lt;&gt;"@",ISNUMBER(FIND(".",A133,FIND("@",A133)+2)),RIGHT(A133,1)&lt;&gt;".",ISERROR(FIND(" ",A133))),"OK","Check"))</f>
        <v/>
      </c>
    </row>
    <row r="134">
      <c r="A134" s="4" t="n"/>
      <c r="B134">
        <f>IF(A134="","",IFERROR(LEFT(A134,FIND("@",A134)-1),""))</f>
        <v/>
      </c>
      <c r="C134">
        <f>IF(A134="","",IFERROR(MID(A134,FIND("@",A134)+1,LEN(A134)),""))</f>
        <v/>
      </c>
      <c r="D134">
        <f>IF(C134="","",LOWER(C134))</f>
        <v/>
      </c>
      <c r="E134">
        <f>IF(A134="","",IF(AND(LEN(A134)-LEN(SUBSTITUTE(A134,"@",""))=1,LEFT(A134,1)&lt;&gt;"@",ISNUMBER(FIND(".",A134,FIND("@",A134)+2)),RIGHT(A134,1)&lt;&gt;".",ISERROR(FIND(" ",A134))),"OK","Check"))</f>
        <v/>
      </c>
    </row>
    <row r="135">
      <c r="A135" s="4" t="n"/>
      <c r="B135">
        <f>IF(A135="","",IFERROR(LEFT(A135,FIND("@",A135)-1),""))</f>
        <v/>
      </c>
      <c r="C135">
        <f>IF(A135="","",IFERROR(MID(A135,FIND("@",A135)+1,LEN(A135)),""))</f>
        <v/>
      </c>
      <c r="D135">
        <f>IF(C135="","",LOWER(C135))</f>
        <v/>
      </c>
      <c r="E135">
        <f>IF(A135="","",IF(AND(LEN(A135)-LEN(SUBSTITUTE(A135,"@",""))=1,LEFT(A135,1)&lt;&gt;"@",ISNUMBER(FIND(".",A135,FIND("@",A135)+2)),RIGHT(A135,1)&lt;&gt;".",ISERROR(FIND(" ",A135))),"OK","Check"))</f>
        <v/>
      </c>
    </row>
    <row r="136">
      <c r="A136" s="4" t="n"/>
      <c r="B136">
        <f>IF(A136="","",IFERROR(LEFT(A136,FIND("@",A136)-1),""))</f>
        <v/>
      </c>
      <c r="C136">
        <f>IF(A136="","",IFERROR(MID(A136,FIND("@",A136)+1,LEN(A136)),""))</f>
        <v/>
      </c>
      <c r="D136">
        <f>IF(C136="","",LOWER(C136))</f>
        <v/>
      </c>
      <c r="E136">
        <f>IF(A136="","",IF(AND(LEN(A136)-LEN(SUBSTITUTE(A136,"@",""))=1,LEFT(A136,1)&lt;&gt;"@",ISNUMBER(FIND(".",A136,FIND("@",A136)+2)),RIGHT(A136,1)&lt;&gt;".",ISERROR(FIND(" ",A136))),"OK","Check"))</f>
        <v/>
      </c>
    </row>
    <row r="137">
      <c r="A137" s="4" t="n"/>
      <c r="B137">
        <f>IF(A137="","",IFERROR(LEFT(A137,FIND("@",A137)-1),""))</f>
        <v/>
      </c>
      <c r="C137">
        <f>IF(A137="","",IFERROR(MID(A137,FIND("@",A137)+1,LEN(A137)),""))</f>
        <v/>
      </c>
      <c r="D137">
        <f>IF(C137="","",LOWER(C137))</f>
        <v/>
      </c>
      <c r="E137">
        <f>IF(A137="","",IF(AND(LEN(A137)-LEN(SUBSTITUTE(A137,"@",""))=1,LEFT(A137,1)&lt;&gt;"@",ISNUMBER(FIND(".",A137,FIND("@",A137)+2)),RIGHT(A137,1)&lt;&gt;".",ISERROR(FIND(" ",A137))),"OK","Check"))</f>
        <v/>
      </c>
    </row>
    <row r="138">
      <c r="A138" s="4" t="n"/>
      <c r="B138">
        <f>IF(A138="","",IFERROR(LEFT(A138,FIND("@",A138)-1),""))</f>
        <v/>
      </c>
      <c r="C138">
        <f>IF(A138="","",IFERROR(MID(A138,FIND("@",A138)+1,LEN(A138)),""))</f>
        <v/>
      </c>
      <c r="D138">
        <f>IF(C138="","",LOWER(C138))</f>
        <v/>
      </c>
      <c r="E138">
        <f>IF(A138="","",IF(AND(LEN(A138)-LEN(SUBSTITUTE(A138,"@",""))=1,LEFT(A138,1)&lt;&gt;"@",ISNUMBER(FIND(".",A138,FIND("@",A138)+2)),RIGHT(A138,1)&lt;&gt;".",ISERROR(FIND(" ",A138))),"OK","Check"))</f>
        <v/>
      </c>
    </row>
    <row r="139">
      <c r="A139" s="4" t="n"/>
      <c r="B139">
        <f>IF(A139="","",IFERROR(LEFT(A139,FIND("@",A139)-1),""))</f>
        <v/>
      </c>
      <c r="C139">
        <f>IF(A139="","",IFERROR(MID(A139,FIND("@",A139)+1,LEN(A139)),""))</f>
        <v/>
      </c>
      <c r="D139">
        <f>IF(C139="","",LOWER(C139))</f>
        <v/>
      </c>
      <c r="E139">
        <f>IF(A139="","",IF(AND(LEN(A139)-LEN(SUBSTITUTE(A139,"@",""))=1,LEFT(A139,1)&lt;&gt;"@",ISNUMBER(FIND(".",A139,FIND("@",A139)+2)),RIGHT(A139,1)&lt;&gt;".",ISERROR(FIND(" ",A139))),"OK","Check"))</f>
        <v/>
      </c>
    </row>
    <row r="140">
      <c r="A140" s="4" t="n"/>
      <c r="B140">
        <f>IF(A140="","",IFERROR(LEFT(A140,FIND("@",A140)-1),""))</f>
        <v/>
      </c>
      <c r="C140">
        <f>IF(A140="","",IFERROR(MID(A140,FIND("@",A140)+1,LEN(A140)),""))</f>
        <v/>
      </c>
      <c r="D140">
        <f>IF(C140="","",LOWER(C140))</f>
        <v/>
      </c>
      <c r="E140">
        <f>IF(A140="","",IF(AND(LEN(A140)-LEN(SUBSTITUTE(A140,"@",""))=1,LEFT(A140,1)&lt;&gt;"@",ISNUMBER(FIND(".",A140,FIND("@",A140)+2)),RIGHT(A140,1)&lt;&gt;".",ISERROR(FIND(" ",A140))),"OK","Check"))</f>
        <v/>
      </c>
    </row>
    <row r="141">
      <c r="A141" s="4" t="n"/>
      <c r="B141">
        <f>IF(A141="","",IFERROR(LEFT(A141,FIND("@",A141)-1),""))</f>
        <v/>
      </c>
      <c r="C141">
        <f>IF(A141="","",IFERROR(MID(A141,FIND("@",A141)+1,LEN(A141)),""))</f>
        <v/>
      </c>
      <c r="D141">
        <f>IF(C141="","",LOWER(C141))</f>
        <v/>
      </c>
      <c r="E141">
        <f>IF(A141="","",IF(AND(LEN(A141)-LEN(SUBSTITUTE(A141,"@",""))=1,LEFT(A141,1)&lt;&gt;"@",ISNUMBER(FIND(".",A141,FIND("@",A141)+2)),RIGHT(A141,1)&lt;&gt;".",ISERROR(FIND(" ",A141))),"OK","Check"))</f>
        <v/>
      </c>
    </row>
    <row r="142">
      <c r="A142" s="4" t="n"/>
      <c r="B142">
        <f>IF(A142="","",IFERROR(LEFT(A142,FIND("@",A142)-1),""))</f>
        <v/>
      </c>
      <c r="C142">
        <f>IF(A142="","",IFERROR(MID(A142,FIND("@",A142)+1,LEN(A142)),""))</f>
        <v/>
      </c>
      <c r="D142">
        <f>IF(C142="","",LOWER(C142))</f>
        <v/>
      </c>
      <c r="E142">
        <f>IF(A142="","",IF(AND(LEN(A142)-LEN(SUBSTITUTE(A142,"@",""))=1,LEFT(A142,1)&lt;&gt;"@",ISNUMBER(FIND(".",A142,FIND("@",A142)+2)),RIGHT(A142,1)&lt;&gt;".",ISERROR(FIND(" ",A142))),"OK","Check"))</f>
        <v/>
      </c>
    </row>
    <row r="143">
      <c r="A143" s="4" t="n"/>
      <c r="B143">
        <f>IF(A143="","",IFERROR(LEFT(A143,FIND("@",A143)-1),""))</f>
        <v/>
      </c>
      <c r="C143">
        <f>IF(A143="","",IFERROR(MID(A143,FIND("@",A143)+1,LEN(A143)),""))</f>
        <v/>
      </c>
      <c r="D143">
        <f>IF(C143="","",LOWER(C143))</f>
        <v/>
      </c>
      <c r="E143">
        <f>IF(A143="","",IF(AND(LEN(A143)-LEN(SUBSTITUTE(A143,"@",""))=1,LEFT(A143,1)&lt;&gt;"@",ISNUMBER(FIND(".",A143,FIND("@",A143)+2)),RIGHT(A143,1)&lt;&gt;".",ISERROR(FIND(" ",A143))),"OK","Check"))</f>
        <v/>
      </c>
    </row>
    <row r="144">
      <c r="A144" s="4" t="n"/>
      <c r="B144">
        <f>IF(A144="","",IFERROR(LEFT(A144,FIND("@",A144)-1),""))</f>
        <v/>
      </c>
      <c r="C144">
        <f>IF(A144="","",IFERROR(MID(A144,FIND("@",A144)+1,LEN(A144)),""))</f>
        <v/>
      </c>
      <c r="D144">
        <f>IF(C144="","",LOWER(C144))</f>
        <v/>
      </c>
      <c r="E144">
        <f>IF(A144="","",IF(AND(LEN(A144)-LEN(SUBSTITUTE(A144,"@",""))=1,LEFT(A144,1)&lt;&gt;"@",ISNUMBER(FIND(".",A144,FIND("@",A144)+2)),RIGHT(A144,1)&lt;&gt;".",ISERROR(FIND(" ",A144))),"OK","Check"))</f>
        <v/>
      </c>
    </row>
    <row r="145">
      <c r="A145" s="4" t="n"/>
      <c r="B145">
        <f>IF(A145="","",IFERROR(LEFT(A145,FIND("@",A145)-1),""))</f>
        <v/>
      </c>
      <c r="C145">
        <f>IF(A145="","",IFERROR(MID(A145,FIND("@",A145)+1,LEN(A145)),""))</f>
        <v/>
      </c>
      <c r="D145">
        <f>IF(C145="","",LOWER(C145))</f>
        <v/>
      </c>
      <c r="E145">
        <f>IF(A145="","",IF(AND(LEN(A145)-LEN(SUBSTITUTE(A145,"@",""))=1,LEFT(A145,1)&lt;&gt;"@",ISNUMBER(FIND(".",A145,FIND("@",A145)+2)),RIGHT(A145,1)&lt;&gt;".",ISERROR(FIND(" ",A145))),"OK","Check"))</f>
        <v/>
      </c>
    </row>
    <row r="146">
      <c r="A146" s="4" t="n"/>
      <c r="B146">
        <f>IF(A146="","",IFERROR(LEFT(A146,FIND("@",A146)-1),""))</f>
        <v/>
      </c>
      <c r="C146">
        <f>IF(A146="","",IFERROR(MID(A146,FIND("@",A146)+1,LEN(A146)),""))</f>
        <v/>
      </c>
      <c r="D146">
        <f>IF(C146="","",LOWER(C146))</f>
        <v/>
      </c>
      <c r="E146">
        <f>IF(A146="","",IF(AND(LEN(A146)-LEN(SUBSTITUTE(A146,"@",""))=1,LEFT(A146,1)&lt;&gt;"@",ISNUMBER(FIND(".",A146,FIND("@",A146)+2)),RIGHT(A146,1)&lt;&gt;".",ISERROR(FIND(" ",A146))),"OK","Check"))</f>
        <v/>
      </c>
    </row>
    <row r="147">
      <c r="A147" s="4" t="n"/>
      <c r="B147">
        <f>IF(A147="","",IFERROR(LEFT(A147,FIND("@",A147)-1),""))</f>
        <v/>
      </c>
      <c r="C147">
        <f>IF(A147="","",IFERROR(MID(A147,FIND("@",A147)+1,LEN(A147)),""))</f>
        <v/>
      </c>
      <c r="D147">
        <f>IF(C147="","",LOWER(C147))</f>
        <v/>
      </c>
      <c r="E147">
        <f>IF(A147="","",IF(AND(LEN(A147)-LEN(SUBSTITUTE(A147,"@",""))=1,LEFT(A147,1)&lt;&gt;"@",ISNUMBER(FIND(".",A147,FIND("@",A147)+2)),RIGHT(A147,1)&lt;&gt;".",ISERROR(FIND(" ",A147))),"OK","Check"))</f>
        <v/>
      </c>
    </row>
    <row r="148">
      <c r="A148" s="4" t="n"/>
      <c r="B148">
        <f>IF(A148="","",IFERROR(LEFT(A148,FIND("@",A148)-1),""))</f>
        <v/>
      </c>
      <c r="C148">
        <f>IF(A148="","",IFERROR(MID(A148,FIND("@",A148)+1,LEN(A148)),""))</f>
        <v/>
      </c>
      <c r="D148">
        <f>IF(C148="","",LOWER(C148))</f>
        <v/>
      </c>
      <c r="E148">
        <f>IF(A148="","",IF(AND(LEN(A148)-LEN(SUBSTITUTE(A148,"@",""))=1,LEFT(A148,1)&lt;&gt;"@",ISNUMBER(FIND(".",A148,FIND("@",A148)+2)),RIGHT(A148,1)&lt;&gt;".",ISERROR(FIND(" ",A148))),"OK","Check"))</f>
        <v/>
      </c>
    </row>
    <row r="149">
      <c r="A149" s="4" t="n"/>
      <c r="B149">
        <f>IF(A149="","",IFERROR(LEFT(A149,FIND("@",A149)-1),""))</f>
        <v/>
      </c>
      <c r="C149">
        <f>IF(A149="","",IFERROR(MID(A149,FIND("@",A149)+1,LEN(A149)),""))</f>
        <v/>
      </c>
      <c r="D149">
        <f>IF(C149="","",LOWER(C149))</f>
        <v/>
      </c>
      <c r="E149">
        <f>IF(A149="","",IF(AND(LEN(A149)-LEN(SUBSTITUTE(A149,"@",""))=1,LEFT(A149,1)&lt;&gt;"@",ISNUMBER(FIND(".",A149,FIND("@",A149)+2)),RIGHT(A149,1)&lt;&gt;".",ISERROR(FIND(" ",A149))),"OK","Check"))</f>
        <v/>
      </c>
    </row>
    <row r="150">
      <c r="A150" s="4" t="n"/>
      <c r="B150">
        <f>IF(A150="","",IFERROR(LEFT(A150,FIND("@",A150)-1),""))</f>
        <v/>
      </c>
      <c r="C150">
        <f>IF(A150="","",IFERROR(MID(A150,FIND("@",A150)+1,LEN(A150)),""))</f>
        <v/>
      </c>
      <c r="D150">
        <f>IF(C150="","",LOWER(C150))</f>
        <v/>
      </c>
      <c r="E150">
        <f>IF(A150="","",IF(AND(LEN(A150)-LEN(SUBSTITUTE(A150,"@",""))=1,LEFT(A150,1)&lt;&gt;"@",ISNUMBER(FIND(".",A150,FIND("@",A150)+2)),RIGHT(A150,1)&lt;&gt;".",ISERROR(FIND(" ",A150))),"OK","Check"))</f>
        <v/>
      </c>
    </row>
    <row r="151">
      <c r="A151" s="4" t="n"/>
      <c r="B151">
        <f>IF(A151="","",IFERROR(LEFT(A151,FIND("@",A151)-1),""))</f>
        <v/>
      </c>
      <c r="C151">
        <f>IF(A151="","",IFERROR(MID(A151,FIND("@",A151)+1,LEN(A151)),""))</f>
        <v/>
      </c>
      <c r="D151">
        <f>IF(C151="","",LOWER(C151))</f>
        <v/>
      </c>
      <c r="E151">
        <f>IF(A151="","",IF(AND(LEN(A151)-LEN(SUBSTITUTE(A151,"@",""))=1,LEFT(A151,1)&lt;&gt;"@",ISNUMBER(FIND(".",A151,FIND("@",A151)+2)),RIGHT(A151,1)&lt;&gt;".",ISERROR(FIND(" ",A151))),"OK","Check"))</f>
        <v/>
      </c>
    </row>
    <row r="152">
      <c r="A152" s="4" t="n"/>
      <c r="B152">
        <f>IF(A152="","",IFERROR(LEFT(A152,FIND("@",A152)-1),""))</f>
        <v/>
      </c>
      <c r="C152">
        <f>IF(A152="","",IFERROR(MID(A152,FIND("@",A152)+1,LEN(A152)),""))</f>
        <v/>
      </c>
      <c r="D152">
        <f>IF(C152="","",LOWER(C152))</f>
        <v/>
      </c>
      <c r="E152">
        <f>IF(A152="","",IF(AND(LEN(A152)-LEN(SUBSTITUTE(A152,"@",""))=1,LEFT(A152,1)&lt;&gt;"@",ISNUMBER(FIND(".",A152,FIND("@",A152)+2)),RIGHT(A152,1)&lt;&gt;".",ISERROR(FIND(" ",A152))),"OK","Check"))</f>
        <v/>
      </c>
    </row>
    <row r="153">
      <c r="A153" s="4" t="n"/>
      <c r="B153">
        <f>IF(A153="","",IFERROR(LEFT(A153,FIND("@",A153)-1),""))</f>
        <v/>
      </c>
      <c r="C153">
        <f>IF(A153="","",IFERROR(MID(A153,FIND("@",A153)+1,LEN(A153)),""))</f>
        <v/>
      </c>
      <c r="D153">
        <f>IF(C153="","",LOWER(C153))</f>
        <v/>
      </c>
      <c r="E153">
        <f>IF(A153="","",IF(AND(LEN(A153)-LEN(SUBSTITUTE(A153,"@",""))=1,LEFT(A153,1)&lt;&gt;"@",ISNUMBER(FIND(".",A153,FIND("@",A153)+2)),RIGHT(A153,1)&lt;&gt;".",ISERROR(FIND(" ",A153))),"OK","Check"))</f>
        <v/>
      </c>
    </row>
    <row r="154">
      <c r="A154" s="4" t="n"/>
      <c r="B154">
        <f>IF(A154="","",IFERROR(LEFT(A154,FIND("@",A154)-1),""))</f>
        <v/>
      </c>
      <c r="C154">
        <f>IF(A154="","",IFERROR(MID(A154,FIND("@",A154)+1,LEN(A154)),""))</f>
        <v/>
      </c>
      <c r="D154">
        <f>IF(C154="","",LOWER(C154))</f>
        <v/>
      </c>
      <c r="E154">
        <f>IF(A154="","",IF(AND(LEN(A154)-LEN(SUBSTITUTE(A154,"@",""))=1,LEFT(A154,1)&lt;&gt;"@",ISNUMBER(FIND(".",A154,FIND("@",A154)+2)),RIGHT(A154,1)&lt;&gt;".",ISERROR(FIND(" ",A154))),"OK","Check"))</f>
        <v/>
      </c>
    </row>
    <row r="155">
      <c r="A155" s="4" t="n"/>
      <c r="B155">
        <f>IF(A155="","",IFERROR(LEFT(A155,FIND("@",A155)-1),""))</f>
        <v/>
      </c>
      <c r="C155">
        <f>IF(A155="","",IFERROR(MID(A155,FIND("@",A155)+1,LEN(A155)),""))</f>
        <v/>
      </c>
      <c r="D155">
        <f>IF(C155="","",LOWER(C155))</f>
        <v/>
      </c>
      <c r="E155">
        <f>IF(A155="","",IF(AND(LEN(A155)-LEN(SUBSTITUTE(A155,"@",""))=1,LEFT(A155,1)&lt;&gt;"@",ISNUMBER(FIND(".",A155,FIND("@",A155)+2)),RIGHT(A155,1)&lt;&gt;".",ISERROR(FIND(" ",A155))),"OK","Check"))</f>
        <v/>
      </c>
    </row>
    <row r="156">
      <c r="A156" s="4" t="n"/>
      <c r="B156">
        <f>IF(A156="","",IFERROR(LEFT(A156,FIND("@",A156)-1),""))</f>
        <v/>
      </c>
      <c r="C156">
        <f>IF(A156="","",IFERROR(MID(A156,FIND("@",A156)+1,LEN(A156)),""))</f>
        <v/>
      </c>
      <c r="D156">
        <f>IF(C156="","",LOWER(C156))</f>
        <v/>
      </c>
      <c r="E156">
        <f>IF(A156="","",IF(AND(LEN(A156)-LEN(SUBSTITUTE(A156,"@",""))=1,LEFT(A156,1)&lt;&gt;"@",ISNUMBER(FIND(".",A156,FIND("@",A156)+2)),RIGHT(A156,1)&lt;&gt;".",ISERROR(FIND(" ",A156))),"OK","Check"))</f>
        <v/>
      </c>
    </row>
    <row r="157">
      <c r="A157" s="4" t="n"/>
      <c r="B157">
        <f>IF(A157="","",IFERROR(LEFT(A157,FIND("@",A157)-1),""))</f>
        <v/>
      </c>
      <c r="C157">
        <f>IF(A157="","",IFERROR(MID(A157,FIND("@",A157)+1,LEN(A157)),""))</f>
        <v/>
      </c>
      <c r="D157">
        <f>IF(C157="","",LOWER(C157))</f>
        <v/>
      </c>
      <c r="E157">
        <f>IF(A157="","",IF(AND(LEN(A157)-LEN(SUBSTITUTE(A157,"@",""))=1,LEFT(A157,1)&lt;&gt;"@",ISNUMBER(FIND(".",A157,FIND("@",A157)+2)),RIGHT(A157,1)&lt;&gt;".",ISERROR(FIND(" ",A157))),"OK","Check"))</f>
        <v/>
      </c>
    </row>
    <row r="158">
      <c r="A158" s="4" t="n"/>
      <c r="B158">
        <f>IF(A158="","",IFERROR(LEFT(A158,FIND("@",A158)-1),""))</f>
        <v/>
      </c>
      <c r="C158">
        <f>IF(A158="","",IFERROR(MID(A158,FIND("@",A158)+1,LEN(A158)),""))</f>
        <v/>
      </c>
      <c r="D158">
        <f>IF(C158="","",LOWER(C158))</f>
        <v/>
      </c>
      <c r="E158">
        <f>IF(A158="","",IF(AND(LEN(A158)-LEN(SUBSTITUTE(A158,"@",""))=1,LEFT(A158,1)&lt;&gt;"@",ISNUMBER(FIND(".",A158,FIND("@",A158)+2)),RIGHT(A158,1)&lt;&gt;".",ISERROR(FIND(" ",A158))),"OK","Check"))</f>
        <v/>
      </c>
    </row>
    <row r="159">
      <c r="A159" s="4" t="n"/>
      <c r="B159">
        <f>IF(A159="","",IFERROR(LEFT(A159,FIND("@",A159)-1),""))</f>
        <v/>
      </c>
      <c r="C159">
        <f>IF(A159="","",IFERROR(MID(A159,FIND("@",A159)+1,LEN(A159)),""))</f>
        <v/>
      </c>
      <c r="D159">
        <f>IF(C159="","",LOWER(C159))</f>
        <v/>
      </c>
      <c r="E159">
        <f>IF(A159="","",IF(AND(LEN(A159)-LEN(SUBSTITUTE(A159,"@",""))=1,LEFT(A159,1)&lt;&gt;"@",ISNUMBER(FIND(".",A159,FIND("@",A159)+2)),RIGHT(A159,1)&lt;&gt;".",ISERROR(FIND(" ",A159))),"OK","Check"))</f>
        <v/>
      </c>
    </row>
    <row r="160">
      <c r="A160" s="4" t="n"/>
      <c r="B160">
        <f>IF(A160="","",IFERROR(LEFT(A160,FIND("@",A160)-1),""))</f>
        <v/>
      </c>
      <c r="C160">
        <f>IF(A160="","",IFERROR(MID(A160,FIND("@",A160)+1,LEN(A160)),""))</f>
        <v/>
      </c>
      <c r="D160">
        <f>IF(C160="","",LOWER(C160))</f>
        <v/>
      </c>
      <c r="E160">
        <f>IF(A160="","",IF(AND(LEN(A160)-LEN(SUBSTITUTE(A160,"@",""))=1,LEFT(A160,1)&lt;&gt;"@",ISNUMBER(FIND(".",A160,FIND("@",A160)+2)),RIGHT(A160,1)&lt;&gt;".",ISERROR(FIND(" ",A160))),"OK","Check"))</f>
        <v/>
      </c>
    </row>
    <row r="161">
      <c r="A161" s="4" t="n"/>
      <c r="B161">
        <f>IF(A161="","",IFERROR(LEFT(A161,FIND("@",A161)-1),""))</f>
        <v/>
      </c>
      <c r="C161">
        <f>IF(A161="","",IFERROR(MID(A161,FIND("@",A161)+1,LEN(A161)),""))</f>
        <v/>
      </c>
      <c r="D161">
        <f>IF(C161="","",LOWER(C161))</f>
        <v/>
      </c>
      <c r="E161">
        <f>IF(A161="","",IF(AND(LEN(A161)-LEN(SUBSTITUTE(A161,"@",""))=1,LEFT(A161,1)&lt;&gt;"@",ISNUMBER(FIND(".",A161,FIND("@",A161)+2)),RIGHT(A161,1)&lt;&gt;".",ISERROR(FIND(" ",A161))),"OK","Check"))</f>
        <v/>
      </c>
    </row>
    <row r="162">
      <c r="A162" s="4" t="n"/>
      <c r="B162">
        <f>IF(A162="","",IFERROR(LEFT(A162,FIND("@",A162)-1),""))</f>
        <v/>
      </c>
      <c r="C162">
        <f>IF(A162="","",IFERROR(MID(A162,FIND("@",A162)+1,LEN(A162)),""))</f>
        <v/>
      </c>
      <c r="D162">
        <f>IF(C162="","",LOWER(C162))</f>
        <v/>
      </c>
      <c r="E162">
        <f>IF(A162="","",IF(AND(LEN(A162)-LEN(SUBSTITUTE(A162,"@",""))=1,LEFT(A162,1)&lt;&gt;"@",ISNUMBER(FIND(".",A162,FIND("@",A162)+2)),RIGHT(A162,1)&lt;&gt;".",ISERROR(FIND(" ",A162))),"OK","Check"))</f>
        <v/>
      </c>
    </row>
    <row r="163">
      <c r="A163" s="4" t="n"/>
      <c r="B163">
        <f>IF(A163="","",IFERROR(LEFT(A163,FIND("@",A163)-1),""))</f>
        <v/>
      </c>
      <c r="C163">
        <f>IF(A163="","",IFERROR(MID(A163,FIND("@",A163)+1,LEN(A163)),""))</f>
        <v/>
      </c>
      <c r="D163">
        <f>IF(C163="","",LOWER(C163))</f>
        <v/>
      </c>
      <c r="E163">
        <f>IF(A163="","",IF(AND(LEN(A163)-LEN(SUBSTITUTE(A163,"@",""))=1,LEFT(A163,1)&lt;&gt;"@",ISNUMBER(FIND(".",A163,FIND("@",A163)+2)),RIGHT(A163,1)&lt;&gt;".",ISERROR(FIND(" ",A163))),"OK","Check"))</f>
        <v/>
      </c>
    </row>
    <row r="164">
      <c r="A164" s="4" t="n"/>
      <c r="B164">
        <f>IF(A164="","",IFERROR(LEFT(A164,FIND("@",A164)-1),""))</f>
        <v/>
      </c>
      <c r="C164">
        <f>IF(A164="","",IFERROR(MID(A164,FIND("@",A164)+1,LEN(A164)),""))</f>
        <v/>
      </c>
      <c r="D164">
        <f>IF(C164="","",LOWER(C164))</f>
        <v/>
      </c>
      <c r="E164">
        <f>IF(A164="","",IF(AND(LEN(A164)-LEN(SUBSTITUTE(A164,"@",""))=1,LEFT(A164,1)&lt;&gt;"@",ISNUMBER(FIND(".",A164,FIND("@",A164)+2)),RIGHT(A164,1)&lt;&gt;".",ISERROR(FIND(" ",A164))),"OK","Check"))</f>
        <v/>
      </c>
    </row>
    <row r="165">
      <c r="A165" s="4" t="n"/>
      <c r="B165">
        <f>IF(A165="","",IFERROR(LEFT(A165,FIND("@",A165)-1),""))</f>
        <v/>
      </c>
      <c r="C165">
        <f>IF(A165="","",IFERROR(MID(A165,FIND("@",A165)+1,LEN(A165)),""))</f>
        <v/>
      </c>
      <c r="D165">
        <f>IF(C165="","",LOWER(C165))</f>
        <v/>
      </c>
      <c r="E165">
        <f>IF(A165="","",IF(AND(LEN(A165)-LEN(SUBSTITUTE(A165,"@",""))=1,LEFT(A165,1)&lt;&gt;"@",ISNUMBER(FIND(".",A165,FIND("@",A165)+2)),RIGHT(A165,1)&lt;&gt;".",ISERROR(FIND(" ",A165))),"OK","Check"))</f>
        <v/>
      </c>
    </row>
    <row r="166">
      <c r="A166" s="4" t="n"/>
      <c r="B166">
        <f>IF(A166="","",IFERROR(LEFT(A166,FIND("@",A166)-1),""))</f>
        <v/>
      </c>
      <c r="C166">
        <f>IF(A166="","",IFERROR(MID(A166,FIND("@",A166)+1,LEN(A166)),""))</f>
        <v/>
      </c>
      <c r="D166">
        <f>IF(C166="","",LOWER(C166))</f>
        <v/>
      </c>
      <c r="E166">
        <f>IF(A166="","",IF(AND(LEN(A166)-LEN(SUBSTITUTE(A166,"@",""))=1,LEFT(A166,1)&lt;&gt;"@",ISNUMBER(FIND(".",A166,FIND("@",A166)+2)),RIGHT(A166,1)&lt;&gt;".",ISERROR(FIND(" ",A166))),"OK","Check"))</f>
        <v/>
      </c>
    </row>
    <row r="167">
      <c r="A167" s="4" t="n"/>
      <c r="B167">
        <f>IF(A167="","",IFERROR(LEFT(A167,FIND("@",A167)-1),""))</f>
        <v/>
      </c>
      <c r="C167">
        <f>IF(A167="","",IFERROR(MID(A167,FIND("@",A167)+1,LEN(A167)),""))</f>
        <v/>
      </c>
      <c r="D167">
        <f>IF(C167="","",LOWER(C167))</f>
        <v/>
      </c>
      <c r="E167">
        <f>IF(A167="","",IF(AND(LEN(A167)-LEN(SUBSTITUTE(A167,"@",""))=1,LEFT(A167,1)&lt;&gt;"@",ISNUMBER(FIND(".",A167,FIND("@",A167)+2)),RIGHT(A167,1)&lt;&gt;".",ISERROR(FIND(" ",A167))),"OK","Check"))</f>
        <v/>
      </c>
    </row>
    <row r="168">
      <c r="A168" s="4" t="n"/>
      <c r="B168">
        <f>IF(A168="","",IFERROR(LEFT(A168,FIND("@",A168)-1),""))</f>
        <v/>
      </c>
      <c r="C168">
        <f>IF(A168="","",IFERROR(MID(A168,FIND("@",A168)+1,LEN(A168)),""))</f>
        <v/>
      </c>
      <c r="D168">
        <f>IF(C168="","",LOWER(C168))</f>
        <v/>
      </c>
      <c r="E168">
        <f>IF(A168="","",IF(AND(LEN(A168)-LEN(SUBSTITUTE(A168,"@",""))=1,LEFT(A168,1)&lt;&gt;"@",ISNUMBER(FIND(".",A168,FIND("@",A168)+2)),RIGHT(A168,1)&lt;&gt;".",ISERROR(FIND(" ",A168))),"OK","Check"))</f>
        <v/>
      </c>
    </row>
    <row r="169">
      <c r="A169" s="4" t="n"/>
      <c r="B169">
        <f>IF(A169="","",IFERROR(LEFT(A169,FIND("@",A169)-1),""))</f>
        <v/>
      </c>
      <c r="C169">
        <f>IF(A169="","",IFERROR(MID(A169,FIND("@",A169)+1,LEN(A169)),""))</f>
        <v/>
      </c>
      <c r="D169">
        <f>IF(C169="","",LOWER(C169))</f>
        <v/>
      </c>
      <c r="E169">
        <f>IF(A169="","",IF(AND(LEN(A169)-LEN(SUBSTITUTE(A169,"@",""))=1,LEFT(A169,1)&lt;&gt;"@",ISNUMBER(FIND(".",A169,FIND("@",A169)+2)),RIGHT(A169,1)&lt;&gt;".",ISERROR(FIND(" ",A169))),"OK","Check"))</f>
        <v/>
      </c>
    </row>
    <row r="170">
      <c r="A170" s="4" t="n"/>
      <c r="B170">
        <f>IF(A170="","",IFERROR(LEFT(A170,FIND("@",A170)-1),""))</f>
        <v/>
      </c>
      <c r="C170">
        <f>IF(A170="","",IFERROR(MID(A170,FIND("@",A170)+1,LEN(A170)),""))</f>
        <v/>
      </c>
      <c r="D170">
        <f>IF(C170="","",LOWER(C170))</f>
        <v/>
      </c>
      <c r="E170">
        <f>IF(A170="","",IF(AND(LEN(A170)-LEN(SUBSTITUTE(A170,"@",""))=1,LEFT(A170,1)&lt;&gt;"@",ISNUMBER(FIND(".",A170,FIND("@",A170)+2)),RIGHT(A170,1)&lt;&gt;".",ISERROR(FIND(" ",A170))),"OK","Check"))</f>
        <v/>
      </c>
    </row>
    <row r="171">
      <c r="A171" s="4" t="n"/>
      <c r="B171">
        <f>IF(A171="","",IFERROR(LEFT(A171,FIND("@",A171)-1),""))</f>
        <v/>
      </c>
      <c r="C171">
        <f>IF(A171="","",IFERROR(MID(A171,FIND("@",A171)+1,LEN(A171)),""))</f>
        <v/>
      </c>
      <c r="D171">
        <f>IF(C171="","",LOWER(C171))</f>
        <v/>
      </c>
      <c r="E171">
        <f>IF(A171="","",IF(AND(LEN(A171)-LEN(SUBSTITUTE(A171,"@",""))=1,LEFT(A171,1)&lt;&gt;"@",ISNUMBER(FIND(".",A171,FIND("@",A171)+2)),RIGHT(A171,1)&lt;&gt;".",ISERROR(FIND(" ",A171))),"OK","Check"))</f>
        <v/>
      </c>
    </row>
    <row r="172">
      <c r="A172" s="4" t="n"/>
      <c r="B172">
        <f>IF(A172="","",IFERROR(LEFT(A172,FIND("@",A172)-1),""))</f>
        <v/>
      </c>
      <c r="C172">
        <f>IF(A172="","",IFERROR(MID(A172,FIND("@",A172)+1,LEN(A172)),""))</f>
        <v/>
      </c>
      <c r="D172">
        <f>IF(C172="","",LOWER(C172))</f>
        <v/>
      </c>
      <c r="E172">
        <f>IF(A172="","",IF(AND(LEN(A172)-LEN(SUBSTITUTE(A172,"@",""))=1,LEFT(A172,1)&lt;&gt;"@",ISNUMBER(FIND(".",A172,FIND("@",A172)+2)),RIGHT(A172,1)&lt;&gt;".",ISERROR(FIND(" ",A172))),"OK","Check"))</f>
        <v/>
      </c>
    </row>
    <row r="173">
      <c r="A173" s="4" t="n"/>
      <c r="B173">
        <f>IF(A173="","",IFERROR(LEFT(A173,FIND("@",A173)-1),""))</f>
        <v/>
      </c>
      <c r="C173">
        <f>IF(A173="","",IFERROR(MID(A173,FIND("@",A173)+1,LEN(A173)),""))</f>
        <v/>
      </c>
      <c r="D173">
        <f>IF(C173="","",LOWER(C173))</f>
        <v/>
      </c>
      <c r="E173">
        <f>IF(A173="","",IF(AND(LEN(A173)-LEN(SUBSTITUTE(A173,"@",""))=1,LEFT(A173,1)&lt;&gt;"@",ISNUMBER(FIND(".",A173,FIND("@",A173)+2)),RIGHT(A173,1)&lt;&gt;".",ISERROR(FIND(" ",A173))),"OK","Check"))</f>
        <v/>
      </c>
    </row>
    <row r="174">
      <c r="A174" s="4" t="n"/>
      <c r="B174">
        <f>IF(A174="","",IFERROR(LEFT(A174,FIND("@",A174)-1),""))</f>
        <v/>
      </c>
      <c r="C174">
        <f>IF(A174="","",IFERROR(MID(A174,FIND("@",A174)+1,LEN(A174)),""))</f>
        <v/>
      </c>
      <c r="D174">
        <f>IF(C174="","",LOWER(C174))</f>
        <v/>
      </c>
      <c r="E174">
        <f>IF(A174="","",IF(AND(LEN(A174)-LEN(SUBSTITUTE(A174,"@",""))=1,LEFT(A174,1)&lt;&gt;"@",ISNUMBER(FIND(".",A174,FIND("@",A174)+2)),RIGHT(A174,1)&lt;&gt;".",ISERROR(FIND(" ",A174))),"OK","Check"))</f>
        <v/>
      </c>
    </row>
    <row r="175">
      <c r="A175" s="4" t="n"/>
      <c r="B175">
        <f>IF(A175="","",IFERROR(LEFT(A175,FIND("@",A175)-1),""))</f>
        <v/>
      </c>
      <c r="C175">
        <f>IF(A175="","",IFERROR(MID(A175,FIND("@",A175)+1,LEN(A175)),""))</f>
        <v/>
      </c>
      <c r="D175">
        <f>IF(C175="","",LOWER(C175))</f>
        <v/>
      </c>
      <c r="E175">
        <f>IF(A175="","",IF(AND(LEN(A175)-LEN(SUBSTITUTE(A175,"@",""))=1,LEFT(A175,1)&lt;&gt;"@",ISNUMBER(FIND(".",A175,FIND("@",A175)+2)),RIGHT(A175,1)&lt;&gt;".",ISERROR(FIND(" ",A175))),"OK","Check"))</f>
        <v/>
      </c>
    </row>
    <row r="176">
      <c r="A176" s="4" t="n"/>
      <c r="B176">
        <f>IF(A176="","",IFERROR(LEFT(A176,FIND("@",A176)-1),""))</f>
        <v/>
      </c>
      <c r="C176">
        <f>IF(A176="","",IFERROR(MID(A176,FIND("@",A176)+1,LEN(A176)),""))</f>
        <v/>
      </c>
      <c r="D176">
        <f>IF(C176="","",LOWER(C176))</f>
        <v/>
      </c>
      <c r="E176">
        <f>IF(A176="","",IF(AND(LEN(A176)-LEN(SUBSTITUTE(A176,"@",""))=1,LEFT(A176,1)&lt;&gt;"@",ISNUMBER(FIND(".",A176,FIND("@",A176)+2)),RIGHT(A176,1)&lt;&gt;".",ISERROR(FIND(" ",A176))),"OK","Check"))</f>
        <v/>
      </c>
    </row>
    <row r="177">
      <c r="A177" s="4" t="n"/>
      <c r="B177">
        <f>IF(A177="","",IFERROR(LEFT(A177,FIND("@",A177)-1),""))</f>
        <v/>
      </c>
      <c r="C177">
        <f>IF(A177="","",IFERROR(MID(A177,FIND("@",A177)+1,LEN(A177)),""))</f>
        <v/>
      </c>
      <c r="D177">
        <f>IF(C177="","",LOWER(C177))</f>
        <v/>
      </c>
      <c r="E177">
        <f>IF(A177="","",IF(AND(LEN(A177)-LEN(SUBSTITUTE(A177,"@",""))=1,LEFT(A177,1)&lt;&gt;"@",ISNUMBER(FIND(".",A177,FIND("@",A177)+2)),RIGHT(A177,1)&lt;&gt;".",ISERROR(FIND(" ",A177))),"OK","Check"))</f>
        <v/>
      </c>
    </row>
    <row r="178">
      <c r="A178" s="4" t="n"/>
      <c r="B178">
        <f>IF(A178="","",IFERROR(LEFT(A178,FIND("@",A178)-1),""))</f>
        <v/>
      </c>
      <c r="C178">
        <f>IF(A178="","",IFERROR(MID(A178,FIND("@",A178)+1,LEN(A178)),""))</f>
        <v/>
      </c>
      <c r="D178">
        <f>IF(C178="","",LOWER(C178))</f>
        <v/>
      </c>
      <c r="E178">
        <f>IF(A178="","",IF(AND(LEN(A178)-LEN(SUBSTITUTE(A178,"@",""))=1,LEFT(A178,1)&lt;&gt;"@",ISNUMBER(FIND(".",A178,FIND("@",A178)+2)),RIGHT(A178,1)&lt;&gt;".",ISERROR(FIND(" ",A178))),"OK","Check"))</f>
        <v/>
      </c>
    </row>
    <row r="179">
      <c r="A179" s="4" t="n"/>
      <c r="B179">
        <f>IF(A179="","",IFERROR(LEFT(A179,FIND("@",A179)-1),""))</f>
        <v/>
      </c>
      <c r="C179">
        <f>IF(A179="","",IFERROR(MID(A179,FIND("@",A179)+1,LEN(A179)),""))</f>
        <v/>
      </c>
      <c r="D179">
        <f>IF(C179="","",LOWER(C179))</f>
        <v/>
      </c>
      <c r="E179">
        <f>IF(A179="","",IF(AND(LEN(A179)-LEN(SUBSTITUTE(A179,"@",""))=1,LEFT(A179,1)&lt;&gt;"@",ISNUMBER(FIND(".",A179,FIND("@",A179)+2)),RIGHT(A179,1)&lt;&gt;".",ISERROR(FIND(" ",A179))),"OK","Check"))</f>
        <v/>
      </c>
    </row>
    <row r="180">
      <c r="A180" s="4" t="n"/>
      <c r="B180">
        <f>IF(A180="","",IFERROR(LEFT(A180,FIND("@",A180)-1),""))</f>
        <v/>
      </c>
      <c r="C180">
        <f>IF(A180="","",IFERROR(MID(A180,FIND("@",A180)+1,LEN(A180)),""))</f>
        <v/>
      </c>
      <c r="D180">
        <f>IF(C180="","",LOWER(C180))</f>
        <v/>
      </c>
      <c r="E180">
        <f>IF(A180="","",IF(AND(LEN(A180)-LEN(SUBSTITUTE(A180,"@",""))=1,LEFT(A180,1)&lt;&gt;"@",ISNUMBER(FIND(".",A180,FIND("@",A180)+2)),RIGHT(A180,1)&lt;&gt;".",ISERROR(FIND(" ",A180))),"OK","Check"))</f>
        <v/>
      </c>
    </row>
    <row r="181">
      <c r="A181" s="4" t="n"/>
      <c r="B181">
        <f>IF(A181="","",IFERROR(LEFT(A181,FIND("@",A181)-1),""))</f>
        <v/>
      </c>
      <c r="C181">
        <f>IF(A181="","",IFERROR(MID(A181,FIND("@",A181)+1,LEN(A181)),""))</f>
        <v/>
      </c>
      <c r="D181">
        <f>IF(C181="","",LOWER(C181))</f>
        <v/>
      </c>
      <c r="E181">
        <f>IF(A181="","",IF(AND(LEN(A181)-LEN(SUBSTITUTE(A181,"@",""))=1,LEFT(A181,1)&lt;&gt;"@",ISNUMBER(FIND(".",A181,FIND("@",A181)+2)),RIGHT(A181,1)&lt;&gt;".",ISERROR(FIND(" ",A181))),"OK","Check"))</f>
        <v/>
      </c>
    </row>
    <row r="182">
      <c r="A182" s="4" t="n"/>
      <c r="B182">
        <f>IF(A182="","",IFERROR(LEFT(A182,FIND("@",A182)-1),""))</f>
        <v/>
      </c>
      <c r="C182">
        <f>IF(A182="","",IFERROR(MID(A182,FIND("@",A182)+1,LEN(A182)),""))</f>
        <v/>
      </c>
      <c r="D182">
        <f>IF(C182="","",LOWER(C182))</f>
        <v/>
      </c>
      <c r="E182">
        <f>IF(A182="","",IF(AND(LEN(A182)-LEN(SUBSTITUTE(A182,"@",""))=1,LEFT(A182,1)&lt;&gt;"@",ISNUMBER(FIND(".",A182,FIND("@",A182)+2)),RIGHT(A182,1)&lt;&gt;".",ISERROR(FIND(" ",A182))),"OK","Check"))</f>
        <v/>
      </c>
    </row>
    <row r="183">
      <c r="A183" s="4" t="n"/>
      <c r="B183">
        <f>IF(A183="","",IFERROR(LEFT(A183,FIND("@",A183)-1),""))</f>
        <v/>
      </c>
      <c r="C183">
        <f>IF(A183="","",IFERROR(MID(A183,FIND("@",A183)+1,LEN(A183)),""))</f>
        <v/>
      </c>
      <c r="D183">
        <f>IF(C183="","",LOWER(C183))</f>
        <v/>
      </c>
      <c r="E183">
        <f>IF(A183="","",IF(AND(LEN(A183)-LEN(SUBSTITUTE(A183,"@",""))=1,LEFT(A183,1)&lt;&gt;"@",ISNUMBER(FIND(".",A183,FIND("@",A183)+2)),RIGHT(A183,1)&lt;&gt;".",ISERROR(FIND(" ",A183))),"OK","Check"))</f>
        <v/>
      </c>
    </row>
    <row r="184">
      <c r="A184" s="4" t="n"/>
      <c r="B184">
        <f>IF(A184="","",IFERROR(LEFT(A184,FIND("@",A184)-1),""))</f>
        <v/>
      </c>
      <c r="C184">
        <f>IF(A184="","",IFERROR(MID(A184,FIND("@",A184)+1,LEN(A184)),""))</f>
        <v/>
      </c>
      <c r="D184">
        <f>IF(C184="","",LOWER(C184))</f>
        <v/>
      </c>
      <c r="E184">
        <f>IF(A184="","",IF(AND(LEN(A184)-LEN(SUBSTITUTE(A184,"@",""))=1,LEFT(A184,1)&lt;&gt;"@",ISNUMBER(FIND(".",A184,FIND("@",A184)+2)),RIGHT(A184,1)&lt;&gt;".",ISERROR(FIND(" ",A184))),"OK","Check"))</f>
        <v/>
      </c>
    </row>
    <row r="185">
      <c r="A185" s="4" t="n"/>
      <c r="B185">
        <f>IF(A185="","",IFERROR(LEFT(A185,FIND("@",A185)-1),""))</f>
        <v/>
      </c>
      <c r="C185">
        <f>IF(A185="","",IFERROR(MID(A185,FIND("@",A185)+1,LEN(A185)),""))</f>
        <v/>
      </c>
      <c r="D185">
        <f>IF(C185="","",LOWER(C185))</f>
        <v/>
      </c>
      <c r="E185">
        <f>IF(A185="","",IF(AND(LEN(A185)-LEN(SUBSTITUTE(A185,"@",""))=1,LEFT(A185,1)&lt;&gt;"@",ISNUMBER(FIND(".",A185,FIND("@",A185)+2)),RIGHT(A185,1)&lt;&gt;".",ISERROR(FIND(" ",A185))),"OK","Check"))</f>
        <v/>
      </c>
    </row>
    <row r="186">
      <c r="A186" s="4" t="n"/>
      <c r="B186">
        <f>IF(A186="","",IFERROR(LEFT(A186,FIND("@",A186)-1),""))</f>
        <v/>
      </c>
      <c r="C186">
        <f>IF(A186="","",IFERROR(MID(A186,FIND("@",A186)+1,LEN(A186)),""))</f>
        <v/>
      </c>
      <c r="D186">
        <f>IF(C186="","",LOWER(C186))</f>
        <v/>
      </c>
      <c r="E186">
        <f>IF(A186="","",IF(AND(LEN(A186)-LEN(SUBSTITUTE(A186,"@",""))=1,LEFT(A186,1)&lt;&gt;"@",ISNUMBER(FIND(".",A186,FIND("@",A186)+2)),RIGHT(A186,1)&lt;&gt;".",ISERROR(FIND(" ",A186))),"OK","Check"))</f>
        <v/>
      </c>
    </row>
    <row r="187">
      <c r="A187" s="4" t="n"/>
      <c r="B187">
        <f>IF(A187="","",IFERROR(LEFT(A187,FIND("@",A187)-1),""))</f>
        <v/>
      </c>
      <c r="C187">
        <f>IF(A187="","",IFERROR(MID(A187,FIND("@",A187)+1,LEN(A187)),""))</f>
        <v/>
      </c>
      <c r="D187">
        <f>IF(C187="","",LOWER(C187))</f>
        <v/>
      </c>
      <c r="E187">
        <f>IF(A187="","",IF(AND(LEN(A187)-LEN(SUBSTITUTE(A187,"@",""))=1,LEFT(A187,1)&lt;&gt;"@",ISNUMBER(FIND(".",A187,FIND("@",A187)+2)),RIGHT(A187,1)&lt;&gt;".",ISERROR(FIND(" ",A187))),"OK","Check"))</f>
        <v/>
      </c>
    </row>
    <row r="188">
      <c r="A188" s="4" t="n"/>
      <c r="B188">
        <f>IF(A188="","",IFERROR(LEFT(A188,FIND("@",A188)-1),""))</f>
        <v/>
      </c>
      <c r="C188">
        <f>IF(A188="","",IFERROR(MID(A188,FIND("@",A188)+1,LEN(A188)),""))</f>
        <v/>
      </c>
      <c r="D188">
        <f>IF(C188="","",LOWER(C188))</f>
        <v/>
      </c>
      <c r="E188">
        <f>IF(A188="","",IF(AND(LEN(A188)-LEN(SUBSTITUTE(A188,"@",""))=1,LEFT(A188,1)&lt;&gt;"@",ISNUMBER(FIND(".",A188,FIND("@",A188)+2)),RIGHT(A188,1)&lt;&gt;".",ISERROR(FIND(" ",A188))),"OK","Check"))</f>
        <v/>
      </c>
    </row>
    <row r="189">
      <c r="A189" s="4" t="n"/>
      <c r="B189">
        <f>IF(A189="","",IFERROR(LEFT(A189,FIND("@",A189)-1),""))</f>
        <v/>
      </c>
      <c r="C189">
        <f>IF(A189="","",IFERROR(MID(A189,FIND("@",A189)+1,LEN(A189)),""))</f>
        <v/>
      </c>
      <c r="D189">
        <f>IF(C189="","",LOWER(C189))</f>
        <v/>
      </c>
      <c r="E189">
        <f>IF(A189="","",IF(AND(LEN(A189)-LEN(SUBSTITUTE(A189,"@",""))=1,LEFT(A189,1)&lt;&gt;"@",ISNUMBER(FIND(".",A189,FIND("@",A189)+2)),RIGHT(A189,1)&lt;&gt;".",ISERROR(FIND(" ",A189))),"OK","Check"))</f>
        <v/>
      </c>
    </row>
    <row r="190">
      <c r="A190" s="4" t="n"/>
      <c r="B190">
        <f>IF(A190="","",IFERROR(LEFT(A190,FIND("@",A190)-1),""))</f>
        <v/>
      </c>
      <c r="C190">
        <f>IF(A190="","",IFERROR(MID(A190,FIND("@",A190)+1,LEN(A190)),""))</f>
        <v/>
      </c>
      <c r="D190">
        <f>IF(C190="","",LOWER(C190))</f>
        <v/>
      </c>
      <c r="E190">
        <f>IF(A190="","",IF(AND(LEN(A190)-LEN(SUBSTITUTE(A190,"@",""))=1,LEFT(A190,1)&lt;&gt;"@",ISNUMBER(FIND(".",A190,FIND("@",A190)+2)),RIGHT(A190,1)&lt;&gt;".",ISERROR(FIND(" ",A190))),"OK","Check"))</f>
        <v/>
      </c>
    </row>
    <row r="191">
      <c r="A191" s="4" t="n"/>
      <c r="B191">
        <f>IF(A191="","",IFERROR(LEFT(A191,FIND("@",A191)-1),""))</f>
        <v/>
      </c>
      <c r="C191">
        <f>IF(A191="","",IFERROR(MID(A191,FIND("@",A191)+1,LEN(A191)),""))</f>
        <v/>
      </c>
      <c r="D191">
        <f>IF(C191="","",LOWER(C191))</f>
        <v/>
      </c>
      <c r="E191">
        <f>IF(A191="","",IF(AND(LEN(A191)-LEN(SUBSTITUTE(A191,"@",""))=1,LEFT(A191,1)&lt;&gt;"@",ISNUMBER(FIND(".",A191,FIND("@",A191)+2)),RIGHT(A191,1)&lt;&gt;".",ISERROR(FIND(" ",A191))),"OK","Check"))</f>
        <v/>
      </c>
    </row>
    <row r="192">
      <c r="A192" s="4" t="n"/>
      <c r="B192">
        <f>IF(A192="","",IFERROR(LEFT(A192,FIND("@",A192)-1),""))</f>
        <v/>
      </c>
      <c r="C192">
        <f>IF(A192="","",IFERROR(MID(A192,FIND("@",A192)+1,LEN(A192)),""))</f>
        <v/>
      </c>
      <c r="D192">
        <f>IF(C192="","",LOWER(C192))</f>
        <v/>
      </c>
      <c r="E192">
        <f>IF(A192="","",IF(AND(LEN(A192)-LEN(SUBSTITUTE(A192,"@",""))=1,LEFT(A192,1)&lt;&gt;"@",ISNUMBER(FIND(".",A192,FIND("@",A192)+2)),RIGHT(A192,1)&lt;&gt;".",ISERROR(FIND(" ",A192))),"OK","Check"))</f>
        <v/>
      </c>
    </row>
    <row r="193">
      <c r="A193" s="4" t="n"/>
      <c r="B193">
        <f>IF(A193="","",IFERROR(LEFT(A193,FIND("@",A193)-1),""))</f>
        <v/>
      </c>
      <c r="C193">
        <f>IF(A193="","",IFERROR(MID(A193,FIND("@",A193)+1,LEN(A193)),""))</f>
        <v/>
      </c>
      <c r="D193">
        <f>IF(C193="","",LOWER(C193))</f>
        <v/>
      </c>
      <c r="E193">
        <f>IF(A193="","",IF(AND(LEN(A193)-LEN(SUBSTITUTE(A193,"@",""))=1,LEFT(A193,1)&lt;&gt;"@",ISNUMBER(FIND(".",A193,FIND("@",A193)+2)),RIGHT(A193,1)&lt;&gt;".",ISERROR(FIND(" ",A193))),"OK","Check"))</f>
        <v/>
      </c>
    </row>
    <row r="194">
      <c r="A194" s="4" t="n"/>
      <c r="B194">
        <f>IF(A194="","",IFERROR(LEFT(A194,FIND("@",A194)-1),""))</f>
        <v/>
      </c>
      <c r="C194">
        <f>IF(A194="","",IFERROR(MID(A194,FIND("@",A194)+1,LEN(A194)),""))</f>
        <v/>
      </c>
      <c r="D194">
        <f>IF(C194="","",LOWER(C194))</f>
        <v/>
      </c>
      <c r="E194">
        <f>IF(A194="","",IF(AND(LEN(A194)-LEN(SUBSTITUTE(A194,"@",""))=1,LEFT(A194,1)&lt;&gt;"@",ISNUMBER(FIND(".",A194,FIND("@",A194)+2)),RIGHT(A194,1)&lt;&gt;".",ISERROR(FIND(" ",A194))),"OK","Check"))</f>
        <v/>
      </c>
    </row>
    <row r="195">
      <c r="A195" s="4" t="n"/>
      <c r="B195">
        <f>IF(A195="","",IFERROR(LEFT(A195,FIND("@",A195)-1),""))</f>
        <v/>
      </c>
      <c r="C195">
        <f>IF(A195="","",IFERROR(MID(A195,FIND("@",A195)+1,LEN(A195)),""))</f>
        <v/>
      </c>
      <c r="D195">
        <f>IF(C195="","",LOWER(C195))</f>
        <v/>
      </c>
      <c r="E195">
        <f>IF(A195="","",IF(AND(LEN(A195)-LEN(SUBSTITUTE(A195,"@",""))=1,LEFT(A195,1)&lt;&gt;"@",ISNUMBER(FIND(".",A195,FIND("@",A195)+2)),RIGHT(A195,1)&lt;&gt;".",ISERROR(FIND(" ",A195))),"OK","Check"))</f>
        <v/>
      </c>
    </row>
    <row r="196">
      <c r="A196" s="4" t="n"/>
      <c r="B196">
        <f>IF(A196="","",IFERROR(LEFT(A196,FIND("@",A196)-1),""))</f>
        <v/>
      </c>
      <c r="C196">
        <f>IF(A196="","",IFERROR(MID(A196,FIND("@",A196)+1,LEN(A196)),""))</f>
        <v/>
      </c>
      <c r="D196">
        <f>IF(C196="","",LOWER(C196))</f>
        <v/>
      </c>
      <c r="E196">
        <f>IF(A196="","",IF(AND(LEN(A196)-LEN(SUBSTITUTE(A196,"@",""))=1,LEFT(A196,1)&lt;&gt;"@",ISNUMBER(FIND(".",A196,FIND("@",A196)+2)),RIGHT(A196,1)&lt;&gt;".",ISERROR(FIND(" ",A196))),"OK","Check"))</f>
        <v/>
      </c>
    </row>
    <row r="197">
      <c r="A197" s="4" t="n"/>
      <c r="B197">
        <f>IF(A197="","",IFERROR(LEFT(A197,FIND("@",A197)-1),""))</f>
        <v/>
      </c>
      <c r="C197">
        <f>IF(A197="","",IFERROR(MID(A197,FIND("@",A197)+1,LEN(A197)),""))</f>
        <v/>
      </c>
      <c r="D197">
        <f>IF(C197="","",LOWER(C197))</f>
        <v/>
      </c>
      <c r="E197">
        <f>IF(A197="","",IF(AND(LEN(A197)-LEN(SUBSTITUTE(A197,"@",""))=1,LEFT(A197,1)&lt;&gt;"@",ISNUMBER(FIND(".",A197,FIND("@",A197)+2)),RIGHT(A197,1)&lt;&gt;".",ISERROR(FIND(" ",A197))),"OK","Check"))</f>
        <v/>
      </c>
    </row>
    <row r="198">
      <c r="A198" s="4" t="n"/>
      <c r="B198">
        <f>IF(A198="","",IFERROR(LEFT(A198,FIND("@",A198)-1),""))</f>
        <v/>
      </c>
      <c r="C198">
        <f>IF(A198="","",IFERROR(MID(A198,FIND("@",A198)+1,LEN(A198)),""))</f>
        <v/>
      </c>
      <c r="D198">
        <f>IF(C198="","",LOWER(C198))</f>
        <v/>
      </c>
      <c r="E198">
        <f>IF(A198="","",IF(AND(LEN(A198)-LEN(SUBSTITUTE(A198,"@",""))=1,LEFT(A198,1)&lt;&gt;"@",ISNUMBER(FIND(".",A198,FIND("@",A198)+2)),RIGHT(A198,1)&lt;&gt;".",ISERROR(FIND(" ",A198))),"OK","Check"))</f>
        <v/>
      </c>
    </row>
    <row r="199">
      <c r="A199" s="4" t="n"/>
      <c r="B199">
        <f>IF(A199="","",IFERROR(LEFT(A199,FIND("@",A199)-1),""))</f>
        <v/>
      </c>
      <c r="C199">
        <f>IF(A199="","",IFERROR(MID(A199,FIND("@",A199)+1,LEN(A199)),""))</f>
        <v/>
      </c>
      <c r="D199">
        <f>IF(C199="","",LOWER(C199))</f>
        <v/>
      </c>
      <c r="E199">
        <f>IF(A199="","",IF(AND(LEN(A199)-LEN(SUBSTITUTE(A199,"@",""))=1,LEFT(A199,1)&lt;&gt;"@",ISNUMBER(FIND(".",A199,FIND("@",A199)+2)),RIGHT(A199,1)&lt;&gt;".",ISERROR(FIND(" ",A199))),"OK","Check"))</f>
        <v/>
      </c>
    </row>
    <row r="200">
      <c r="A200" s="4" t="n"/>
      <c r="B200">
        <f>IF(A200="","",IFERROR(LEFT(A200,FIND("@",A200)-1),""))</f>
        <v/>
      </c>
      <c r="C200">
        <f>IF(A200="","",IFERROR(MID(A200,FIND("@",A200)+1,LEN(A200)),""))</f>
        <v/>
      </c>
      <c r="D200">
        <f>IF(C200="","",LOWER(C200))</f>
        <v/>
      </c>
      <c r="E200">
        <f>IF(A200="","",IF(AND(LEN(A200)-LEN(SUBSTITUTE(A200,"@",""))=1,LEFT(A200,1)&lt;&gt;"@",ISNUMBER(FIND(".",A200,FIND("@",A200)+2)),RIGHT(A200,1)&lt;&gt;".",ISERROR(FIND(" ",A200))),"OK","Check"))</f>
        <v/>
      </c>
    </row>
  </sheetData>
  <conditionalFormatting sqref="E2:E200">
    <cfRule type="expression" priority="1" dxfId="0">
      <formula>E2="Check"</formula>
    </cfRule>
  </conditionalFormatting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 ht="30" customHeight="1">
      <c r="A1" s="1" t="inlineStr">
        <is>
          <t>Domain</t>
        </is>
      </c>
      <c r="B1" s="1" t="inlineStr">
        <is>
          <t>OK rows</t>
        </is>
      </c>
    </row>
    <row r="2">
      <c r="A2" s="5" t="inlineStr">
        <is>
          <t>example.com</t>
        </is>
      </c>
      <c r="B2" s="3">
        <f>IF(A2="","",COUNTIFS(Emails!$D$2:$D$200,TRIM(A2),Emails!$E$2:$E$200,"OK"))</f>
        <v/>
      </c>
    </row>
    <row r="3">
      <c r="A3" s="5" t="inlineStr">
        <is>
          <t>example.org</t>
        </is>
      </c>
      <c r="B3" s="3">
        <f>IF(A3="","",COUNTIFS(Emails!$D$2:$D$200,TRIM(A3),Emails!$E$2:$E$200,"OK"))</f>
        <v/>
      </c>
    </row>
    <row r="4">
      <c r="A4" s="5" t="inlineStr">
        <is>
          <t>example.net</t>
        </is>
      </c>
      <c r="B4" s="3">
        <f>IF(A4="","",COUNTIFS(Emails!$D$2:$D$200,TRIM(A4),Emails!$E$2:$E$200,"OK"))</f>
        <v/>
      </c>
    </row>
    <row r="5">
      <c r="A5" s="5" t="n"/>
      <c r="B5" s="3">
        <f>IF(A5="","",COUNTIFS(Emails!$D$2:$D$200,TRIM(A5),Emails!$E$2:$E$200,"OK"))</f>
        <v/>
      </c>
    </row>
    <row r="6">
      <c r="A6" s="5" t="n"/>
      <c r="B6" s="3">
        <f>IF(A6="","",COUNTIFS(Emails!$D$2:$D$200,TRIM(A6),Emails!$E$2:$E$200,"OK"))</f>
        <v/>
      </c>
    </row>
    <row r="7">
      <c r="A7" s="5" t="n"/>
      <c r="B7" s="3">
        <f>IF(A7="","",COUNTIFS(Emails!$D$2:$D$200,TRIM(A7),Emails!$E$2:$E$200,"OK"))</f>
        <v/>
      </c>
    </row>
    <row r="8">
      <c r="A8" s="6" t="inlineStr">
        <is>
          <t>Other domains</t>
        </is>
      </c>
      <c r="B8" s="7">
        <f>B11-SUM(B2:B7)</f>
        <v/>
      </c>
    </row>
    <row r="10">
      <c r="A10" s="6" t="inlineStr">
        <is>
          <t>Rows with an entry</t>
        </is>
      </c>
      <c r="B10" s="7">
        <f>COUNTA(Emails!A2:A200)</f>
        <v/>
      </c>
    </row>
    <row r="11">
      <c r="A11" s="6" t="inlineStr">
        <is>
          <t>OK rows</t>
        </is>
      </c>
      <c r="B11" s="7">
        <f>COUNTIF(Emails!$E$2:$E$200,"OK")</f>
        <v/>
      </c>
    </row>
    <row r="12">
      <c r="A12" s="6" t="inlineStr">
        <is>
          <t>Rows to check</t>
        </is>
      </c>
      <c r="B12" s="7">
        <f>COUNTIF(Emails!$E$2:$E$200,"Check")</f>
        <v/>
      </c>
    </row>
    <row r="13">
      <c r="A13" s="6" t="inlineStr">
        <is>
          <t>Check: OK + Check = rows</t>
        </is>
      </c>
      <c r="B13" s="7">
        <f>IF(B11+B12=B10,"OK","CHECK")</f>
        <v/>
      </c>
    </row>
  </sheetData>
  <conditionalFormatting sqref="B13">
    <cfRule type="expression" priority="1" dxfId="0">
      <formula>B13="CHECK"</formula>
    </cfRule>
  </conditionalFormatting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Tidy Tabs: Split an Email Address Into Username and Domain</t>
        </is>
      </c>
    </row>
    <row r="2">
      <c r="A2" s="9" t="inlineStr"/>
    </row>
    <row r="3">
      <c r="A3" s="9" t="inlineStr">
        <is>
          <t>1. Emails tab: paste the addresses in A (yellow). Rows 2 to 200 have formulas ready.</t>
        </is>
      </c>
    </row>
    <row r="4">
      <c r="A4" s="9" t="inlineStr">
        <is>
          <t>2. Username B2: =IFERROR(LEFT(A2,FIND("@",A2)-1),"") keeps everything before the @.</t>
        </is>
      </c>
    </row>
    <row r="5">
      <c r="A5" s="9" t="inlineStr">
        <is>
          <t>3. Domain C2: =IFERROR(MID(A2,FIND("@",A2)+1,LEN(A2)),"") keeps everything after the @. D2 is the same domain in lower case with LOWER, so Example.com and example.com count together.</t>
        </is>
      </c>
    </row>
    <row r="6">
      <c r="A6" s="9" t="inlineStr">
        <is>
          <t>4. Shape E2 shows OK when the address has exactly one @, something before it, a dot at least one character after it, no dot at the very end and no spaces. Anything else shows Check.</t>
        </is>
      </c>
    </row>
    <row r="7">
      <c r="A7" s="9" t="inlineStr">
        <is>
          <t>5. A trailing space after the address shows Check. Remove it with TRIM or retype the cell. A plus sign in the username (name+orders@...) stays OK.</t>
        </is>
      </c>
    </row>
    <row r="8">
      <c r="A8" s="9" t="inlineStr">
        <is>
          <t>6. Summary tab: type the domains you want to count in A2 to A7 (yellow). B counts the OK rows with that domain. Other domains is every other OK row.</t>
        </is>
      </c>
    </row>
    <row r="9">
      <c r="A9" s="9" t="inlineStr">
        <is>
          <t>7. Summary!B13 shows OK when OK rows plus Check rows equal the rows with an entry.</t>
        </is>
      </c>
    </row>
    <row r="10">
      <c r="A10" s="9" t="inlineStr">
        <is>
          <t>8. This checks the shape of the text only. It does not tell you whether a mailbox exists or whether a person agreed to get email from you.</t>
        </is>
      </c>
    </row>
    <row r="11">
      <c r="A11" s="9" t="inlineStr">
        <is>
          <t>9. Count each domain once on the Summary tab; a domain typed twice is counted twice and Other domains goes below zero. The print area covers the first 40 rows of the Emails tab.</t>
        </is>
      </c>
    </row>
    <row r="12">
      <c r="A12" s="9" t="inlineStr"/>
    </row>
    <row r="13">
      <c r="A13" s="9" t="inlineStr">
        <is>
          <t>All addresses are fictional and use example.com, example.org and example.net. Checked in LibreOffice Calc only; not opened in Excel or Google Sheets.</t>
        </is>
      </c>
    </row>
    <row r="14">
      <c r="A14" s="9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2026-10-17T07:35:54Z</dcterms:created>
  <dcterms:modified xsi:type="dcterms:W3CDTF">2026-10-17T07:35:54Z</dcterms:modified>
</cp:coreProperties>
</file>