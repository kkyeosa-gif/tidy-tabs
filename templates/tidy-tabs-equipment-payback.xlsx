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yback" sheetId="1" state="visible" r:id="rId1"/>
    <sheet xmlns:r="http://schemas.openxmlformats.org/officeDocument/2006/relationships" name="How to use" sheetId="2" state="visible" r:id="rId2"/>
  </sheets>
  <definedNames>
    <definedName name="_xlnm.Print_Titles" localSheetId="0">'Payback'!$1:$1</definedName>
    <definedName name="_xlnm.Print_Area" localSheetId="0">'Payback'!$A$1:$G$29</definedName>
  </definedNames>
  <calcPr calcId="124519" fullCalcOnLoad="1"/>
</workbook>
</file>

<file path=xl/styles.xml><?xml version="1.0" encoding="utf-8"?>
<styleSheet xmlns="http://schemas.openxmlformats.org/spreadsheetml/2006/main">
  <numFmts count="1">
    <numFmt numFmtId="164" formatCode="&quot;$&quot;#,##0.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FFF2CC"/>
      </patternFill>
    </fill>
    <fill>
      <patternFill patternType="solid">
        <fgColor rgb="00EDEDED"/>
      </patternFill>
    </fill>
  </fills>
  <borders count="1">
    <border>
      <left/>
      <right/>
      <top/>
      <bottom/>
      <diagonal/>
    </border>
  </borders>
  <cellStyleXfs count="1">
    <xf numFmtId="0" fontId="0" fillId="0" borderId="0"/>
  </cellStyleXfs>
  <cellXfs count="15">
    <xf numFmtId="0" fontId="0" fillId="0" borderId="0" pivotButton="0" quotePrefix="0" xfId="0"/>
    <xf numFmtId="0" fontId="2" fillId="0" borderId="0" pivotButton="0" quotePrefix="0" xfId="0"/>
    <xf numFmtId="0" fontId="0" fillId="3" borderId="0" pivotButton="0" quotePrefix="0" xfId="0"/>
    <xf numFmtId="1" fontId="0" fillId="4" borderId="0" applyAlignment="1" pivotButton="0" quotePrefix="0" xfId="0">
      <alignment horizontal="right"/>
    </xf>
    <xf numFmtId="164" fontId="0" fillId="3" borderId="0" pivotButton="0" quotePrefix="0" xfId="0"/>
    <xf numFmtId="0" fontId="2" fillId="0" borderId="0" applyAlignment="1" pivotButton="0" quotePrefix="0" xfId="0">
      <alignment vertical="center" wrapText="1"/>
    </xf>
    <xf numFmtId="1" fontId="2" fillId="4" borderId="0" applyAlignment="1" pivotButton="0" quotePrefix="0" xfId="0">
      <alignment horizontal="right" vertical="center"/>
    </xf>
    <xf numFmtId="2" fontId="2" fillId="4" borderId="0" applyAlignment="1" pivotButton="0" quotePrefix="0" xfId="0">
      <alignment horizontal="right" vertical="center"/>
    </xf>
    <xf numFmtId="0" fontId="1" fillId="2" borderId="0" applyAlignment="1" pivotButton="0" quotePrefix="0" xfId="0">
      <alignment vertical="center" wrapText="1"/>
    </xf>
    <xf numFmtId="0" fontId="0" fillId="4" borderId="0" applyAlignment="1" pivotButton="0" quotePrefix="0" xfId="0">
      <alignment horizontal="right"/>
    </xf>
    <xf numFmtId="0" fontId="0" fillId="0" borderId="0" applyAlignment="1" pivotButton="0" quotePrefix="0" xfId="0">
      <alignment horizontal="center"/>
    </xf>
    <xf numFmtId="164" fontId="0" fillId="4" borderId="0" pivotButton="0" quotePrefix="0" xfId="0"/>
    <xf numFmtId="0" fontId="0" fillId="4" borderId="0" applyAlignment="1" pivotButton="0" quotePrefix="0" xfId="0">
      <alignment horizontal="center"/>
    </xf>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E2F0D9"/>
        </patternFill>
      </fill>
    </dxf>
    <dxf>
      <fill>
        <patternFill patternType="solid">
          <f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29"/>
  <sheetViews>
    <sheetView workbookViewId="0">
      <selection activeCell="A1" sqref="A1"/>
    </sheetView>
  </sheetViews>
  <sheetFormatPr baseColWidth="8" defaultRowHeight="15"/>
  <cols>
    <col width="34" customWidth="1" min="1" max="1"/>
    <col width="30" customWidth="1" min="2" max="2"/>
    <col width="16" customWidth="1" min="3" max="3"/>
    <col width="14" customWidth="1" min="4" max="4"/>
    <col width="3" customWidth="1" min="5" max="5"/>
    <col width="44" customWidth="1" min="6" max="6"/>
    <col width="22" customWidth="1" min="7" max="7"/>
  </cols>
  <sheetData>
    <row r="1">
      <c r="A1" s="1" t="inlineStr">
        <is>
          <t>Equipment</t>
        </is>
      </c>
      <c r="B1" s="2" t="inlineStr">
        <is>
          <t>Espresso machine for the cart</t>
        </is>
      </c>
      <c r="F1" s="1" t="inlineStr">
        <is>
          <t>Whole months (rounded up)</t>
        </is>
      </c>
      <c r="G1" s="3">
        <f>IF(ISNUMBER(B4),ROUNDUP(ROUND(B4,6),0),"")</f>
        <v/>
      </c>
    </row>
    <row r="2">
      <c r="A2" s="1" t="inlineStr">
        <is>
          <t>Equipment cost</t>
        </is>
      </c>
      <c r="B2" s="4" t="n">
        <v>4800</v>
      </c>
      <c r="F2" s="1" t="inlineStr">
        <is>
          <t>Months with net profit typed</t>
        </is>
      </c>
      <c r="G2" s="3">
        <f>COUNT(B6:B29)</f>
        <v/>
      </c>
    </row>
    <row r="3" ht="30" customHeight="1">
      <c r="A3" s="5" t="inlineStr">
        <is>
          <t>Payback month (first month the running total reaches the cost)</t>
        </is>
      </c>
      <c r="B3" s="6">
        <f>IF(NOT(ISNUMBER(B2)),"Type the cost in B2",IF(B2&lt;=0,"Cost must be above 0",IF(MAX(C6:C29)&lt;B2,"Not paid back in this range",COUNTIF(C6:C29,"&lt;"&amp;B2)+1)))</f>
        <v/>
      </c>
      <c r="F3" s="1" t="inlineStr">
        <is>
          <t>Months with a loss (below 0)</t>
        </is>
      </c>
      <c r="G3" s="3">
        <f>COUNTIF(B6:B29,"&lt;0")</f>
        <v/>
      </c>
    </row>
    <row r="4" ht="30" customHeight="1">
      <c r="A4" s="5" t="inlineStr">
        <is>
          <t>Payback in months, with a fraction</t>
        </is>
      </c>
      <c r="B4" s="7">
        <f>IF(ISNUMBER(B3),IFERROR(B3-1+(B2-IF(B3=1,0,SUMIF(A6:A29,"&lt;"&amp;B3,B6:B29)))/SUMIF(A6:A29,B3,B6:B29),"Check profits"),"")</f>
        <v/>
      </c>
      <c r="F4" s="1" t="inlineStr">
        <is>
          <t>First month at or above the cost (column D)</t>
        </is>
      </c>
      <c r="G4" s="3">
        <f>IF(ISNUMBER(B3),IFERROR(MATCH("Yes",D6:D29,0),"None"),"")</f>
        <v/>
      </c>
    </row>
    <row r="5" ht="46" customHeight="1">
      <c r="A5" s="8" t="inlineStr">
        <is>
          <t>Month</t>
        </is>
      </c>
      <c r="B5" s="8" t="inlineStr">
        <is>
          <t>Net profit from the equipment</t>
        </is>
      </c>
      <c r="C5" s="8" t="inlineStr">
        <is>
          <t>Running total</t>
        </is>
      </c>
      <c r="D5" s="8" t="inlineStr">
        <is>
          <t>Reached the cost?</t>
        </is>
      </c>
      <c r="F5" s="1" t="inlineStr">
        <is>
          <t>Check: both methods agree, profits are numbers</t>
        </is>
      </c>
      <c r="G5" s="9">
        <f>IF(AND(ISNUMBER(B2),COUNT(B6:B29)=COUNTA(B6:B29)),IF(ISNUMBER(B3),IF(B3=G4,"OK","CHECK"),IF(B3="Not paid back in this range",IF(COUNTIF(D6:D29,"Yes")=0,"OK","CHECK"),"CHECK")),"CHECK")</f>
        <v/>
      </c>
    </row>
    <row r="6">
      <c r="A6" s="10" t="n">
        <v>1</v>
      </c>
      <c r="B6" s="4" t="n">
        <v>300</v>
      </c>
      <c r="C6" s="11">
        <f>SUM(B$6:B6)</f>
        <v/>
      </c>
      <c r="D6" s="12">
        <f>IF(AND(ISNUMBER($B$2),C6&gt;=$B$2),"Yes","")</f>
        <v/>
      </c>
    </row>
    <row r="7">
      <c r="A7" s="10" t="n">
        <v>2</v>
      </c>
      <c r="B7" s="4" t="n">
        <v>325</v>
      </c>
      <c r="C7" s="11">
        <f>SUM(B$6:B7)</f>
        <v/>
      </c>
      <c r="D7" s="12">
        <f>IF(AND(ISNUMBER($B$2),C7&gt;=$B$2),"Yes","")</f>
        <v/>
      </c>
    </row>
    <row r="8">
      <c r="A8" s="10" t="n">
        <v>3</v>
      </c>
      <c r="B8" s="4" t="n">
        <v>350</v>
      </c>
      <c r="C8" s="11">
        <f>SUM(B$6:B8)</f>
        <v/>
      </c>
      <c r="D8" s="12">
        <f>IF(AND(ISNUMBER($B$2),C8&gt;=$B$2),"Yes","")</f>
        <v/>
      </c>
    </row>
    <row r="9">
      <c r="A9" s="10" t="n">
        <v>4</v>
      </c>
      <c r="B9" s="4" t="n">
        <v>375</v>
      </c>
      <c r="C9" s="11">
        <f>SUM(B$6:B9)</f>
        <v/>
      </c>
      <c r="D9" s="12">
        <f>IF(AND(ISNUMBER($B$2),C9&gt;=$B$2),"Yes","")</f>
        <v/>
      </c>
    </row>
    <row r="10">
      <c r="A10" s="10" t="n">
        <v>5</v>
      </c>
      <c r="B10" s="4" t="n">
        <v>400</v>
      </c>
      <c r="C10" s="11">
        <f>SUM(B$6:B10)</f>
        <v/>
      </c>
      <c r="D10" s="12">
        <f>IF(AND(ISNUMBER($B$2),C10&gt;=$B$2),"Yes","")</f>
        <v/>
      </c>
    </row>
    <row r="11">
      <c r="A11" s="10" t="n">
        <v>6</v>
      </c>
      <c r="B11" s="4" t="n">
        <v>425</v>
      </c>
      <c r="C11" s="11">
        <f>SUM(B$6:B11)</f>
        <v/>
      </c>
      <c r="D11" s="12">
        <f>IF(AND(ISNUMBER($B$2),C11&gt;=$B$2),"Yes","")</f>
        <v/>
      </c>
    </row>
    <row r="12">
      <c r="A12" s="10" t="n">
        <v>7</v>
      </c>
      <c r="B12" s="4" t="n">
        <v>450</v>
      </c>
      <c r="C12" s="11">
        <f>SUM(B$6:B12)</f>
        <v/>
      </c>
      <c r="D12" s="12">
        <f>IF(AND(ISNUMBER($B$2),C12&gt;=$B$2),"Yes","")</f>
        <v/>
      </c>
    </row>
    <row r="13">
      <c r="A13" s="10" t="n">
        <v>8</v>
      </c>
      <c r="B13" s="4" t="n">
        <v>475</v>
      </c>
      <c r="C13" s="11">
        <f>SUM(B$6:B13)</f>
        <v/>
      </c>
      <c r="D13" s="12">
        <f>IF(AND(ISNUMBER($B$2),C13&gt;=$B$2),"Yes","")</f>
        <v/>
      </c>
    </row>
    <row r="14">
      <c r="A14" s="10" t="n">
        <v>9</v>
      </c>
      <c r="B14" s="4" t="n">
        <v>500</v>
      </c>
      <c r="C14" s="11">
        <f>SUM(B$6:B14)</f>
        <v/>
      </c>
      <c r="D14" s="12">
        <f>IF(AND(ISNUMBER($B$2),C14&gt;=$B$2),"Yes","")</f>
        <v/>
      </c>
    </row>
    <row r="15">
      <c r="A15" s="10" t="n">
        <v>10</v>
      </c>
      <c r="B15" s="4" t="n">
        <v>520</v>
      </c>
      <c r="C15" s="11">
        <f>SUM(B$6:B15)</f>
        <v/>
      </c>
      <c r="D15" s="12">
        <f>IF(AND(ISNUMBER($B$2),C15&gt;=$B$2),"Yes","")</f>
        <v/>
      </c>
    </row>
    <row r="16">
      <c r="A16" s="10" t="n">
        <v>11</v>
      </c>
      <c r="B16" s="4" t="n">
        <v>540</v>
      </c>
      <c r="C16" s="11">
        <f>SUM(B$6:B16)</f>
        <v/>
      </c>
      <c r="D16" s="12">
        <f>IF(AND(ISNUMBER($B$2),C16&gt;=$B$2),"Yes","")</f>
        <v/>
      </c>
    </row>
    <row r="17">
      <c r="A17" s="10" t="n">
        <v>12</v>
      </c>
      <c r="B17" s="4" t="n">
        <v>560</v>
      </c>
      <c r="C17" s="11">
        <f>SUM(B$6:B17)</f>
        <v/>
      </c>
      <c r="D17" s="12">
        <f>IF(AND(ISNUMBER($B$2),C17&gt;=$B$2),"Yes","")</f>
        <v/>
      </c>
    </row>
    <row r="18">
      <c r="A18" s="10" t="n">
        <v>13</v>
      </c>
      <c r="B18" s="4" t="n">
        <v>580</v>
      </c>
      <c r="C18" s="11">
        <f>SUM(B$6:B18)</f>
        <v/>
      </c>
      <c r="D18" s="12">
        <f>IF(AND(ISNUMBER($B$2),C18&gt;=$B$2),"Yes","")</f>
        <v/>
      </c>
    </row>
    <row r="19">
      <c r="A19" s="10" t="n">
        <v>14</v>
      </c>
      <c r="B19" s="4" t="n">
        <v>600</v>
      </c>
      <c r="C19" s="11">
        <f>SUM(B$6:B19)</f>
        <v/>
      </c>
      <c r="D19" s="12">
        <f>IF(AND(ISNUMBER($B$2),C19&gt;=$B$2),"Yes","")</f>
        <v/>
      </c>
    </row>
    <row r="20">
      <c r="A20" s="10" t="n">
        <v>15</v>
      </c>
      <c r="B20" s="4" t="n">
        <v>610</v>
      </c>
      <c r="C20" s="11">
        <f>SUM(B$6:B20)</f>
        <v/>
      </c>
      <c r="D20" s="12">
        <f>IF(AND(ISNUMBER($B$2),C20&gt;=$B$2),"Yes","")</f>
        <v/>
      </c>
    </row>
    <row r="21">
      <c r="A21" s="10" t="n">
        <v>16</v>
      </c>
      <c r="B21" s="4" t="n">
        <v>620</v>
      </c>
      <c r="C21" s="11">
        <f>SUM(B$6:B21)</f>
        <v/>
      </c>
      <c r="D21" s="12">
        <f>IF(AND(ISNUMBER($B$2),C21&gt;=$B$2),"Yes","")</f>
        <v/>
      </c>
    </row>
    <row r="22">
      <c r="A22" s="10" t="n">
        <v>17</v>
      </c>
      <c r="B22" s="4" t="n">
        <v>630</v>
      </c>
      <c r="C22" s="11">
        <f>SUM(B$6:B22)</f>
        <v/>
      </c>
      <c r="D22" s="12">
        <f>IF(AND(ISNUMBER($B$2),C22&gt;=$B$2),"Yes","")</f>
        <v/>
      </c>
    </row>
    <row r="23">
      <c r="A23" s="10" t="n">
        <v>18</v>
      </c>
      <c r="B23" s="4" t="n">
        <v>640</v>
      </c>
      <c r="C23" s="11">
        <f>SUM(B$6:B23)</f>
        <v/>
      </c>
      <c r="D23" s="12">
        <f>IF(AND(ISNUMBER($B$2),C23&gt;=$B$2),"Yes","")</f>
        <v/>
      </c>
    </row>
    <row r="24">
      <c r="A24" s="10" t="n">
        <v>19</v>
      </c>
      <c r="B24" s="4" t="n">
        <v>650</v>
      </c>
      <c r="C24" s="11">
        <f>SUM(B$6:B24)</f>
        <v/>
      </c>
      <c r="D24" s="12">
        <f>IF(AND(ISNUMBER($B$2),C24&gt;=$B$2),"Yes","")</f>
        <v/>
      </c>
    </row>
    <row r="25">
      <c r="A25" s="10" t="n">
        <v>20</v>
      </c>
      <c r="B25" s="4" t="n">
        <v>650</v>
      </c>
      <c r="C25" s="11">
        <f>SUM(B$6:B25)</f>
        <v/>
      </c>
      <c r="D25" s="12">
        <f>IF(AND(ISNUMBER($B$2),C25&gt;=$B$2),"Yes","")</f>
        <v/>
      </c>
    </row>
    <row r="26">
      <c r="A26" s="10" t="n">
        <v>21</v>
      </c>
      <c r="B26" s="4" t="n">
        <v>650</v>
      </c>
      <c r="C26" s="11">
        <f>SUM(B$6:B26)</f>
        <v/>
      </c>
      <c r="D26" s="12">
        <f>IF(AND(ISNUMBER($B$2),C26&gt;=$B$2),"Yes","")</f>
        <v/>
      </c>
    </row>
    <row r="27">
      <c r="A27" s="10" t="n">
        <v>22</v>
      </c>
      <c r="B27" s="4" t="n">
        <v>650</v>
      </c>
      <c r="C27" s="11">
        <f>SUM(B$6:B27)</f>
        <v/>
      </c>
      <c r="D27" s="12">
        <f>IF(AND(ISNUMBER($B$2),C27&gt;=$B$2),"Yes","")</f>
        <v/>
      </c>
    </row>
    <row r="28">
      <c r="A28" s="10" t="n">
        <v>23</v>
      </c>
      <c r="B28" s="4" t="n">
        <v>650</v>
      </c>
      <c r="C28" s="11">
        <f>SUM(B$6:B28)</f>
        <v/>
      </c>
      <c r="D28" s="12">
        <f>IF(AND(ISNUMBER($B$2),C28&gt;=$B$2),"Yes","")</f>
        <v/>
      </c>
    </row>
    <row r="29">
      <c r="A29" s="10" t="n">
        <v>24</v>
      </c>
      <c r="B29" s="4" t="n">
        <v>650</v>
      </c>
      <c r="C29" s="11">
        <f>SUM(B$6:B29)</f>
        <v/>
      </c>
      <c r="D29" s="12">
        <f>IF(AND(ISNUMBER($B$2),C29&gt;=$B$2),"Yes","")</f>
        <v/>
      </c>
    </row>
  </sheetData>
  <conditionalFormatting sqref="A6:D29">
    <cfRule type="expression" priority="1" dxfId="0">
      <formula>AND(ISNUMBER($B$3),$A6=$B$3)</formula>
    </cfRule>
  </conditionalFormatting>
  <conditionalFormatting sqref="G5">
    <cfRule type="expression" priority="2" dxfId="1">
      <formula>AND(G5&lt;&gt;"OK",G5&lt;&gt;"")</formula>
    </cfRule>
  </conditionalFormatting>
  <pageMargins left="0.75" right="0.75" top="1" bottom="1" header="0.5" footer="0.5"/>
  <pageSetup orientation="portrait" paperSize="1" fitToHeight="0" fitToWidth="1"/>
</worksheet>
</file>

<file path=xl/worksheets/sheet2.xml><?xml version="1.0" encoding="utf-8"?>
<worksheet xmlns="http://schemas.openxmlformats.org/spreadsheetml/2006/main">
  <sheetPr>
    <outlinePr summaryBelow="1" summaryRight="1"/>
    <pageSetUpPr fitToPage="1"/>
  </sheetPr>
  <dimension ref="A1:A14"/>
  <sheetViews>
    <sheetView workbookViewId="0">
      <selection activeCell="A1" sqref="A1"/>
    </sheetView>
  </sheetViews>
  <sheetFormatPr baseColWidth="8" defaultRowHeight="15"/>
  <cols>
    <col width="100" customWidth="1" min="1" max="1"/>
  </cols>
  <sheetData>
    <row r="1">
      <c r="A1" s="13" t="inlineStr">
        <is>
          <t>Tidy Tabs: Equipment Payback Period in Months</t>
        </is>
      </c>
    </row>
    <row r="2">
      <c r="A2" s="14" t="inlineStr"/>
    </row>
    <row r="3">
      <c r="A3" s="14" t="inlineStr">
        <is>
          <t>1. Payback tab, B1 and B2: type the equipment name and what it cost. Yellow. B2 must be a number above 0.</t>
        </is>
      </c>
    </row>
    <row r="4">
      <c r="A4" s="14" t="inlineStr">
        <is>
          <t>2. B6:B29: type the net profit the equipment added in month 1, month 2 and so on (up to 24 months). Yellow. Net profit means the sales it made minus what it cost to run, as you count it. Leave a month blank if you have no number yet. A loss is typed as a negative number.</t>
        </is>
      </c>
    </row>
    <row r="5">
      <c r="A5" s="14" t="inlineStr">
        <is>
          <t>3. Running total, C6: =SUM(B$6:B6). Copied down, each row adds that month to all the months above it.</t>
        </is>
      </c>
    </row>
    <row r="6">
      <c r="A6" s="14" t="inlineStr">
        <is>
          <t>4. Payback month, B3: =COUNTIF(C6:C29,"&lt;"&amp;B2)+1. It counts the months where the running total is still below the cost and adds 1. It shows Not paid back in this range when no month reaches the cost (so a cost above the 24 month total gives words, not an error), and a message when B2 is blank, text, 0 or negative.</t>
        </is>
      </c>
    </row>
    <row r="7">
      <c r="A7" s="14" t="inlineStr">
        <is>
          <t>5. The count is right only if the running total does not go down after it first reaches the cost. Column D marks every month at or above the cost, and G4 finds the first one with MATCH. G5 shows CHECK when the two methods disagree, when a profit cell holds text (SUM skips text, so the total would be low), or when the cost is not a number. Fix the month with the loss or the text before you trust B3.</t>
        </is>
      </c>
    </row>
    <row r="8">
      <c r="A8" s="14" t="inlineStr">
        <is>
          <t>6. Payback with a fraction, B4: the month before the payback month, plus the part of the payback month that was needed. It assumes the profit came evenly through that month. In the sample, month 11 ends at $4,660.00 and month 12 adds $560.00, so $4,800.00 is reached 0.25 of the way through month 12: 11.25. G1 rounds that up to whole months.</t>
        </is>
      </c>
    </row>
    <row r="9">
      <c r="A9" s="14" t="inlineStr">
        <is>
          <t>7. If the cost equals a month's running total exactly, that month is the payback month and B4 is a whole number.</t>
        </is>
      </c>
    </row>
    <row r="10">
      <c r="A10" s="14" t="inlineStr">
        <is>
          <t>8. The month row where the total first reaches the cost is shaded green.</t>
        </is>
      </c>
    </row>
    <row r="11">
      <c r="A11" s="14" t="inlineStr">
        <is>
          <t>9. This is arithmetic on the profit numbers you type. It does not discount future money, add interest or say whether to buy anything. It is not a tax, depreciation or investment judgment.</t>
        </is>
      </c>
    </row>
    <row r="12">
      <c r="A12" s="14" t="inlineStr"/>
    </row>
    <row r="13">
      <c r="A13" s="14" t="inlineStr">
        <is>
          <t>The machine and profit numbers are fictional. Checked in LibreOffice Calc only; not opened in Excel or Google Sheets.</t>
        </is>
      </c>
    </row>
    <row r="14">
      <c r="A14" s="14"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2026-10-22T07:39:04Z</dcterms:created>
  <dcterms:modified xmlns:dcterms="http://purl.org/dc/terms/" xmlns:xsi="http://www.w3.org/2001/XMLSchema-instance" xsi:type="dcterms:W3CDTF">2026-10-22T07:39:04Z</dcterms:modified>
</cp:coreProperties>
</file>