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Summary" sheetId="2" state="visible" r:id="rId2"/>
    <sheet name="How to use" sheetId="3" state="visible" r:id="rId3"/>
  </sheets>
  <definedNames>
    <definedName name="_xlnm.Print_Titles" localSheetId="0">'Items'!$1:$1</definedName>
    <definedName name="_xlnm.Print_Area" localSheetId="0">'Items'!$A$1:$E$41</definedName>
    <definedName name="_xlnm.Print_Titles" localSheetId="1">'Summary'!$1:$1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5" fontId="0" fillId="3" borderId="0" pivotButton="0" quotePrefix="0" xfId="0"/>
    <xf numFmtId="1" fontId="0" fillId="4" borderId="0" pivotButton="0" quotePrefix="0" xfId="0"/>
    <xf numFmtId="0" fontId="0" fillId="4" borderId="0" pivotButton="0" quotePrefix="0" xfId="0"/>
    <xf numFmtId="0" fontId="2" fillId="0" borderId="0" pivotButton="0" quotePrefix="0" xfId="0"/>
    <xf numFmtId="165" fontId="0" fillId="3" borderId="0" applyAlignment="1" pivotButton="0" quotePrefix="0" xfId="0">
      <alignment horizontal="right"/>
    </xf>
    <xf numFmtId="1" fontId="0" fillId="3" borderId="0" applyAlignment="1" pivotButton="0" quotePrefix="0" xfId="0">
      <alignment horizontal="right"/>
    </xf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8D7DA"/>
          <bgColor rgb="00F8D7DA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3" customWidth="1" min="3" max="3"/>
    <col width="11" customWidth="1" min="4" max="4"/>
    <col width="11" customWidth="1" min="5" max="5"/>
  </cols>
  <sheetData>
    <row r="1" ht="30" customHeight="1">
      <c r="A1" s="1" t="inlineStr">
        <is>
          <t>Item</t>
        </is>
      </c>
      <c r="B1" s="1" t="inlineStr">
        <is>
          <t>Type</t>
        </is>
      </c>
      <c r="C1" s="1" t="inlineStr">
        <is>
          <t>Expires</t>
        </is>
      </c>
      <c r="D1" s="1" t="inlineStr">
        <is>
          <t>Days left</t>
        </is>
      </c>
      <c r="E1" s="1" t="inlineStr">
        <is>
          <t>Status</t>
        </is>
      </c>
    </row>
    <row r="2">
      <c r="A2" s="2" t="inlineStr">
        <is>
          <t>Oat milk lotion 8 oz</t>
        </is>
      </c>
      <c r="B2" s="2" t="inlineStr">
        <is>
          <t>Lotion</t>
        </is>
      </c>
      <c r="C2" s="3" t="n">
        <v>46313</v>
      </c>
      <c r="D2" s="4">
        <f>IF(OR(C2="",NOT(ISNUMBER(C2)),NOT(ISNUMBER(Summary!$B$1))),"",C2-Summary!$B$1)</f>
        <v/>
      </c>
      <c r="E2" s="5">
        <f>IF(C2="","",IF(OR(NOT(ISNUMBER(D2)),NOT(ISNUMBER(Summary!$B$2))),"Check",IF(D2&lt;0,"Expired",IF(D2&lt;=Summary!$B$2,"Soon","OK"))))</f>
        <v/>
      </c>
    </row>
    <row r="3">
      <c r="A3" s="2" t="inlineStr">
        <is>
          <t>Lavender hand lotion</t>
        </is>
      </c>
      <c r="B3" s="2" t="inlineStr">
        <is>
          <t>Lotion</t>
        </is>
      </c>
      <c r="C3" s="3" t="n">
        <v>46314</v>
      </c>
      <c r="D3" s="4">
        <f>IF(OR(C3="",NOT(ISNUMBER(C3)),NOT(ISNUMBER(Summary!$B$1))),"",C3-Summary!$B$1)</f>
        <v/>
      </c>
      <c r="E3" s="5">
        <f>IF(C3="","",IF(OR(NOT(ISNUMBER(D3)),NOT(ISNUMBER(Summary!$B$2))),"Check",IF(D3&lt;0,"Expired",IF(D3&lt;=Summary!$B$2,"Soon","OK"))))</f>
        <v/>
      </c>
    </row>
    <row r="4">
      <c r="A4" s="2" t="inlineStr">
        <is>
          <t>Soy wax flakes 10 lb</t>
        </is>
      </c>
      <c r="B4" s="2" t="inlineStr">
        <is>
          <t>Candle wax</t>
        </is>
      </c>
      <c r="C4" s="3" t="n">
        <v>46344</v>
      </c>
      <c r="D4" s="4">
        <f>IF(OR(C4="",NOT(ISNUMBER(C4)),NOT(ISNUMBER(Summary!$B$1))),"",C4-Summary!$B$1)</f>
        <v/>
      </c>
      <c r="E4" s="5">
        <f>IF(C4="","",IF(OR(NOT(ISNUMBER(D4)),NOT(ISNUMBER(Summary!$B$2))),"Check",IF(D4&lt;0,"Expired",IF(D4&lt;=Summary!$B$2,"Soon","OK"))))</f>
        <v/>
      </c>
    </row>
    <row r="5">
      <c r="A5" s="2" t="inlineStr">
        <is>
          <t>Beeswax pellets 5 lb</t>
        </is>
      </c>
      <c r="B5" s="2" t="inlineStr">
        <is>
          <t>Candle wax</t>
        </is>
      </c>
      <c r="C5" s="3" t="n">
        <v>46345</v>
      </c>
      <c r="D5" s="4">
        <f>IF(OR(C5="",NOT(ISNUMBER(C5)),NOT(ISNUMBER(Summary!$B$1))),"",C5-Summary!$B$1)</f>
        <v/>
      </c>
      <c r="E5" s="5">
        <f>IF(C5="","",IF(OR(NOT(ISNUMBER(D5)),NOT(ISNUMBER(Summary!$B$2))),"Check",IF(D5&lt;0,"Expired",IF(D5&lt;=Summary!$B$2,"Soon","OK"))))</f>
        <v/>
      </c>
    </row>
    <row r="6">
      <c r="A6" s="2" t="inlineStr">
        <is>
          <t>Fall market banner</t>
        </is>
      </c>
      <c r="B6" s="2" t="inlineStr">
        <is>
          <t>Booth banner order</t>
        </is>
      </c>
      <c r="C6" s="3" t="n">
        <v>46326</v>
      </c>
      <c r="D6" s="4">
        <f>IF(OR(C6="",NOT(ISNUMBER(C6)),NOT(ISNUMBER(Summary!$B$1))),"",C6-Summary!$B$1)</f>
        <v/>
      </c>
      <c r="E6" s="5">
        <f>IF(C6="","",IF(OR(NOT(ISNUMBER(D6)),NOT(ISNUMBER(Summary!$B$2))),"Check",IF(D6&lt;0,"Expired",IF(D6&lt;=Summary!$B$2,"Soon","OK"))))</f>
        <v/>
      </c>
    </row>
    <row r="7">
      <c r="A7" s="2" t="inlineStr">
        <is>
          <t>Holiday market banner</t>
        </is>
      </c>
      <c r="B7" s="2" t="inlineStr">
        <is>
          <t>Booth banner order</t>
        </is>
      </c>
      <c r="C7" s="3" t="n">
        <v>46284</v>
      </c>
      <c r="D7" s="4">
        <f>IF(OR(C7="",NOT(ISNUMBER(C7)),NOT(ISNUMBER(Summary!$B$1))),"",C7-Summary!$B$1)</f>
        <v/>
      </c>
      <c r="E7" s="5">
        <f>IF(C7="","",IF(OR(NOT(ISNUMBER(D7)),NOT(ISNUMBER(Summary!$B$2))),"Check",IF(D7&lt;0,"Expired",IF(D7&lt;=Summary!$B$2,"Soon","OK"))))</f>
        <v/>
      </c>
    </row>
    <row r="8">
      <c r="A8" s="2" t="inlineStr">
        <is>
          <t>Vendor ID card, Ana</t>
        </is>
      </c>
      <c r="B8" s="2" t="inlineStr">
        <is>
          <t>Market vendor ID card</t>
        </is>
      </c>
      <c r="C8" s="3" t="n">
        <v>46319</v>
      </c>
      <c r="D8" s="4">
        <f>IF(OR(C8="",NOT(ISNUMBER(C8)),NOT(ISNUMBER(Summary!$B$1))),"",C8-Summary!$B$1)</f>
        <v/>
      </c>
      <c r="E8" s="5">
        <f>IF(C8="","",IF(OR(NOT(ISNUMBER(D8)),NOT(ISNUMBER(Summary!$B$2))),"Check",IF(D8&lt;0,"Expired",IF(D8&lt;=Summary!$B$2,"Soon","OK"))))</f>
        <v/>
      </c>
    </row>
    <row r="9">
      <c r="A9" s="2" t="inlineStr">
        <is>
          <t>Vendor ID card, Ben</t>
        </is>
      </c>
      <c r="B9" s="2" t="inlineStr">
        <is>
          <t>Market vendor ID card</t>
        </is>
      </c>
      <c r="C9" s="3" t="n">
        <v>46404</v>
      </c>
      <c r="D9" s="4">
        <f>IF(OR(C9="",NOT(ISNUMBER(C9)),NOT(ISNUMBER(Summary!$B$1))),"",C9-Summary!$B$1)</f>
        <v/>
      </c>
      <c r="E9" s="5">
        <f>IF(C9="","",IF(OR(NOT(ISNUMBER(D9)),NOT(ISNUMBER(Summary!$B$2))),"Check",IF(D9&lt;0,"Expired",IF(D9&lt;=Summary!$B$2,"Soon","OK"))))</f>
        <v/>
      </c>
    </row>
    <row r="10">
      <c r="A10" s="2" t="inlineStr">
        <is>
          <t>Shea butter lotion</t>
        </is>
      </c>
      <c r="B10" s="2" t="inlineStr">
        <is>
          <t>Lotion</t>
        </is>
      </c>
      <c r="C10" s="3" t="n">
        <v>46335</v>
      </c>
      <c r="D10" s="4">
        <f>IF(OR(C10="",NOT(ISNUMBER(C10)),NOT(ISNUMBER(Summary!$B$1))),"",C10-Summary!$B$1)</f>
        <v/>
      </c>
      <c r="E10" s="5">
        <f>IF(C10="","",IF(OR(NOT(ISNUMBER(D10)),NOT(ISNUMBER(Summary!$B$2))),"Check",IF(D10&lt;0,"Expired",IF(D10&lt;=Summary!$B$2,"Soon","OK"))))</f>
        <v/>
      </c>
    </row>
    <row r="11">
      <c r="A11" s="2" t="inlineStr">
        <is>
          <t>Cedar candle wax 25 lb</t>
        </is>
      </c>
      <c r="B11" s="2" t="inlineStr">
        <is>
          <t>Candle wax</t>
        </is>
      </c>
      <c r="C11" s="3" t="n">
        <v>46343</v>
      </c>
      <c r="D11" s="4">
        <f>IF(OR(C11="",NOT(ISNUMBER(C11)),NOT(ISNUMBER(Summary!$B$1))),"",C11-Summary!$B$1)</f>
        <v/>
      </c>
      <c r="E11" s="5">
        <f>IF(C11="","",IF(OR(NOT(ISNUMBER(D11)),NOT(ISNUMBER(Summary!$B$2))),"Check",IF(D11&lt;0,"Expired",IF(D11&lt;=Summary!$B$2,"Soon","OK"))))</f>
        <v/>
      </c>
    </row>
    <row r="12">
      <c r="A12" s="2" t="inlineStr">
        <is>
          <t>Spring market banner</t>
        </is>
      </c>
      <c r="B12" s="2" t="inlineStr">
        <is>
          <t>Booth banner order</t>
        </is>
      </c>
      <c r="C12" s="3" t="n">
        <v>46359</v>
      </c>
      <c r="D12" s="4">
        <f>IF(OR(C12="",NOT(ISNUMBER(C12)),NOT(ISNUMBER(Summary!$B$1))),"",C12-Summary!$B$1)</f>
        <v/>
      </c>
      <c r="E12" s="5">
        <f>IF(C12="","",IF(OR(NOT(ISNUMBER(D12)),NOT(ISNUMBER(Summary!$B$2))),"Check",IF(D12&lt;0,"Expired",IF(D12&lt;=Summary!$B$2,"Soon","OK"))))</f>
        <v/>
      </c>
    </row>
    <row r="13">
      <c r="A13" s="2" t="inlineStr">
        <is>
          <t>Vendor ID card, Cleo</t>
        </is>
      </c>
      <c r="B13" s="2" t="inlineStr">
        <is>
          <t>Market vendor ID card</t>
        </is>
      </c>
      <c r="C13" s="3" t="n">
        <v>46322</v>
      </c>
      <c r="D13" s="4">
        <f>IF(OR(C13="",NOT(ISNUMBER(C13)),NOT(ISNUMBER(Summary!$B$1))),"",C13-Summary!$B$1)</f>
        <v/>
      </c>
      <c r="E13" s="5">
        <f>IF(C13="","",IF(OR(NOT(ISNUMBER(D13)),NOT(ISNUMBER(Summary!$B$2))),"Check",IF(D13&lt;0,"Expired",IF(D13&lt;=Summary!$B$2,"Soon","OK"))))</f>
        <v/>
      </c>
    </row>
    <row r="14">
      <c r="A14" s="2" t="inlineStr">
        <is>
          <t>Cucumber face lotion</t>
        </is>
      </c>
      <c r="B14" s="2" t="inlineStr">
        <is>
          <t>Lotion</t>
        </is>
      </c>
      <c r="C14" s="3" t="n">
        <v>46434</v>
      </c>
      <c r="D14" s="4">
        <f>IF(OR(C14="",NOT(ISNUMBER(C14)),NOT(ISNUMBER(Summary!$B$1))),"",C14-Summary!$B$1)</f>
        <v/>
      </c>
      <c r="E14" s="5">
        <f>IF(C14="","",IF(OR(NOT(ISNUMBER(D14)),NOT(ISNUMBER(Summary!$B$2))),"Check",IF(D14&lt;0,"Expired",IF(D14&lt;=Summary!$B$2,"Soon","OK"))))</f>
        <v/>
      </c>
    </row>
    <row r="15">
      <c r="A15" s="2" t="inlineStr">
        <is>
          <t>Paraffin blend wax</t>
        </is>
      </c>
      <c r="B15" s="2" t="inlineStr">
        <is>
          <t>Candle wax</t>
        </is>
      </c>
      <c r="C15" s="3" t="n">
        <v>46328</v>
      </c>
      <c r="D15" s="4">
        <f>IF(OR(C15="",NOT(ISNUMBER(C15)),NOT(ISNUMBER(Summary!$B$1))),"",C15-Summary!$B$1)</f>
        <v/>
      </c>
      <c r="E15" s="5">
        <f>IF(C15="","",IF(OR(NOT(ISNUMBER(D15)),NOT(ISNUMBER(Summary!$B$2))),"Check",IF(D15&lt;0,"Expired",IF(D15&lt;=Summary!$B$2,"Soon","OK"))))</f>
        <v/>
      </c>
    </row>
    <row r="16">
      <c r="A16" s="2" t="inlineStr">
        <is>
          <t>Pop-up shop banner</t>
        </is>
      </c>
      <c r="B16" s="2" t="inlineStr">
        <is>
          <t>Booth banner order</t>
        </is>
      </c>
      <c r="C16" s="3" t="n">
        <v>46679</v>
      </c>
      <c r="D16" s="4">
        <f>IF(OR(C16="",NOT(ISNUMBER(C16)),NOT(ISNUMBER(Summary!$B$1))),"",C16-Summary!$B$1)</f>
        <v/>
      </c>
      <c r="E16" s="5">
        <f>IF(C16="","",IF(OR(NOT(ISNUMBER(D16)),NOT(ISNUMBER(Summary!$B$2))),"Check",IF(D16&lt;0,"Expired",IF(D16&lt;=Summary!$B$2,"Soon","OK"))))</f>
        <v/>
      </c>
    </row>
    <row r="17">
      <c r="A17" s="2" t="inlineStr">
        <is>
          <t>Vendor ID card, Dev</t>
        </is>
      </c>
      <c r="B17" s="2" t="inlineStr">
        <is>
          <t>Market vendor ID card</t>
        </is>
      </c>
      <c r="C17" s="3" t="n">
        <v>46316</v>
      </c>
      <c r="D17" s="4">
        <f>IF(OR(C17="",NOT(ISNUMBER(C17)),NOT(ISNUMBER(Summary!$B$1))),"",C17-Summary!$B$1)</f>
        <v/>
      </c>
      <c r="E17" s="5">
        <f>IF(C17="","",IF(OR(NOT(ISNUMBER(D17)),NOT(ISNUMBER(Summary!$B$2))),"Check",IF(D17&lt;0,"Expired",IF(D17&lt;=Summary!$B$2,"Soon","OK"))))</f>
        <v/>
      </c>
    </row>
    <row r="18">
      <c r="A18" s="2" t="inlineStr">
        <is>
          <t>Unscented body lotion</t>
        </is>
      </c>
      <c r="B18" s="2" t="inlineStr">
        <is>
          <t>Lotion</t>
        </is>
      </c>
      <c r="C18" s="3" t="n">
        <v>46374</v>
      </c>
      <c r="D18" s="4">
        <f>IF(OR(C18="",NOT(ISNUMBER(C18)),NOT(ISNUMBER(Summary!$B$1))),"",C18-Summary!$B$1)</f>
        <v/>
      </c>
      <c r="E18" s="5">
        <f>IF(C18="","",IF(OR(NOT(ISNUMBER(D18)),NOT(ISNUMBER(Summary!$B$2))),"Check",IF(D18&lt;0,"Expired",IF(D18&lt;=Summary!$B$2,"Soon","OK"))))</f>
        <v/>
      </c>
    </row>
    <row r="19">
      <c r="A19" s="2" t="inlineStr">
        <is>
          <t>Pillar candle wax 5 lb</t>
        </is>
      </c>
      <c r="B19" s="2" t="inlineStr">
        <is>
          <t>Candle wax</t>
        </is>
      </c>
      <c r="C19" s="3" t="n">
        <v>46347</v>
      </c>
      <c r="D19" s="4">
        <f>IF(OR(C19="",NOT(ISNUMBER(C19)),NOT(ISNUMBER(Summary!$B$1))),"",C19-Summary!$B$1)</f>
        <v/>
      </c>
      <c r="E19" s="5">
        <f>IF(C19="","",IF(OR(NOT(ISNUMBER(D19)),NOT(ISNUMBER(Summary!$B$2))),"Check",IF(D19&lt;0,"Expired",IF(D19&lt;=Summary!$B$2,"Soon","OK"))))</f>
        <v/>
      </c>
    </row>
    <row r="20">
      <c r="A20" s="2" t="inlineStr">
        <is>
          <t>Gift fair banner</t>
        </is>
      </c>
      <c r="B20" s="2" t="inlineStr">
        <is>
          <t>Booth banner order</t>
        </is>
      </c>
      <c r="C20" s="3" t="n">
        <v>46494</v>
      </c>
      <c r="D20" s="4">
        <f>IF(OR(C20="",NOT(ISNUMBER(C20)),NOT(ISNUMBER(Summary!$B$1))),"",C20-Summary!$B$1)</f>
        <v/>
      </c>
      <c r="E20" s="5">
        <f>IF(C20="","",IF(OR(NOT(ISNUMBER(D20)),NOT(ISNUMBER(Summary!$B$2))),"Check",IF(D20&lt;0,"Expired",IF(D20&lt;=Summary!$B$2,"Soon","OK"))))</f>
        <v/>
      </c>
    </row>
    <row r="21">
      <c r="A21" s="2" t="inlineStr">
        <is>
          <t>Vendor ID card, Eli</t>
        </is>
      </c>
      <c r="B21" s="2" t="inlineStr">
        <is>
          <t>Market vendor ID card</t>
        </is>
      </c>
      <c r="C21" s="3" t="n">
        <v>46302</v>
      </c>
      <c r="D21" s="4">
        <f>IF(OR(C21="",NOT(ISNUMBER(C21)),NOT(ISNUMBER(Summary!$B$1))),"",C21-Summary!$B$1)</f>
        <v/>
      </c>
      <c r="E21" s="5">
        <f>IF(C21="","",IF(OR(NOT(ISNUMBER(D21)),NOT(ISNUMBER(Summary!$B$2))),"Check",IF(D21&lt;0,"Expired",IF(D21&lt;=Summary!$B$2,"Soon","OK"))))</f>
        <v/>
      </c>
    </row>
    <row r="22">
      <c r="A22" s="2" t="n"/>
      <c r="B22" s="2" t="n"/>
      <c r="C22" s="3" t="n"/>
      <c r="D22" s="4">
        <f>IF(OR(C22="",NOT(ISNUMBER(C22)),NOT(ISNUMBER(Summary!$B$1))),"",C22-Summary!$B$1)</f>
        <v/>
      </c>
      <c r="E22" s="5">
        <f>IF(C22="","",IF(OR(NOT(ISNUMBER(D22)),NOT(ISNUMBER(Summary!$B$2))),"Check",IF(D22&lt;0,"Expired",IF(D22&lt;=Summary!$B$2,"Soon","OK"))))</f>
        <v/>
      </c>
    </row>
    <row r="23">
      <c r="A23" s="2" t="n"/>
      <c r="B23" s="2" t="n"/>
      <c r="C23" s="3" t="n"/>
      <c r="D23" s="4">
        <f>IF(OR(C23="",NOT(ISNUMBER(C23)),NOT(ISNUMBER(Summary!$B$1))),"",C23-Summary!$B$1)</f>
        <v/>
      </c>
      <c r="E23" s="5">
        <f>IF(C23="","",IF(OR(NOT(ISNUMBER(D23)),NOT(ISNUMBER(Summary!$B$2))),"Check",IF(D23&lt;0,"Expired",IF(D23&lt;=Summary!$B$2,"Soon","OK"))))</f>
        <v/>
      </c>
    </row>
    <row r="24">
      <c r="A24" s="2" t="n"/>
      <c r="B24" s="2" t="n"/>
      <c r="C24" s="3" t="n"/>
      <c r="D24" s="4">
        <f>IF(OR(C24="",NOT(ISNUMBER(C24)),NOT(ISNUMBER(Summary!$B$1))),"",C24-Summary!$B$1)</f>
        <v/>
      </c>
      <c r="E24" s="5">
        <f>IF(C24="","",IF(OR(NOT(ISNUMBER(D24)),NOT(ISNUMBER(Summary!$B$2))),"Check",IF(D24&lt;0,"Expired",IF(D24&lt;=Summary!$B$2,"Soon","OK"))))</f>
        <v/>
      </c>
    </row>
    <row r="25">
      <c r="A25" s="2" t="n"/>
      <c r="B25" s="2" t="n"/>
      <c r="C25" s="3" t="n"/>
      <c r="D25" s="4">
        <f>IF(OR(C25="",NOT(ISNUMBER(C25)),NOT(ISNUMBER(Summary!$B$1))),"",C25-Summary!$B$1)</f>
        <v/>
      </c>
      <c r="E25" s="5">
        <f>IF(C25="","",IF(OR(NOT(ISNUMBER(D25)),NOT(ISNUMBER(Summary!$B$2))),"Check",IF(D25&lt;0,"Expired",IF(D25&lt;=Summary!$B$2,"Soon","OK"))))</f>
        <v/>
      </c>
    </row>
    <row r="26">
      <c r="A26" s="2" t="n"/>
      <c r="B26" s="2" t="n"/>
      <c r="C26" s="3" t="n"/>
      <c r="D26" s="4">
        <f>IF(OR(C26="",NOT(ISNUMBER(C26)),NOT(ISNUMBER(Summary!$B$1))),"",C26-Summary!$B$1)</f>
        <v/>
      </c>
      <c r="E26" s="5">
        <f>IF(C26="","",IF(OR(NOT(ISNUMBER(D26)),NOT(ISNUMBER(Summary!$B$2))),"Check",IF(D26&lt;0,"Expired",IF(D26&lt;=Summary!$B$2,"Soon","OK"))))</f>
        <v/>
      </c>
    </row>
    <row r="27">
      <c r="A27" s="2" t="n"/>
      <c r="B27" s="2" t="n"/>
      <c r="C27" s="3" t="n"/>
      <c r="D27" s="4">
        <f>IF(OR(C27="",NOT(ISNUMBER(C27)),NOT(ISNUMBER(Summary!$B$1))),"",C27-Summary!$B$1)</f>
        <v/>
      </c>
      <c r="E27" s="5">
        <f>IF(C27="","",IF(OR(NOT(ISNUMBER(D27)),NOT(ISNUMBER(Summary!$B$2))),"Check",IF(D27&lt;0,"Expired",IF(D27&lt;=Summary!$B$2,"Soon","OK"))))</f>
        <v/>
      </c>
    </row>
    <row r="28">
      <c r="A28" s="2" t="n"/>
      <c r="B28" s="2" t="n"/>
      <c r="C28" s="3" t="n"/>
      <c r="D28" s="4">
        <f>IF(OR(C28="",NOT(ISNUMBER(C28)),NOT(ISNUMBER(Summary!$B$1))),"",C28-Summary!$B$1)</f>
        <v/>
      </c>
      <c r="E28" s="5">
        <f>IF(C28="","",IF(OR(NOT(ISNUMBER(D28)),NOT(ISNUMBER(Summary!$B$2))),"Check",IF(D28&lt;0,"Expired",IF(D28&lt;=Summary!$B$2,"Soon","OK"))))</f>
        <v/>
      </c>
    </row>
    <row r="29">
      <c r="A29" s="2" t="n"/>
      <c r="B29" s="2" t="n"/>
      <c r="C29" s="3" t="n"/>
      <c r="D29" s="4">
        <f>IF(OR(C29="",NOT(ISNUMBER(C29)),NOT(ISNUMBER(Summary!$B$1))),"",C29-Summary!$B$1)</f>
        <v/>
      </c>
      <c r="E29" s="5">
        <f>IF(C29="","",IF(OR(NOT(ISNUMBER(D29)),NOT(ISNUMBER(Summary!$B$2))),"Check",IF(D29&lt;0,"Expired",IF(D29&lt;=Summary!$B$2,"Soon","OK"))))</f>
        <v/>
      </c>
    </row>
    <row r="30">
      <c r="A30" s="2" t="n"/>
      <c r="B30" s="2" t="n"/>
      <c r="C30" s="3" t="n"/>
      <c r="D30" s="4">
        <f>IF(OR(C30="",NOT(ISNUMBER(C30)),NOT(ISNUMBER(Summary!$B$1))),"",C30-Summary!$B$1)</f>
        <v/>
      </c>
      <c r="E30" s="5">
        <f>IF(C30="","",IF(OR(NOT(ISNUMBER(D30)),NOT(ISNUMBER(Summary!$B$2))),"Check",IF(D30&lt;0,"Expired",IF(D30&lt;=Summary!$B$2,"Soon","OK"))))</f>
        <v/>
      </c>
    </row>
    <row r="31">
      <c r="A31" s="2" t="n"/>
      <c r="B31" s="2" t="n"/>
      <c r="C31" s="3" t="n"/>
      <c r="D31" s="4">
        <f>IF(OR(C31="",NOT(ISNUMBER(C31)),NOT(ISNUMBER(Summary!$B$1))),"",C31-Summary!$B$1)</f>
        <v/>
      </c>
      <c r="E31" s="5">
        <f>IF(C31="","",IF(OR(NOT(ISNUMBER(D31)),NOT(ISNUMBER(Summary!$B$2))),"Check",IF(D31&lt;0,"Expired",IF(D31&lt;=Summary!$B$2,"Soon","OK"))))</f>
        <v/>
      </c>
    </row>
    <row r="32">
      <c r="A32" s="2" t="n"/>
      <c r="B32" s="2" t="n"/>
      <c r="C32" s="3" t="n"/>
      <c r="D32" s="4">
        <f>IF(OR(C32="",NOT(ISNUMBER(C32)),NOT(ISNUMBER(Summary!$B$1))),"",C32-Summary!$B$1)</f>
        <v/>
      </c>
      <c r="E32" s="5">
        <f>IF(C32="","",IF(OR(NOT(ISNUMBER(D32)),NOT(ISNUMBER(Summary!$B$2))),"Check",IF(D32&lt;0,"Expired",IF(D32&lt;=Summary!$B$2,"Soon","OK"))))</f>
        <v/>
      </c>
    </row>
    <row r="33">
      <c r="A33" s="2" t="n"/>
      <c r="B33" s="2" t="n"/>
      <c r="C33" s="3" t="n"/>
      <c r="D33" s="4">
        <f>IF(OR(C33="",NOT(ISNUMBER(C33)),NOT(ISNUMBER(Summary!$B$1))),"",C33-Summary!$B$1)</f>
        <v/>
      </c>
      <c r="E33" s="5">
        <f>IF(C33="","",IF(OR(NOT(ISNUMBER(D33)),NOT(ISNUMBER(Summary!$B$2))),"Check",IF(D33&lt;0,"Expired",IF(D33&lt;=Summary!$B$2,"Soon","OK"))))</f>
        <v/>
      </c>
    </row>
    <row r="34">
      <c r="A34" s="2" t="n"/>
      <c r="B34" s="2" t="n"/>
      <c r="C34" s="3" t="n"/>
      <c r="D34" s="4">
        <f>IF(OR(C34="",NOT(ISNUMBER(C34)),NOT(ISNUMBER(Summary!$B$1))),"",C34-Summary!$B$1)</f>
        <v/>
      </c>
      <c r="E34" s="5">
        <f>IF(C34="","",IF(OR(NOT(ISNUMBER(D34)),NOT(ISNUMBER(Summary!$B$2))),"Check",IF(D34&lt;0,"Expired",IF(D34&lt;=Summary!$B$2,"Soon","OK"))))</f>
        <v/>
      </c>
    </row>
    <row r="35">
      <c r="A35" s="2" t="n"/>
      <c r="B35" s="2" t="n"/>
      <c r="C35" s="3" t="n"/>
      <c r="D35" s="4">
        <f>IF(OR(C35="",NOT(ISNUMBER(C35)),NOT(ISNUMBER(Summary!$B$1))),"",C35-Summary!$B$1)</f>
        <v/>
      </c>
      <c r="E35" s="5">
        <f>IF(C35="","",IF(OR(NOT(ISNUMBER(D35)),NOT(ISNUMBER(Summary!$B$2))),"Check",IF(D35&lt;0,"Expired",IF(D35&lt;=Summary!$B$2,"Soon","OK"))))</f>
        <v/>
      </c>
    </row>
    <row r="36">
      <c r="A36" s="2" t="n"/>
      <c r="B36" s="2" t="n"/>
      <c r="C36" s="3" t="n"/>
      <c r="D36" s="4">
        <f>IF(OR(C36="",NOT(ISNUMBER(C36)),NOT(ISNUMBER(Summary!$B$1))),"",C36-Summary!$B$1)</f>
        <v/>
      </c>
      <c r="E36" s="5">
        <f>IF(C36="","",IF(OR(NOT(ISNUMBER(D36)),NOT(ISNUMBER(Summary!$B$2))),"Check",IF(D36&lt;0,"Expired",IF(D36&lt;=Summary!$B$2,"Soon","OK"))))</f>
        <v/>
      </c>
    </row>
    <row r="37">
      <c r="A37" s="2" t="n"/>
      <c r="B37" s="2" t="n"/>
      <c r="C37" s="3" t="n"/>
      <c r="D37" s="4">
        <f>IF(OR(C37="",NOT(ISNUMBER(C37)),NOT(ISNUMBER(Summary!$B$1))),"",C37-Summary!$B$1)</f>
        <v/>
      </c>
      <c r="E37" s="5">
        <f>IF(C37="","",IF(OR(NOT(ISNUMBER(D37)),NOT(ISNUMBER(Summary!$B$2))),"Check",IF(D37&lt;0,"Expired",IF(D37&lt;=Summary!$B$2,"Soon","OK"))))</f>
        <v/>
      </c>
    </row>
    <row r="38">
      <c r="A38" s="2" t="n"/>
      <c r="B38" s="2" t="n"/>
      <c r="C38" s="3" t="n"/>
      <c r="D38" s="4">
        <f>IF(OR(C38="",NOT(ISNUMBER(C38)),NOT(ISNUMBER(Summary!$B$1))),"",C38-Summary!$B$1)</f>
        <v/>
      </c>
      <c r="E38" s="5">
        <f>IF(C38="","",IF(OR(NOT(ISNUMBER(D38)),NOT(ISNUMBER(Summary!$B$2))),"Check",IF(D38&lt;0,"Expired",IF(D38&lt;=Summary!$B$2,"Soon","OK"))))</f>
        <v/>
      </c>
    </row>
    <row r="39">
      <c r="A39" s="2" t="n"/>
      <c r="B39" s="2" t="n"/>
      <c r="C39" s="3" t="n"/>
      <c r="D39" s="4">
        <f>IF(OR(C39="",NOT(ISNUMBER(C39)),NOT(ISNUMBER(Summary!$B$1))),"",C39-Summary!$B$1)</f>
        <v/>
      </c>
      <c r="E39" s="5">
        <f>IF(C39="","",IF(OR(NOT(ISNUMBER(D39)),NOT(ISNUMBER(Summary!$B$2))),"Check",IF(D39&lt;0,"Expired",IF(D39&lt;=Summary!$B$2,"Soon","OK"))))</f>
        <v/>
      </c>
    </row>
    <row r="40">
      <c r="A40" s="2" t="n"/>
      <c r="B40" s="2" t="n"/>
      <c r="C40" s="3" t="n"/>
      <c r="D40" s="4">
        <f>IF(OR(C40="",NOT(ISNUMBER(C40)),NOT(ISNUMBER(Summary!$B$1))),"",C40-Summary!$B$1)</f>
        <v/>
      </c>
      <c r="E40" s="5">
        <f>IF(C40="","",IF(OR(NOT(ISNUMBER(D40)),NOT(ISNUMBER(Summary!$B$2))),"Check",IF(D40&lt;0,"Expired",IF(D40&lt;=Summary!$B$2,"Soon","OK"))))</f>
        <v/>
      </c>
    </row>
    <row r="41">
      <c r="A41" s="2" t="n"/>
      <c r="B41" s="2" t="n"/>
      <c r="C41" s="3" t="n"/>
      <c r="D41" s="4">
        <f>IF(OR(C41="",NOT(ISNUMBER(C41)),NOT(ISNUMBER(Summary!$B$1))),"",C41-Summary!$B$1)</f>
        <v/>
      </c>
      <c r="E41" s="5">
        <f>IF(C41="","",IF(OR(NOT(ISNUMBER(D41)),NOT(ISNUMBER(Summary!$B$2))),"Check",IF(D41&lt;0,"Expired",IF(D41&lt;=Summary!$B$2,"Soon","OK"))))</f>
        <v/>
      </c>
    </row>
    <row r="42">
      <c r="A42" s="2" t="n"/>
      <c r="B42" s="2" t="n"/>
      <c r="C42" s="3" t="n"/>
      <c r="D42" s="4">
        <f>IF(OR(C42="",NOT(ISNUMBER(C42)),NOT(ISNUMBER(Summary!$B$1))),"",C42-Summary!$B$1)</f>
        <v/>
      </c>
      <c r="E42" s="5">
        <f>IF(C42="","",IF(OR(NOT(ISNUMBER(D42)),NOT(ISNUMBER(Summary!$B$2))),"Check",IF(D42&lt;0,"Expired",IF(D42&lt;=Summary!$B$2,"Soon","OK"))))</f>
        <v/>
      </c>
    </row>
    <row r="43">
      <c r="A43" s="2" t="n"/>
      <c r="B43" s="2" t="n"/>
      <c r="C43" s="3" t="n"/>
      <c r="D43" s="4">
        <f>IF(OR(C43="",NOT(ISNUMBER(C43)),NOT(ISNUMBER(Summary!$B$1))),"",C43-Summary!$B$1)</f>
        <v/>
      </c>
      <c r="E43" s="5">
        <f>IF(C43="","",IF(OR(NOT(ISNUMBER(D43)),NOT(ISNUMBER(Summary!$B$2))),"Check",IF(D43&lt;0,"Expired",IF(D43&lt;=Summary!$B$2,"Soon","OK"))))</f>
        <v/>
      </c>
    </row>
    <row r="44">
      <c r="A44" s="2" t="n"/>
      <c r="B44" s="2" t="n"/>
      <c r="C44" s="3" t="n"/>
      <c r="D44" s="4">
        <f>IF(OR(C44="",NOT(ISNUMBER(C44)),NOT(ISNUMBER(Summary!$B$1))),"",C44-Summary!$B$1)</f>
        <v/>
      </c>
      <c r="E44" s="5">
        <f>IF(C44="","",IF(OR(NOT(ISNUMBER(D44)),NOT(ISNUMBER(Summary!$B$2))),"Check",IF(D44&lt;0,"Expired",IF(D44&lt;=Summary!$B$2,"Soon","OK"))))</f>
        <v/>
      </c>
    </row>
    <row r="45">
      <c r="A45" s="2" t="n"/>
      <c r="B45" s="2" t="n"/>
      <c r="C45" s="3" t="n"/>
      <c r="D45" s="4">
        <f>IF(OR(C45="",NOT(ISNUMBER(C45)),NOT(ISNUMBER(Summary!$B$1))),"",C45-Summary!$B$1)</f>
        <v/>
      </c>
      <c r="E45" s="5">
        <f>IF(C45="","",IF(OR(NOT(ISNUMBER(D45)),NOT(ISNUMBER(Summary!$B$2))),"Check",IF(D45&lt;0,"Expired",IF(D45&lt;=Summary!$B$2,"Soon","OK"))))</f>
        <v/>
      </c>
    </row>
    <row r="46">
      <c r="A46" s="2" t="n"/>
      <c r="B46" s="2" t="n"/>
      <c r="C46" s="3" t="n"/>
      <c r="D46" s="4">
        <f>IF(OR(C46="",NOT(ISNUMBER(C46)),NOT(ISNUMBER(Summary!$B$1))),"",C46-Summary!$B$1)</f>
        <v/>
      </c>
      <c r="E46" s="5">
        <f>IF(C46="","",IF(OR(NOT(ISNUMBER(D46)),NOT(ISNUMBER(Summary!$B$2))),"Check",IF(D46&lt;0,"Expired",IF(D46&lt;=Summary!$B$2,"Soon","OK"))))</f>
        <v/>
      </c>
    </row>
    <row r="47">
      <c r="A47" s="2" t="n"/>
      <c r="B47" s="2" t="n"/>
      <c r="C47" s="3" t="n"/>
      <c r="D47" s="4">
        <f>IF(OR(C47="",NOT(ISNUMBER(C47)),NOT(ISNUMBER(Summary!$B$1))),"",C47-Summary!$B$1)</f>
        <v/>
      </c>
      <c r="E47" s="5">
        <f>IF(C47="","",IF(OR(NOT(ISNUMBER(D47)),NOT(ISNUMBER(Summary!$B$2))),"Check",IF(D47&lt;0,"Expired",IF(D47&lt;=Summary!$B$2,"Soon","OK"))))</f>
        <v/>
      </c>
    </row>
    <row r="48">
      <c r="A48" s="2" t="n"/>
      <c r="B48" s="2" t="n"/>
      <c r="C48" s="3" t="n"/>
      <c r="D48" s="4">
        <f>IF(OR(C48="",NOT(ISNUMBER(C48)),NOT(ISNUMBER(Summary!$B$1))),"",C48-Summary!$B$1)</f>
        <v/>
      </c>
      <c r="E48" s="5">
        <f>IF(C48="","",IF(OR(NOT(ISNUMBER(D48)),NOT(ISNUMBER(Summary!$B$2))),"Check",IF(D48&lt;0,"Expired",IF(D48&lt;=Summary!$B$2,"Soon","OK"))))</f>
        <v/>
      </c>
    </row>
    <row r="49">
      <c r="A49" s="2" t="n"/>
      <c r="B49" s="2" t="n"/>
      <c r="C49" s="3" t="n"/>
      <c r="D49" s="4">
        <f>IF(OR(C49="",NOT(ISNUMBER(C49)),NOT(ISNUMBER(Summary!$B$1))),"",C49-Summary!$B$1)</f>
        <v/>
      </c>
      <c r="E49" s="5">
        <f>IF(C49="","",IF(OR(NOT(ISNUMBER(D49)),NOT(ISNUMBER(Summary!$B$2))),"Check",IF(D49&lt;0,"Expired",IF(D49&lt;=Summary!$B$2,"Soon","OK"))))</f>
        <v/>
      </c>
    </row>
    <row r="50">
      <c r="A50" s="2" t="n"/>
      <c r="B50" s="2" t="n"/>
      <c r="C50" s="3" t="n"/>
      <c r="D50" s="4">
        <f>IF(OR(C50="",NOT(ISNUMBER(C50)),NOT(ISNUMBER(Summary!$B$1))),"",C50-Summary!$B$1)</f>
        <v/>
      </c>
      <c r="E50" s="5">
        <f>IF(C50="","",IF(OR(NOT(ISNUMBER(D50)),NOT(ISNUMBER(Summary!$B$2))),"Check",IF(D50&lt;0,"Expired",IF(D50&lt;=Summary!$B$2,"Soon","OK"))))</f>
        <v/>
      </c>
    </row>
    <row r="51">
      <c r="A51" s="2" t="n"/>
      <c r="B51" s="2" t="n"/>
      <c r="C51" s="3" t="n"/>
      <c r="D51" s="4">
        <f>IF(OR(C51="",NOT(ISNUMBER(C51)),NOT(ISNUMBER(Summary!$B$1))),"",C51-Summary!$B$1)</f>
        <v/>
      </c>
      <c r="E51" s="5">
        <f>IF(C51="","",IF(OR(NOT(ISNUMBER(D51)),NOT(ISNUMBER(Summary!$B$2))),"Check",IF(D51&lt;0,"Expired",IF(D51&lt;=Summary!$B$2,"Soon","OK"))))</f>
        <v/>
      </c>
    </row>
    <row r="52">
      <c r="A52" s="2" t="n"/>
      <c r="B52" s="2" t="n"/>
      <c r="C52" s="3" t="n"/>
      <c r="D52" s="4">
        <f>IF(OR(C52="",NOT(ISNUMBER(C52)),NOT(ISNUMBER(Summary!$B$1))),"",C52-Summary!$B$1)</f>
        <v/>
      </c>
      <c r="E52" s="5">
        <f>IF(C52="","",IF(OR(NOT(ISNUMBER(D52)),NOT(ISNUMBER(Summary!$B$2))),"Check",IF(D52&lt;0,"Expired",IF(D52&lt;=Summary!$B$2,"Soon","OK"))))</f>
        <v/>
      </c>
    </row>
    <row r="53">
      <c r="A53" s="2" t="n"/>
      <c r="B53" s="2" t="n"/>
      <c r="C53" s="3" t="n"/>
      <c r="D53" s="4">
        <f>IF(OR(C53="",NOT(ISNUMBER(C53)),NOT(ISNUMBER(Summary!$B$1))),"",C53-Summary!$B$1)</f>
        <v/>
      </c>
      <c r="E53" s="5">
        <f>IF(C53="","",IF(OR(NOT(ISNUMBER(D53)),NOT(ISNUMBER(Summary!$B$2))),"Check",IF(D53&lt;0,"Expired",IF(D53&lt;=Summary!$B$2,"Soon","OK"))))</f>
        <v/>
      </c>
    </row>
    <row r="54">
      <c r="A54" s="2" t="n"/>
      <c r="B54" s="2" t="n"/>
      <c r="C54" s="3" t="n"/>
      <c r="D54" s="4">
        <f>IF(OR(C54="",NOT(ISNUMBER(C54)),NOT(ISNUMBER(Summary!$B$1))),"",C54-Summary!$B$1)</f>
        <v/>
      </c>
      <c r="E54" s="5">
        <f>IF(C54="","",IF(OR(NOT(ISNUMBER(D54)),NOT(ISNUMBER(Summary!$B$2))),"Check",IF(D54&lt;0,"Expired",IF(D54&lt;=Summary!$B$2,"Soon","OK"))))</f>
        <v/>
      </c>
    </row>
    <row r="55">
      <c r="A55" s="2" t="n"/>
      <c r="B55" s="2" t="n"/>
      <c r="C55" s="3" t="n"/>
      <c r="D55" s="4">
        <f>IF(OR(C55="",NOT(ISNUMBER(C55)),NOT(ISNUMBER(Summary!$B$1))),"",C55-Summary!$B$1)</f>
        <v/>
      </c>
      <c r="E55" s="5">
        <f>IF(C55="","",IF(OR(NOT(ISNUMBER(D55)),NOT(ISNUMBER(Summary!$B$2))),"Check",IF(D55&lt;0,"Expired",IF(D55&lt;=Summary!$B$2,"Soon","OK"))))</f>
        <v/>
      </c>
    </row>
    <row r="56">
      <c r="A56" s="2" t="n"/>
      <c r="B56" s="2" t="n"/>
      <c r="C56" s="3" t="n"/>
      <c r="D56" s="4">
        <f>IF(OR(C56="",NOT(ISNUMBER(C56)),NOT(ISNUMBER(Summary!$B$1))),"",C56-Summary!$B$1)</f>
        <v/>
      </c>
      <c r="E56" s="5">
        <f>IF(C56="","",IF(OR(NOT(ISNUMBER(D56)),NOT(ISNUMBER(Summary!$B$2))),"Check",IF(D56&lt;0,"Expired",IF(D56&lt;=Summary!$B$2,"Soon","OK"))))</f>
        <v/>
      </c>
    </row>
    <row r="57">
      <c r="A57" s="2" t="n"/>
      <c r="B57" s="2" t="n"/>
      <c r="C57" s="3" t="n"/>
      <c r="D57" s="4">
        <f>IF(OR(C57="",NOT(ISNUMBER(C57)),NOT(ISNUMBER(Summary!$B$1))),"",C57-Summary!$B$1)</f>
        <v/>
      </c>
      <c r="E57" s="5">
        <f>IF(C57="","",IF(OR(NOT(ISNUMBER(D57)),NOT(ISNUMBER(Summary!$B$2))),"Check",IF(D57&lt;0,"Expired",IF(D57&lt;=Summary!$B$2,"Soon","OK"))))</f>
        <v/>
      </c>
    </row>
    <row r="58">
      <c r="A58" s="2" t="n"/>
      <c r="B58" s="2" t="n"/>
      <c r="C58" s="3" t="n"/>
      <c r="D58" s="4">
        <f>IF(OR(C58="",NOT(ISNUMBER(C58)),NOT(ISNUMBER(Summary!$B$1))),"",C58-Summary!$B$1)</f>
        <v/>
      </c>
      <c r="E58" s="5">
        <f>IF(C58="","",IF(OR(NOT(ISNUMBER(D58)),NOT(ISNUMBER(Summary!$B$2))),"Check",IF(D58&lt;0,"Expired",IF(D58&lt;=Summary!$B$2,"Soon","OK"))))</f>
        <v/>
      </c>
    </row>
    <row r="59">
      <c r="A59" s="2" t="n"/>
      <c r="B59" s="2" t="n"/>
      <c r="C59" s="3" t="n"/>
      <c r="D59" s="4">
        <f>IF(OR(C59="",NOT(ISNUMBER(C59)),NOT(ISNUMBER(Summary!$B$1))),"",C59-Summary!$B$1)</f>
        <v/>
      </c>
      <c r="E59" s="5">
        <f>IF(C59="","",IF(OR(NOT(ISNUMBER(D59)),NOT(ISNUMBER(Summary!$B$2))),"Check",IF(D59&lt;0,"Expired",IF(D59&lt;=Summary!$B$2,"Soon","OK"))))</f>
        <v/>
      </c>
    </row>
    <row r="60">
      <c r="A60" s="2" t="n"/>
      <c r="B60" s="2" t="n"/>
      <c r="C60" s="3" t="n"/>
      <c r="D60" s="4">
        <f>IF(OR(C60="",NOT(ISNUMBER(C60)),NOT(ISNUMBER(Summary!$B$1))),"",C60-Summary!$B$1)</f>
        <v/>
      </c>
      <c r="E60" s="5">
        <f>IF(C60="","",IF(OR(NOT(ISNUMBER(D60)),NOT(ISNUMBER(Summary!$B$2))),"Check",IF(D60&lt;0,"Expired",IF(D60&lt;=Summary!$B$2,"Soon","OK"))))</f>
        <v/>
      </c>
    </row>
  </sheetData>
  <conditionalFormatting sqref="A2:E60">
    <cfRule type="expression" priority="1" dxfId="0">
      <formula>$E2="Expired"</formula>
    </cfRule>
    <cfRule type="expression" priority="2" dxfId="1">
      <formula>$E2="Soon"</formula>
    </cfRule>
  </conditionalFormatting>
  <conditionalFormatting sqref="E2:E60">
    <cfRule type="expression" priority="3" dxfId="2">
      <formula>$E2="Check"</formula>
    </cfRule>
  </conditionalFormatting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6" t="inlineStr">
        <is>
          <t>As-of date (type today's date)</t>
        </is>
      </c>
      <c r="B1" s="7" t="n">
        <v>46314</v>
      </c>
    </row>
    <row r="2">
      <c r="A2" s="6" t="inlineStr">
        <is>
          <t>Warning window (days)</t>
        </is>
      </c>
      <c r="B2" s="8" t="n">
        <v>30</v>
      </c>
    </row>
    <row r="3">
      <c r="A3" s="6" t="inlineStr">
        <is>
          <t>Items expired (before the as-of date)</t>
        </is>
      </c>
      <c r="B3" s="9">
        <f>COUNTIF(Items!$E$2:$E$60,"Expired")</f>
        <v/>
      </c>
    </row>
    <row r="4">
      <c r="A4" s="6" t="inlineStr">
        <is>
          <t>Items expiring soon (0 to the window)</t>
        </is>
      </c>
      <c r="B4" s="9">
        <f>COUNTIF(Items!$E$2:$E$60,"Soon")</f>
        <v/>
      </c>
    </row>
    <row r="5">
      <c r="A5" s="6" t="inlineStr">
        <is>
          <t>Items OK (past the window)</t>
        </is>
      </c>
      <c r="B5" s="9">
        <f>COUNTIF(Items!$E$2:$E$60,"OK")</f>
        <v/>
      </c>
    </row>
    <row r="6">
      <c r="A6" s="6" t="inlineStr">
        <is>
          <t>Rows to check (date typed as text)</t>
        </is>
      </c>
      <c r="B6" s="9">
        <f>COUNTIF(Items!$E$2:$E$60,"Check")</f>
        <v/>
      </c>
    </row>
    <row r="7">
      <c r="A7" s="6" t="inlineStr">
        <is>
          <t>Rows with an Expires entry</t>
        </is>
      </c>
      <c r="B7" s="9">
        <f>COUNTA(Items!$C$2:$C$60)</f>
        <v/>
      </c>
    </row>
    <row r="8">
      <c r="A8" s="6" t="inlineStr">
        <is>
          <t>Dates from the as-of date through the window (COUNTIFS)</t>
        </is>
      </c>
      <c r="B8" s="9">
        <f>IF(AND(ISNUMBER(B1),ISNUMBER(B2)),COUNTIFS(Items!$C$2:$C$60,"&gt;="&amp;B1,Items!$C$2:$C$60,"&lt;="&amp;B1+B2),"")</f>
        <v/>
      </c>
    </row>
    <row r="9">
      <c r="A9" s="6" t="inlineStr">
        <is>
          <t>Check: Expired + Soon + OK = real dates, COUNTIFS = Soon, nothing to check</t>
        </is>
      </c>
      <c r="B9" s="10">
        <f>IF(NOT(AND(ISNUMBER(B1),ISNUMBER(B2))),"Check settings",IF(AND(B3+B4+B5=COUNT(Items!$C$2:$C$60),B6=0,B4=B8),"OK","CHECK"))</f>
        <v/>
      </c>
    </row>
  </sheetData>
  <conditionalFormatting sqref="B9">
    <cfRule type="expression" priority="1" dxfId="2">
      <formula>B9&lt;&gt;"OK"</formula>
    </cfRule>
  </conditionalFormatting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Tidy Tabs: Highlight Dates That Are Coming Up Soon</t>
        </is>
      </c>
    </row>
    <row r="2">
      <c r="A2" s="12" t="inlineStr"/>
    </row>
    <row r="3">
      <c r="A3" s="12" t="inlineStr">
        <is>
          <t>1. Summary tab: type the as-of date in B1 (yellow) and how many days ahead to warn in B2. The sheet does not use TODAY, so type a new date when you open it.</t>
        </is>
      </c>
    </row>
    <row r="4">
      <c r="A4" s="12" t="inlineStr">
        <is>
          <t>2. Items tab: one row per item with its Expires date in C (yellow). Rows 2 to 60 have formulas ready.</t>
        </is>
      </c>
    </row>
    <row r="5">
      <c r="A5" s="12" t="inlineStr">
        <is>
          <t>3. Days left D2: =C2-Summary!$B$1. Negative means the date has passed.</t>
        </is>
      </c>
    </row>
    <row r="6">
      <c r="A6" s="12" t="inlineStr">
        <is>
          <t>4. Status E2: Expired when Days left is below 0, Soon when it is 0 up to the warning window, OK after that. An item that expires on the as-of date is Soon; one that expires the day before is Expired.</t>
        </is>
      </c>
    </row>
    <row r="7">
      <c r="A7" s="12" t="inlineStr">
        <is>
          <t>5. Colors: the rows are colored by conditional formatting rules that read the Status text (red for Expired, amber for Soon). The Status words also print in black and white.</t>
        </is>
      </c>
    </row>
    <row r="8">
      <c r="A8" s="12" t="inlineStr">
        <is>
          <t>6. To build the rule yourself: select A2:E60, then Home &gt; Conditional Formatting &gt; New Rule &gt; Use a formula, and type =$E2="Soon". In Google Sheets use Format &gt; Conditional formatting &gt; Custom formula is. Microsoft and Google help pages describe the dialogs.</t>
        </is>
      </c>
    </row>
    <row r="9">
      <c r="A9" s="12" t="inlineStr">
        <is>
          <t>7. A date typed as text (usually left-aligned) shows Check and is left out of the counts. A blank date has no status.</t>
        </is>
      </c>
    </row>
    <row r="10">
      <c r="A10" s="12" t="inlineStr">
        <is>
          <t>8. Summary B8 counts dates from the as-of date through the window with COUNTIFS. B9 shows OK when Expired + Soon + OK equals the real dates, B8 equals the Soon count and no row needs checking.</t>
        </is>
      </c>
    </row>
    <row r="11">
      <c r="A11" s="12" t="inlineStr">
        <is>
          <t>9. Dates only. This sheet does not know shelf life, safety or regulatory rules for any product.</t>
        </is>
      </c>
    </row>
    <row r="12">
      <c r="A12" s="12" t="inlineStr">
        <is>
          <t>10. The print area covers the first 40 rows. Change the print area to print more.</t>
        </is>
      </c>
    </row>
    <row r="13">
      <c r="A13" s="12" t="inlineStr"/>
    </row>
    <row r="14">
      <c r="A14" s="12" t="inlineStr">
        <is>
          <t>Items and dates are fictional. The sheet's formulas and the rule text were checked in LibreOffice Calc only; the colors were not opened in Excel or Google Sheets.</t>
        </is>
      </c>
    </row>
    <row r="15">
      <c r="A15" s="12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2026-10-18T07:33:21Z</dcterms:created>
  <dcterms:modified xsi:type="dcterms:W3CDTF">2026-10-18T07:33:21Z</dcterms:modified>
</cp:coreProperties>
</file>