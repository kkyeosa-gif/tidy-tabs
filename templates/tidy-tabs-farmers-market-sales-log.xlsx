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Daily total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0" customWidth="1" min="4" max="4"/>
    <col width="12" customWidth="1" min="5" max="5"/>
  </cols>
  <sheetData>
    <row r="1" ht="30" customHeight="1">
      <c r="A1" s="1" t="inlineStr">
        <is>
          <t>Market date</t>
        </is>
      </c>
      <c r="B1" s="1" t="inlineStr">
        <is>
          <t>Item</t>
        </is>
      </c>
      <c r="C1" s="1" t="inlineStr">
        <is>
          <t>Qty sold</t>
        </is>
      </c>
      <c r="D1" s="1" t="inlineStr">
        <is>
          <t>Price</t>
        </is>
      </c>
      <c r="E1" s="1" t="inlineStr">
        <is>
          <t>Line total</t>
        </is>
      </c>
    </row>
    <row r="2">
      <c r="A2" s="2" t="n">
        <v>46277</v>
      </c>
      <c r="B2" t="inlineStr">
        <is>
          <t>Lavender soy candle, 8 oz</t>
        </is>
      </c>
      <c r="C2" t="n">
        <v>9</v>
      </c>
      <c r="D2" s="3" t="n">
        <v>18</v>
      </c>
      <c r="E2" s="4">
        <f>C2*D2</f>
        <v/>
      </c>
    </row>
    <row r="3">
      <c r="A3" s="2" t="n">
        <v>46277</v>
      </c>
      <c r="B3" t="inlineStr">
        <is>
          <t>Oatmeal goat milk soap bar</t>
        </is>
      </c>
      <c r="C3" t="n">
        <v>14</v>
      </c>
      <c r="D3" s="3" t="n">
        <v>8</v>
      </c>
      <c r="E3" s="4">
        <f>C3*D3</f>
        <v/>
      </c>
    </row>
    <row r="4">
      <c r="A4" s="2" t="n">
        <v>46277</v>
      </c>
      <c r="B4" t="inlineStr">
        <is>
          <t>Brass hoop earrings</t>
        </is>
      </c>
      <c r="C4" t="n">
        <v>3</v>
      </c>
      <c r="D4" s="3" t="n">
        <v>24</v>
      </c>
      <c r="E4" s="4">
        <f>C4*D4</f>
        <v/>
      </c>
    </row>
    <row r="5">
      <c r="A5" s="2" t="n">
        <v>46277</v>
      </c>
      <c r="B5" t="inlineStr">
        <is>
          <t>Letterpress birthday card</t>
        </is>
      </c>
      <c r="C5" t="n">
        <v>12</v>
      </c>
      <c r="D5" s="3" t="n">
        <v>6</v>
      </c>
      <c r="E5" s="4">
        <f>C5*D5</f>
        <v/>
      </c>
    </row>
    <row r="6">
      <c r="A6" s="2" t="n">
        <v>46284</v>
      </c>
      <c r="B6" t="inlineStr">
        <is>
          <t>Lavender soy candle, 8 oz</t>
        </is>
      </c>
      <c r="C6" t="n">
        <v>11</v>
      </c>
      <c r="D6" s="3" t="n">
        <v>18</v>
      </c>
      <c r="E6" s="4">
        <f>C6*D6</f>
        <v/>
      </c>
    </row>
    <row r="7">
      <c r="A7" s="2" t="n">
        <v>46284</v>
      </c>
      <c r="B7" t="inlineStr">
        <is>
          <t>Oatmeal goat milk soap bar</t>
        </is>
      </c>
      <c r="C7" t="n">
        <v>10</v>
      </c>
      <c r="D7" s="3" t="n">
        <v>8</v>
      </c>
      <c r="E7" s="4">
        <f>C7*D7</f>
        <v/>
      </c>
    </row>
    <row r="8">
      <c r="A8" s="2" t="n">
        <v>46284</v>
      </c>
      <c r="B8" t="inlineStr">
        <is>
          <t>Cedar soy candle, 8 oz</t>
        </is>
      </c>
      <c r="C8" t="n">
        <v>6</v>
      </c>
      <c r="D8" s="3" t="n">
        <v>18</v>
      </c>
      <c r="E8" s="4">
        <f>C8*D8</f>
        <v/>
      </c>
    </row>
    <row r="9">
      <c r="A9" s="2" t="n">
        <v>46284</v>
      </c>
      <c r="B9" t="inlineStr">
        <is>
          <t>Letterpress birthday card</t>
        </is>
      </c>
      <c r="C9" t="n">
        <v>8</v>
      </c>
      <c r="D9" s="3" t="n">
        <v>6</v>
      </c>
      <c r="E9" s="4">
        <f>C9*D9</f>
        <v/>
      </c>
    </row>
    <row r="10">
      <c r="A10" s="2" t="n">
        <v>46284</v>
      </c>
      <c r="B10" t="inlineStr">
        <is>
          <t>Brass hoop earrings</t>
        </is>
      </c>
      <c r="C10" t="n">
        <v>2</v>
      </c>
      <c r="D10" s="3" t="n">
        <v>24</v>
      </c>
      <c r="E10" s="4">
        <f>C10*D10</f>
        <v/>
      </c>
    </row>
    <row r="11">
      <c r="A11" s="2" t="n">
        <v>46291</v>
      </c>
      <c r="B11" t="inlineStr">
        <is>
          <t>Lavender soy candle, 8 oz</t>
        </is>
      </c>
      <c r="C11" t="n">
        <v>7</v>
      </c>
      <c r="D11" s="3" t="n">
        <v>18</v>
      </c>
      <c r="E11" s="4">
        <f>C11*D11</f>
        <v/>
      </c>
    </row>
    <row r="12">
      <c r="A12" s="2" t="n">
        <v>46291</v>
      </c>
      <c r="B12" t="inlineStr">
        <is>
          <t>Oatmeal goat milk soap bar</t>
        </is>
      </c>
      <c r="C12" t="n">
        <v>16</v>
      </c>
      <c r="D12" s="3" t="n">
        <v>8</v>
      </c>
      <c r="E12" s="4">
        <f>C12*D12</f>
        <v/>
      </c>
    </row>
    <row r="13">
      <c r="A13" s="2" t="n">
        <v>46291</v>
      </c>
      <c r="B13" t="inlineStr">
        <is>
          <t>Brass hoop earrings</t>
        </is>
      </c>
      <c r="C13" t="n">
        <v>4</v>
      </c>
      <c r="D13" s="3" t="n">
        <v>24</v>
      </c>
      <c r="E13" s="4">
        <f>C13*D13</f>
        <v/>
      </c>
    </row>
    <row r="14">
      <c r="A14" s="2" t="n">
        <v>46291</v>
      </c>
      <c r="B14" t="inlineStr">
        <is>
          <t>Letterpress birthday card</t>
        </is>
      </c>
      <c r="C14" t="n">
        <v>10</v>
      </c>
      <c r="D14" s="3" t="n">
        <v>6</v>
      </c>
      <c r="E14" s="4">
        <f>C14*D14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1" customWidth="1" min="4" max="4"/>
    <col width="28" customWidth="1" min="6" max="6"/>
    <col width="13" customWidth="1" min="7" max="7"/>
  </cols>
  <sheetData>
    <row r="1" ht="30" customHeight="1">
      <c r="A1" s="1" t="inlineStr">
        <is>
          <t>Market date</t>
        </is>
      </c>
      <c r="B1" s="1" t="inlineStr">
        <is>
          <t>Revenue (SUMPRODUCT)</t>
        </is>
      </c>
      <c r="C1" s="1" t="inlineStr">
        <is>
          <t>Revenue (SUMIFS check)</t>
        </is>
      </c>
      <c r="D1" s="1" t="inlineStr">
        <is>
          <t>Items sold</t>
        </is>
      </c>
      <c r="F1" s="5" t="inlineStr">
        <is>
          <t>All days (SUMPRODUCT)</t>
        </is>
      </c>
      <c r="G1" s="3">
        <f>SUMPRODUCT(Sales!C2:C500,Sales!D2:D500)</f>
        <v/>
      </c>
    </row>
    <row r="2">
      <c r="A2" s="2" t="n">
        <v>46277</v>
      </c>
      <c r="B2" s="4">
        <f>SUMPRODUCT((Sales!$A$2:$A$500=A2)*Sales!$C$2:$C$500*Sales!$D$2:$D$500)</f>
        <v/>
      </c>
      <c r="C2" s="4">
        <f>SUMIFS(Sales!$E$2:$E$500,Sales!$A$2:$A$500,A2)</f>
        <v/>
      </c>
      <c r="D2" s="6">
        <f>SUMIFS(Sales!$C$2:$C$500,Sales!$A$2:$A$500,A2)</f>
        <v/>
      </c>
      <c r="F2" s="5" t="inlineStr">
        <is>
          <t>All days (sum of Line total)</t>
        </is>
      </c>
      <c r="G2" s="3">
        <f>SUM(Sales!E2:E500)</f>
        <v/>
      </c>
    </row>
    <row r="3">
      <c r="A3" s="2" t="n">
        <v>46284</v>
      </c>
      <c r="B3" s="4">
        <f>SUMPRODUCT((Sales!$A$2:$A$500=A3)*Sales!$C$2:$C$500*Sales!$D$2:$D$500)</f>
        <v/>
      </c>
      <c r="C3" s="4">
        <f>SUMIFS(Sales!$E$2:$E$500,Sales!$A$2:$A$500,A3)</f>
        <v/>
      </c>
      <c r="D3" s="6">
        <f>SUMIFS(Sales!$C$2:$C$500,Sales!$A$2:$A$500,A3)</f>
        <v/>
      </c>
    </row>
    <row r="4">
      <c r="A4" s="2" t="n">
        <v>46291</v>
      </c>
      <c r="B4" s="4">
        <f>SUMPRODUCT((Sales!$A$2:$A$500=A4)*Sales!$C$2:$C$500*Sales!$D$2:$D$500)</f>
        <v/>
      </c>
      <c r="C4" s="4">
        <f>SUMIFS(Sales!$E$2:$E$500,Sales!$A$2:$A$500,A4)</f>
        <v/>
      </c>
      <c r="D4" s="6">
        <f>SUMIFS(Sales!$C$2:$C$500,Sales!$A$2:$A$500,A4)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Farmers Market Sales Log</t>
        </is>
      </c>
    </row>
    <row r="2">
      <c r="A2" t="inlineStr"/>
    </row>
    <row r="3">
      <c r="A3" t="inlineStr">
        <is>
          <t>1. Sales tab: one row per item sold at a market day. Type the Market date, Item, Qty sold, and Price. Line total = Qty x Price.</t>
        </is>
      </c>
    </row>
    <row r="4">
      <c r="A4" t="inlineStr">
        <is>
          <t>2. Daily totals tab: type each market date in column A. Revenue (SUMPRODUCT) = SUMPRODUCT((Sales!$A$2:$A$500=A2)*Sales!$C$2:$C$500*Sales!$D$2:$D$500). It multiplies Qty by Price for that day's rows and adds them, without needing the Line total column.</t>
        </is>
      </c>
    </row>
    <row r="5">
      <c r="A5" t="inlineStr">
        <is>
          <t>3. Revenue (SUMIFS check) adds the Line total column for that date. The two columns should match.</t>
        </is>
      </c>
    </row>
    <row r="6">
      <c r="A6" t="inlineStr">
        <is>
          <t>4. G1 = SUMPRODUCT(Sales!C2:C500,Sales!D2:D500) is the grand total of Qty x Price across every day. G2 adds the Line total column; they should match too.</t>
        </is>
      </c>
    </row>
    <row r="7">
      <c r="A7" t="inlineStr">
        <is>
          <t>5. Dates must be real dates, and Qty and Price must be numbers. Text in those cells makes the SUMPRODUCT formula in step 2 return #VALUE!.</t>
        </is>
      </c>
    </row>
    <row r="8">
      <c r="A8" t="inlineStr"/>
    </row>
    <row r="9">
      <c r="A9" t="inlineStr">
        <is>
          <t>The vendor, items, and sales are fictional.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2026-10-01T07:28:55Z</dcterms:created>
  <dcterms:modified xsi:type="dcterms:W3CDTF">2026-10-01T07:28:55Z</dcterms:modified>
</cp:coreProperties>
</file>