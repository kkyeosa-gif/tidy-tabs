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'Sales'!$1:$1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6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" customWidth="1" min="4" max="4"/>
    <col width="22" customWidth="1" min="5" max="5"/>
    <col width="14" customWidth="1" min="6" max="6"/>
    <col width="14" customWidth="1" min="7" max="7"/>
  </cols>
  <sheetData>
    <row r="1" ht="30" customHeight="1">
      <c r="A1" s="1" t="inlineStr">
        <is>
          <t>Month number</t>
        </is>
      </c>
      <c r="B1" s="1" t="inlineStr">
        <is>
          <t>Month</t>
        </is>
      </c>
      <c r="C1" s="1" t="inlineStr">
        <is>
          <t>Sales</t>
        </is>
      </c>
      <c r="E1" s="2" t="inlineStr">
        <is>
          <t>Forecast</t>
        </is>
      </c>
      <c r="F1" s="2" t="inlineStr">
        <is>
          <t>Month</t>
        </is>
      </c>
      <c r="G1" s="2" t="inlineStr">
        <is>
          <t>Sales estimate</t>
        </is>
      </c>
    </row>
    <row r="2">
      <c r="A2" s="3" t="n">
        <v>1</v>
      </c>
      <c r="B2" s="4" t="n">
        <v>46023</v>
      </c>
      <c r="C2" s="5" t="n">
        <v>1200</v>
      </c>
      <c r="E2" s="6">
        <f>IF(COUNT($A$2:$A$25)=0,"",MAX($A$2:$A$25)+1)</f>
        <v/>
      </c>
      <c r="F2" s="7">
        <f>IF(OR(E2="",COUNT($B$2:$B$25)=0),"",EDATE(MAX($B$2:$B$25),E2-MAX($A$2:$A$25)))</f>
        <v/>
      </c>
      <c r="G2" s="8">
        <f>IF(OR(E2="",COUNT($C$2:$C$25)&lt;2),"",FORECAST(E2,$C$2:$C$25,$A$2:$A$25))</f>
        <v/>
      </c>
    </row>
    <row r="3">
      <c r="A3" s="3" t="n">
        <v>2</v>
      </c>
      <c r="B3" s="4" t="n">
        <v>46054</v>
      </c>
      <c r="C3" s="5" t="n">
        <v>1350</v>
      </c>
      <c r="E3" s="6">
        <f>IF(COUNT($A$2:$A$25)=0,"",MAX($A$2:$A$25)+2)</f>
        <v/>
      </c>
      <c r="F3" s="7">
        <f>IF(OR(E3="",COUNT($B$2:$B$25)=0),"",EDATE(MAX($B$2:$B$25),E3-MAX($A$2:$A$25)))</f>
        <v/>
      </c>
      <c r="G3" s="8">
        <f>IF(OR(E3="",COUNT($C$2:$C$25)&lt;2),"",FORECAST(E3,$C$2:$C$25,$A$2:$A$25))</f>
        <v/>
      </c>
    </row>
    <row r="4">
      <c r="A4" s="3" t="n">
        <v>3</v>
      </c>
      <c r="B4" s="4" t="n">
        <v>46082</v>
      </c>
      <c r="C4" s="5" t="n">
        <v>1500</v>
      </c>
      <c r="E4" s="6">
        <f>IF(COUNT($A$2:$A$25)=0,"",MAX($A$2:$A$25)+3)</f>
        <v/>
      </c>
      <c r="F4" s="7">
        <f>IF(OR(E4="",COUNT($B$2:$B$25)=0),"",EDATE(MAX($B$2:$B$25),E4-MAX($A$2:$A$25)))</f>
        <v/>
      </c>
      <c r="G4" s="8">
        <f>IF(OR(E4="",COUNT($C$2:$C$25)&lt;2),"",FORECAST(E4,$C$2:$C$25,$A$2:$A$25))</f>
        <v/>
      </c>
    </row>
    <row r="5">
      <c r="A5" s="3" t="n">
        <v>4</v>
      </c>
      <c r="B5" s="4" t="n">
        <v>46113</v>
      </c>
      <c r="C5" s="5" t="n">
        <v>1480</v>
      </c>
    </row>
    <row r="6">
      <c r="A6" s="3" t="n">
        <v>5</v>
      </c>
      <c r="B6" s="4" t="n">
        <v>46143</v>
      </c>
      <c r="C6" s="5" t="n">
        <v>1620</v>
      </c>
      <c r="E6" t="inlineStr">
        <is>
          <t>Trend per month (SLOPE)</t>
        </is>
      </c>
      <c r="G6" s="9">
        <f>IF(COUNT($C$2:$C$25)&lt;2,"",SLOPE($C$2:$C$25,$A$2:$A$25))</f>
        <v/>
      </c>
    </row>
    <row r="7">
      <c r="A7" s="3" t="n">
        <v>6</v>
      </c>
      <c r="B7" s="4" t="n">
        <v>46174</v>
      </c>
      <c r="C7" s="5" t="n">
        <v>1710</v>
      </c>
      <c r="E7" t="inlineStr">
        <is>
          <t>Months of data</t>
        </is>
      </c>
      <c r="G7" s="10">
        <f>COUNT($C$2:$C$25)</f>
        <v/>
      </c>
    </row>
    <row r="8">
      <c r="A8" s="3" t="n">
        <v>7</v>
      </c>
      <c r="B8" s="4" t="n">
        <v>46204</v>
      </c>
      <c r="C8" s="5" t="n">
        <v>1690</v>
      </c>
      <c r="E8" t="inlineStr">
        <is>
          <t>Hand calculation, month 1</t>
        </is>
      </c>
      <c r="G8" s="9">
        <f>IF(COUNT($C$2:$C$25)&lt;2,"",(AVERAGE($C$2:$C$25)+(SUMPRODUCT($A$2:$A$25,$C$2:$C$25)-COUNT($C$2:$C$25)*AVERAGE($A$2:$A$25)*AVERAGE($C$2:$C$25))/(SUMSQ($A$2:$A$25)-COUNT($A$2:$A$25)*AVERAGE($A$2:$A$25)^2)*(E2-AVERAGE($A$2:$A$25))))</f>
        <v/>
      </c>
    </row>
    <row r="9">
      <c r="A9" s="3" t="n">
        <v>8</v>
      </c>
      <c r="B9" s="4" t="n">
        <v>46235</v>
      </c>
      <c r="C9" s="5" t="n">
        <v>1850</v>
      </c>
      <c r="E9" t="inlineStr">
        <is>
          <t>Check: FORECAST matches</t>
        </is>
      </c>
      <c r="G9" s="11">
        <f>IF(G2="","",IF(ROUND(G2-G8,6)=0,"OK","CHECK"))</f>
        <v/>
      </c>
    </row>
    <row r="10">
      <c r="A10" s="3" t="n"/>
      <c r="B10" s="4" t="n"/>
      <c r="C10" s="5" t="n"/>
    </row>
    <row r="11">
      <c r="A11" s="3" t="n"/>
      <c r="B11" s="4" t="n"/>
      <c r="C11" s="5" t="n"/>
    </row>
    <row r="12">
      <c r="A12" s="3" t="n"/>
      <c r="B12" s="4" t="n"/>
      <c r="C12" s="5" t="n"/>
    </row>
    <row r="13">
      <c r="A13" s="3" t="n"/>
      <c r="B13" s="4" t="n"/>
      <c r="C13" s="5" t="n"/>
    </row>
    <row r="14">
      <c r="A14" s="3" t="n"/>
      <c r="B14" s="4" t="n"/>
      <c r="C14" s="5" t="n"/>
    </row>
    <row r="15">
      <c r="A15" s="3" t="n"/>
      <c r="B15" s="4" t="n"/>
      <c r="C15" s="5" t="n"/>
    </row>
    <row r="16">
      <c r="A16" s="3" t="n"/>
      <c r="B16" s="4" t="n"/>
      <c r="C16" s="5" t="n"/>
    </row>
    <row r="17">
      <c r="A17" s="3" t="n"/>
      <c r="B17" s="4" t="n"/>
      <c r="C17" s="5" t="n"/>
    </row>
    <row r="18">
      <c r="A18" s="3" t="n"/>
      <c r="B18" s="4" t="n"/>
      <c r="C18" s="5" t="n"/>
    </row>
    <row r="19">
      <c r="A19" s="3" t="n"/>
      <c r="B19" s="4" t="n"/>
      <c r="C19" s="5" t="n"/>
    </row>
    <row r="20">
      <c r="A20" s="3" t="n"/>
      <c r="B20" s="4" t="n"/>
      <c r="C20" s="5" t="n"/>
    </row>
    <row r="21">
      <c r="A21" s="3" t="n"/>
      <c r="B21" s="4" t="n"/>
      <c r="C21" s="5" t="n"/>
    </row>
    <row r="22">
      <c r="A22" s="3" t="n"/>
      <c r="B22" s="4" t="n"/>
      <c r="C22" s="5" t="n"/>
    </row>
    <row r="23">
      <c r="A23" s="3" t="n"/>
      <c r="B23" s="4" t="n"/>
      <c r="C23" s="5" t="n"/>
    </row>
    <row r="24">
      <c r="A24" s="3" t="n"/>
      <c r="B24" s="4" t="n"/>
      <c r="C24" s="5" t="n"/>
    </row>
    <row r="25">
      <c r="A25" s="3" t="n"/>
      <c r="B25" s="4" t="n"/>
      <c r="C25" s="5" t="n"/>
    </row>
  </sheetData>
  <conditionalFormatting sqref="G9">
    <cfRule type="expression" priority="1" dxfId="0">
      <formula>G9="CHECK"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Tidy Tabs: Forecast Next Month's Sales With FORECAST</t>
        </is>
      </c>
    </row>
    <row r="2">
      <c r="A2" s="13" t="inlineStr"/>
    </row>
    <row r="3">
      <c r="A3" s="13" t="inlineStr">
        <is>
          <t>1. Sales tab: type a month number (1, 2, 3 ...), the month and the sales in A to C (yellow). Rows 2 to 25 are ready for up to 24 months. Keep the month numbers in order, with no gaps.</t>
        </is>
      </c>
    </row>
    <row r="4">
      <c r="A4" s="13" t="inlineStr">
        <is>
          <t>2. G2: =FORECAST(E2,$C$2:$C$25,$A$2:$A$25). E2 is the next month number (the last one plus 1). FORECAST fits a straight line through your past months and reads the sales value off that line. E3 and E4 give the next two months.</t>
        </is>
      </c>
    </row>
    <row r="5">
      <c r="A5" s="13" t="inlineStr">
        <is>
          <t>3. G6: =SLOPE($C$2:$C$25,$A$2:$A$25) is how many dollars the line rises or falls each month.</t>
        </is>
      </c>
    </row>
    <row r="6">
      <c r="A6" s="13" t="inlineStr">
        <is>
          <t>4. G8 repeats the first projection by the least squares formula typed out by hand, and G9 shows OK when FORECAST matches it. CHECK means the month numbers have gaps or text.</t>
        </is>
      </c>
    </row>
    <row r="7">
      <c r="A7" s="13" t="inlineStr">
        <is>
          <t>5. A straight line is only an estimate drawn from the past. It does not know about seasons, sales or promotions, and it is not a prediction. Use it as one input.</t>
        </is>
      </c>
    </row>
    <row r="8">
      <c r="A8" s="13" t="inlineStr">
        <is>
          <t>6. Rows with a blank or text month number or sales amount are skipped as a pair by LibreOffice Calc. Retype text as a number.</t>
        </is>
      </c>
    </row>
    <row r="9">
      <c r="A9" s="13" t="inlineStr">
        <is>
          <t>7. FORECAST needs at least 2 months; with fewer the results stay blank. If the two ranges are different sizes the formula returns an error (#VALUE! in LibreOffice Calc); make both ranges the same length.</t>
        </is>
      </c>
    </row>
    <row r="10">
      <c r="A10" s="13" t="inlineStr">
        <is>
          <t>8. FORECAST.LINEAR is the newer name in Excel and Google Sheets. This template uses the older FORECAST, which works in both.</t>
        </is>
      </c>
    </row>
    <row r="11">
      <c r="A11" s="13" t="inlineStr"/>
    </row>
    <row r="12">
      <c r="A12" s="13" t="inlineStr">
        <is>
          <t>Months and sales are fictional. Checked in LibreOffice Calc only; not opened in Excel or Google Sheets.</t>
        </is>
      </c>
    </row>
    <row r="13">
      <c r="A13" s="13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2026-10-15T07:31:17Z</dcterms:created>
  <dcterms:modified xmlns:dcterms="http://purl.org/dc/terms/" xmlns:xsi="http://www.w3.org/2001/XMLSchema-instance" xsi:type="dcterms:W3CDTF">2026-10-15T07:31:17Z</dcterms:modified>
</cp:coreProperties>
</file>