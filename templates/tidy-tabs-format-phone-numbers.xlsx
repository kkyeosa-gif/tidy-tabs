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'Phones'!$1:$1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9" fontId="0" fillId="3" borderId="0" pivotButton="0" quotePrefix="0" xfId="0"/>
    <xf numFmtId="49" fontId="0" fillId="4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4" customWidth="1" min="5" max="5"/>
    <col width="30" customWidth="1" min="6" max="6"/>
    <col width="10" customWidth="1" min="7" max="7"/>
  </cols>
  <sheetData>
    <row r="1" ht="30" customHeight="1">
      <c r="A1" s="1" t="inlineStr">
        <is>
          <t>Phone as typed</t>
        </is>
      </c>
      <c r="B1" s="1" t="inlineStr">
        <is>
          <t>Digits only</t>
        </is>
      </c>
      <c r="C1" s="1" t="inlineStr">
        <is>
          <t>Without leading 1</t>
        </is>
      </c>
      <c r="D1" s="1" t="inlineStr">
        <is>
          <t>Formatted</t>
        </is>
      </c>
      <c r="F1" s="2" t="inlineStr">
        <is>
          <t>Results</t>
        </is>
      </c>
    </row>
    <row r="2">
      <c r="A2" s="3" t="inlineStr">
        <is>
          <t>(212) 555-0101</t>
        </is>
      </c>
      <c r="B2" s="4">
        <f>IF(A2="","",SUBSTITUTE(SUBSTITUTE(SUBSTITUTE(SUBSTITUTE(SUBSTITUTE(SUBSTITUTE(A2," ",""),"-",""),"(",""),")",""),".",""),"+",""))</f>
        <v/>
      </c>
      <c r="C2" s="4">
        <f>IF(B2="","",IF(AND(LEN(B2)=11,LEFT(B2,1)="1"),MID(B2,2,10),B2))</f>
        <v/>
      </c>
      <c r="D2" s="5">
        <f>IF(A2="","",IF(AND(LEN(C2)=10,SUMPRODUCT(--ISNUMBER(FIND(MID(C2,{1,2,3,4,5,6,7,8,9,10},1),"0123456789")))=10),"("&amp;LEFT(C2,3)&amp;") "&amp;MID(C2,4,3)&amp;"-"&amp;RIGHT(C2,4),"Check"))</f>
        <v/>
      </c>
      <c r="F2" t="inlineStr">
        <is>
          <t>Rows with a phone entry</t>
        </is>
      </c>
      <c r="G2" s="6">
        <f>COUNTA(A2:A40)</f>
        <v/>
      </c>
    </row>
    <row r="3">
      <c r="A3" s="3" t="inlineStr">
        <is>
          <t>212.555.0102</t>
        </is>
      </c>
      <c r="B3" s="4">
        <f>IF(A3="","",SUBSTITUTE(SUBSTITUTE(SUBSTITUTE(SUBSTITUTE(SUBSTITUTE(SUBSTITUTE(A3," ",""),"-",""),"(",""),")",""),".",""),"+",""))</f>
        <v/>
      </c>
      <c r="C3" s="4">
        <f>IF(B3="","",IF(AND(LEN(B3)=11,LEFT(B3,1)="1"),MID(B3,2,10),B3))</f>
        <v/>
      </c>
      <c r="D3" s="5">
        <f>IF(A3="","",IF(AND(LEN(C3)=10,SUMPRODUCT(--ISNUMBER(FIND(MID(C3,{1,2,3,4,5,6,7,8,9,10},1),"0123456789")))=10),"("&amp;LEFT(C3,3)&amp;") "&amp;MID(C3,4,3)&amp;"-"&amp;RIGHT(C3,4),"Check"))</f>
        <v/>
      </c>
      <c r="F3" t="inlineStr">
        <is>
          <t>Formatted</t>
        </is>
      </c>
      <c r="G3" s="6">
        <f>SUMPRODUCT(--(LEN(D2:D40)=14))</f>
        <v/>
      </c>
    </row>
    <row r="4">
      <c r="A4" s="3" t="inlineStr">
        <is>
          <t>+1 212-555-0103</t>
        </is>
      </c>
      <c r="B4" s="4">
        <f>IF(A4="","",SUBSTITUTE(SUBSTITUTE(SUBSTITUTE(SUBSTITUTE(SUBSTITUTE(SUBSTITUTE(A4," ",""),"-",""),"(",""),")",""),".",""),"+",""))</f>
        <v/>
      </c>
      <c r="C4" s="4">
        <f>IF(B4="","",IF(AND(LEN(B4)=11,LEFT(B4,1)="1"),MID(B4,2,10),B4))</f>
        <v/>
      </c>
      <c r="D4" s="5">
        <f>IF(A4="","",IF(AND(LEN(C4)=10,SUMPRODUCT(--ISNUMBER(FIND(MID(C4,{1,2,3,4,5,6,7,8,9,10},1),"0123456789")))=10),"("&amp;LEFT(C4,3)&amp;") "&amp;MID(C4,4,3)&amp;"-"&amp;RIGHT(C4,4),"Check"))</f>
        <v/>
      </c>
      <c r="F4" t="inlineStr">
        <is>
          <t>Rows to check</t>
        </is>
      </c>
      <c r="G4" s="6">
        <f>COUNTIF(D2:D40,"Check")</f>
        <v/>
      </c>
    </row>
    <row r="5">
      <c r="A5" s="3" t="n">
        <v>2125550104</v>
      </c>
      <c r="B5" s="4">
        <f>IF(A5="","",SUBSTITUTE(SUBSTITUTE(SUBSTITUTE(SUBSTITUTE(SUBSTITUTE(SUBSTITUTE(A5," ",""),"-",""),"(",""),")",""),".",""),"+",""))</f>
        <v/>
      </c>
      <c r="C5" s="4">
        <f>IF(B5="","",IF(AND(LEN(B5)=11,LEFT(B5,1)="1"),MID(B5,2,10),B5))</f>
        <v/>
      </c>
      <c r="D5" s="5">
        <f>IF(A5="","",IF(AND(LEN(C5)=10,SUMPRODUCT(--ISNUMBER(FIND(MID(C5,{1,2,3,4,5,6,7,8,9,10},1),"0123456789")))=10),"("&amp;LEFT(C5,3)&amp;") "&amp;MID(C5,4,3)&amp;"-"&amp;RIGHT(C5,4),"Check"))</f>
        <v/>
      </c>
      <c r="F5" t="inlineStr">
        <is>
          <t>Check: formatted + check = rows</t>
        </is>
      </c>
      <c r="G5" s="7">
        <f>IF(G3+G4=G2,"OK","CHECK")</f>
        <v/>
      </c>
    </row>
    <row r="6">
      <c r="A6" s="3" t="inlineStr">
        <is>
          <t>212 555 0105</t>
        </is>
      </c>
      <c r="B6" s="4">
        <f>IF(A6="","",SUBSTITUTE(SUBSTITUTE(SUBSTITUTE(SUBSTITUTE(SUBSTITUTE(SUBSTITUTE(A6," ",""),"-",""),"(",""),")",""),".",""),"+",""))</f>
        <v/>
      </c>
      <c r="C6" s="4">
        <f>IF(B6="","",IF(AND(LEN(B6)=11,LEFT(B6,1)="1"),MID(B6,2,10),B6))</f>
        <v/>
      </c>
      <c r="D6" s="5">
        <f>IF(A6="","",IF(AND(LEN(C6)=10,SUMPRODUCT(--ISNUMBER(FIND(MID(C6,{1,2,3,4,5,6,7,8,9,10},1),"0123456789")))=10),"("&amp;LEFT(C6,3)&amp;") "&amp;MID(C6,4,3)&amp;"-"&amp;RIGHT(C6,4),"Check"))</f>
        <v/>
      </c>
    </row>
    <row r="7">
      <c r="A7" s="3" t="inlineStr">
        <is>
          <t>1-212-555-0106</t>
        </is>
      </c>
      <c r="B7" s="4">
        <f>IF(A7="","",SUBSTITUTE(SUBSTITUTE(SUBSTITUTE(SUBSTITUTE(SUBSTITUTE(SUBSTITUTE(A7," ",""),"-",""),"(",""),")",""),".",""),"+",""))</f>
        <v/>
      </c>
      <c r="C7" s="4">
        <f>IF(B7="","",IF(AND(LEN(B7)=11,LEFT(B7,1)="1"),MID(B7,2,10),B7))</f>
        <v/>
      </c>
      <c r="D7" s="5">
        <f>IF(A7="","",IF(AND(LEN(C7)=10,SUMPRODUCT(--ISNUMBER(FIND(MID(C7,{1,2,3,4,5,6,7,8,9,10},1),"0123456789")))=10),"("&amp;LEFT(C7,3)&amp;") "&amp;MID(C7,4,3)&amp;"-"&amp;RIGHT(C7,4),"Check"))</f>
        <v/>
      </c>
    </row>
    <row r="8">
      <c r="A8" s="3" t="inlineStr">
        <is>
          <t>(415)555-0107</t>
        </is>
      </c>
      <c r="B8" s="4">
        <f>IF(A8="","",SUBSTITUTE(SUBSTITUTE(SUBSTITUTE(SUBSTITUTE(SUBSTITUTE(SUBSTITUTE(A8," ",""),"-",""),"(",""),")",""),".",""),"+",""))</f>
        <v/>
      </c>
      <c r="C8" s="4">
        <f>IF(B8="","",IF(AND(LEN(B8)=11,LEFT(B8,1)="1"),MID(B8,2,10),B8))</f>
        <v/>
      </c>
      <c r="D8" s="5">
        <f>IF(A8="","",IF(AND(LEN(C8)=10,SUMPRODUCT(--ISNUMBER(FIND(MID(C8,{1,2,3,4,5,6,7,8,9,10},1),"0123456789")))=10),"("&amp;LEFT(C8,3)&amp;") "&amp;MID(C8,4,3)&amp;"-"&amp;RIGHT(C8,4),"Check"))</f>
        <v/>
      </c>
    </row>
    <row r="9">
      <c r="A9" s="3" t="inlineStr">
        <is>
          <t>415.555.0108</t>
        </is>
      </c>
      <c r="B9" s="4">
        <f>IF(A9="","",SUBSTITUTE(SUBSTITUTE(SUBSTITUTE(SUBSTITUTE(SUBSTITUTE(SUBSTITUTE(A9," ",""),"-",""),"(",""),")",""),".",""),"+",""))</f>
        <v/>
      </c>
      <c r="C9" s="4">
        <f>IF(B9="","",IF(AND(LEN(B9)=11,LEFT(B9,1)="1"),MID(B9,2,10),B9))</f>
        <v/>
      </c>
      <c r="D9" s="5">
        <f>IF(A9="","",IF(AND(LEN(C9)=10,SUMPRODUCT(--ISNUMBER(FIND(MID(C9,{1,2,3,4,5,6,7,8,9,10},1),"0123456789")))=10),"("&amp;LEFT(C9,3)&amp;") "&amp;MID(C9,4,3)&amp;"-"&amp;RIGHT(C9,4),"Check"))</f>
        <v/>
      </c>
    </row>
    <row r="10">
      <c r="A10" s="3" t="inlineStr">
        <is>
          <t>212-555-010</t>
        </is>
      </c>
      <c r="B10" s="4">
        <f>IF(A10="","",SUBSTITUTE(SUBSTITUTE(SUBSTITUTE(SUBSTITUTE(SUBSTITUTE(SUBSTITUTE(A10," ",""),"-",""),"(",""),")",""),".",""),"+",""))</f>
        <v/>
      </c>
      <c r="C10" s="4">
        <f>IF(B10="","",IF(AND(LEN(B10)=11,LEFT(B10,1)="1"),MID(B10,2,10),B10))</f>
        <v/>
      </c>
      <c r="D10" s="5">
        <f>IF(A10="","",IF(AND(LEN(C10)=10,SUMPRODUCT(--ISNUMBER(FIND(MID(C10,{1,2,3,4,5,6,7,8,9,10},1),"0123456789")))=10),"("&amp;LEFT(C10,3)&amp;") "&amp;MID(C10,4,3)&amp;"-"&amp;RIGHT(C10,4),"Check"))</f>
        <v/>
      </c>
    </row>
    <row r="11">
      <c r="A11" s="3" t="inlineStr">
        <is>
          <t>212-555-0111 x12</t>
        </is>
      </c>
      <c r="B11" s="4">
        <f>IF(A11="","",SUBSTITUTE(SUBSTITUTE(SUBSTITUTE(SUBSTITUTE(SUBSTITUTE(SUBSTITUTE(A11," ",""),"-",""),"(",""),")",""),".",""),"+",""))</f>
        <v/>
      </c>
      <c r="C11" s="4">
        <f>IF(B11="","",IF(AND(LEN(B11)=11,LEFT(B11,1)="1"),MID(B11,2,10),B11))</f>
        <v/>
      </c>
      <c r="D11" s="5">
        <f>IF(A11="","",IF(AND(LEN(C11)=10,SUMPRODUCT(--ISNUMBER(FIND(MID(C11,{1,2,3,4,5,6,7,8,9,10},1),"0123456789")))=10),"("&amp;LEFT(C11,3)&amp;") "&amp;MID(C11,4,3)&amp;"-"&amp;RIGHT(C11,4),"Check"))</f>
        <v/>
      </c>
    </row>
    <row r="12">
      <c r="A12" s="3" t="inlineStr">
        <is>
          <t>21255501130</t>
        </is>
      </c>
      <c r="B12" s="4">
        <f>IF(A12="","",SUBSTITUTE(SUBSTITUTE(SUBSTITUTE(SUBSTITUTE(SUBSTITUTE(SUBSTITUTE(A12," ",""),"-",""),"(",""),")",""),".",""),"+",""))</f>
        <v/>
      </c>
      <c r="C12" s="4">
        <f>IF(B12="","",IF(AND(LEN(B12)=11,LEFT(B12,1)="1"),MID(B12,2,10),B12))</f>
        <v/>
      </c>
      <c r="D12" s="5">
        <f>IF(A12="","",IF(AND(LEN(C12)=10,SUMPRODUCT(--ISNUMBER(FIND(MID(C12,{1,2,3,4,5,6,7,8,9,10},1),"0123456789")))=10),"("&amp;LEFT(C12,3)&amp;") "&amp;MID(C12,4,3)&amp;"-"&amp;RIGHT(C12,4),"Check"))</f>
        <v/>
      </c>
    </row>
    <row r="13">
      <c r="A13" s="3" t="inlineStr">
        <is>
          <t>call after 5</t>
        </is>
      </c>
      <c r="B13" s="4">
        <f>IF(A13="","",SUBSTITUTE(SUBSTITUTE(SUBSTITUTE(SUBSTITUTE(SUBSTITUTE(SUBSTITUTE(A13," ",""),"-",""),"(",""),")",""),".",""),"+",""))</f>
        <v/>
      </c>
      <c r="C13" s="4">
        <f>IF(B13="","",IF(AND(LEN(B13)=11,LEFT(B13,1)="1"),MID(B13,2,10),B13))</f>
        <v/>
      </c>
      <c r="D13" s="5">
        <f>IF(A13="","",IF(AND(LEN(C13)=10,SUMPRODUCT(--ISNUMBER(FIND(MID(C13,{1,2,3,4,5,6,7,8,9,10},1),"0123456789")))=10),"("&amp;LEFT(C13,3)&amp;") "&amp;MID(C13,4,3)&amp;"-"&amp;RIGHT(C13,4),"Check"))</f>
        <v/>
      </c>
    </row>
    <row r="14">
      <c r="A14" s="3" t="n"/>
      <c r="B14" s="4">
        <f>IF(A14="","",SUBSTITUTE(SUBSTITUTE(SUBSTITUTE(SUBSTITUTE(SUBSTITUTE(SUBSTITUTE(A14," ",""),"-",""),"(",""),")",""),".",""),"+",""))</f>
        <v/>
      </c>
      <c r="C14" s="4">
        <f>IF(B14="","",IF(AND(LEN(B14)=11,LEFT(B14,1)="1"),MID(B14,2,10),B14))</f>
        <v/>
      </c>
      <c r="D14" s="5">
        <f>IF(A14="","",IF(AND(LEN(C14)=10,SUMPRODUCT(--ISNUMBER(FIND(MID(C14,{1,2,3,4,5,6,7,8,9,10},1),"0123456789")))=10),"("&amp;LEFT(C14,3)&amp;") "&amp;MID(C14,4,3)&amp;"-"&amp;RIGHT(C14,4),"Check"))</f>
        <v/>
      </c>
    </row>
    <row r="15">
      <c r="A15" s="3" t="n"/>
      <c r="B15" s="4">
        <f>IF(A15="","",SUBSTITUTE(SUBSTITUTE(SUBSTITUTE(SUBSTITUTE(SUBSTITUTE(SUBSTITUTE(A15," ",""),"-",""),"(",""),")",""),".",""),"+",""))</f>
        <v/>
      </c>
      <c r="C15" s="4">
        <f>IF(B15="","",IF(AND(LEN(B15)=11,LEFT(B15,1)="1"),MID(B15,2,10),B15))</f>
        <v/>
      </c>
      <c r="D15" s="5">
        <f>IF(A15="","",IF(AND(LEN(C15)=10,SUMPRODUCT(--ISNUMBER(FIND(MID(C15,{1,2,3,4,5,6,7,8,9,10},1),"0123456789")))=10),"("&amp;LEFT(C15,3)&amp;") "&amp;MID(C15,4,3)&amp;"-"&amp;RIGHT(C15,4),"Check"))</f>
        <v/>
      </c>
    </row>
    <row r="16">
      <c r="A16" s="3" t="n"/>
      <c r="B16" s="4">
        <f>IF(A16="","",SUBSTITUTE(SUBSTITUTE(SUBSTITUTE(SUBSTITUTE(SUBSTITUTE(SUBSTITUTE(A16," ",""),"-",""),"(",""),")",""),".",""),"+",""))</f>
        <v/>
      </c>
      <c r="C16" s="4">
        <f>IF(B16="","",IF(AND(LEN(B16)=11,LEFT(B16,1)="1"),MID(B16,2,10),B16))</f>
        <v/>
      </c>
      <c r="D16" s="5">
        <f>IF(A16="","",IF(AND(LEN(C16)=10,SUMPRODUCT(--ISNUMBER(FIND(MID(C16,{1,2,3,4,5,6,7,8,9,10},1),"0123456789")))=10),"("&amp;LEFT(C16,3)&amp;") "&amp;MID(C16,4,3)&amp;"-"&amp;RIGHT(C16,4),"Check"))</f>
        <v/>
      </c>
    </row>
    <row r="17">
      <c r="A17" s="3" t="n"/>
      <c r="B17" s="4">
        <f>IF(A17="","",SUBSTITUTE(SUBSTITUTE(SUBSTITUTE(SUBSTITUTE(SUBSTITUTE(SUBSTITUTE(A17," ",""),"-",""),"(",""),")",""),".",""),"+",""))</f>
        <v/>
      </c>
      <c r="C17" s="4">
        <f>IF(B17="","",IF(AND(LEN(B17)=11,LEFT(B17,1)="1"),MID(B17,2,10),B17))</f>
        <v/>
      </c>
      <c r="D17" s="5">
        <f>IF(A17="","",IF(AND(LEN(C17)=10,SUMPRODUCT(--ISNUMBER(FIND(MID(C17,{1,2,3,4,5,6,7,8,9,10},1),"0123456789")))=10),"("&amp;LEFT(C17,3)&amp;") "&amp;MID(C17,4,3)&amp;"-"&amp;RIGHT(C17,4),"Check"))</f>
        <v/>
      </c>
    </row>
    <row r="18">
      <c r="A18" s="3" t="n"/>
      <c r="B18" s="4">
        <f>IF(A18="","",SUBSTITUTE(SUBSTITUTE(SUBSTITUTE(SUBSTITUTE(SUBSTITUTE(SUBSTITUTE(A18," ",""),"-",""),"(",""),")",""),".",""),"+",""))</f>
        <v/>
      </c>
      <c r="C18" s="4">
        <f>IF(B18="","",IF(AND(LEN(B18)=11,LEFT(B18,1)="1"),MID(B18,2,10),B18))</f>
        <v/>
      </c>
      <c r="D18" s="5">
        <f>IF(A18="","",IF(AND(LEN(C18)=10,SUMPRODUCT(--ISNUMBER(FIND(MID(C18,{1,2,3,4,5,6,7,8,9,10},1),"0123456789")))=10),"("&amp;LEFT(C18,3)&amp;") "&amp;MID(C18,4,3)&amp;"-"&amp;RIGHT(C18,4),"Check"))</f>
        <v/>
      </c>
    </row>
    <row r="19">
      <c r="A19" s="3" t="n"/>
      <c r="B19" s="4">
        <f>IF(A19="","",SUBSTITUTE(SUBSTITUTE(SUBSTITUTE(SUBSTITUTE(SUBSTITUTE(SUBSTITUTE(A19," ",""),"-",""),"(",""),")",""),".",""),"+",""))</f>
        <v/>
      </c>
      <c r="C19" s="4">
        <f>IF(B19="","",IF(AND(LEN(B19)=11,LEFT(B19,1)="1"),MID(B19,2,10),B19))</f>
        <v/>
      </c>
      <c r="D19" s="5">
        <f>IF(A19="","",IF(AND(LEN(C19)=10,SUMPRODUCT(--ISNUMBER(FIND(MID(C19,{1,2,3,4,5,6,7,8,9,10},1),"0123456789")))=10),"("&amp;LEFT(C19,3)&amp;") "&amp;MID(C19,4,3)&amp;"-"&amp;RIGHT(C19,4),"Check"))</f>
        <v/>
      </c>
    </row>
    <row r="20">
      <c r="A20" s="3" t="n"/>
      <c r="B20" s="4">
        <f>IF(A20="","",SUBSTITUTE(SUBSTITUTE(SUBSTITUTE(SUBSTITUTE(SUBSTITUTE(SUBSTITUTE(A20," ",""),"-",""),"(",""),")",""),".",""),"+",""))</f>
        <v/>
      </c>
      <c r="C20" s="4">
        <f>IF(B20="","",IF(AND(LEN(B20)=11,LEFT(B20,1)="1"),MID(B20,2,10),B20))</f>
        <v/>
      </c>
      <c r="D20" s="5">
        <f>IF(A20="","",IF(AND(LEN(C20)=10,SUMPRODUCT(--ISNUMBER(FIND(MID(C20,{1,2,3,4,5,6,7,8,9,10},1),"0123456789")))=10),"("&amp;LEFT(C20,3)&amp;") "&amp;MID(C20,4,3)&amp;"-"&amp;RIGHT(C20,4),"Check"))</f>
        <v/>
      </c>
    </row>
    <row r="21">
      <c r="A21" s="3" t="n"/>
      <c r="B21" s="4">
        <f>IF(A21="","",SUBSTITUTE(SUBSTITUTE(SUBSTITUTE(SUBSTITUTE(SUBSTITUTE(SUBSTITUTE(A21," ",""),"-",""),"(",""),")",""),".",""),"+",""))</f>
        <v/>
      </c>
      <c r="C21" s="4">
        <f>IF(B21="","",IF(AND(LEN(B21)=11,LEFT(B21,1)="1"),MID(B21,2,10),B21))</f>
        <v/>
      </c>
      <c r="D21" s="5">
        <f>IF(A21="","",IF(AND(LEN(C21)=10,SUMPRODUCT(--ISNUMBER(FIND(MID(C21,{1,2,3,4,5,6,7,8,9,10},1),"0123456789")))=10),"("&amp;LEFT(C21,3)&amp;") "&amp;MID(C21,4,3)&amp;"-"&amp;RIGHT(C21,4),"Check"))</f>
        <v/>
      </c>
    </row>
    <row r="22">
      <c r="A22" s="3" t="n"/>
      <c r="B22" s="4">
        <f>IF(A22="","",SUBSTITUTE(SUBSTITUTE(SUBSTITUTE(SUBSTITUTE(SUBSTITUTE(SUBSTITUTE(A22," ",""),"-",""),"(",""),")",""),".",""),"+",""))</f>
        <v/>
      </c>
      <c r="C22" s="4">
        <f>IF(B22="","",IF(AND(LEN(B22)=11,LEFT(B22,1)="1"),MID(B22,2,10),B22))</f>
        <v/>
      </c>
      <c r="D22" s="5">
        <f>IF(A22="","",IF(AND(LEN(C22)=10,SUMPRODUCT(--ISNUMBER(FIND(MID(C22,{1,2,3,4,5,6,7,8,9,10},1),"0123456789")))=10),"("&amp;LEFT(C22,3)&amp;") "&amp;MID(C22,4,3)&amp;"-"&amp;RIGHT(C22,4),"Check"))</f>
        <v/>
      </c>
    </row>
    <row r="23">
      <c r="A23" s="3" t="n"/>
      <c r="B23" s="4">
        <f>IF(A23="","",SUBSTITUTE(SUBSTITUTE(SUBSTITUTE(SUBSTITUTE(SUBSTITUTE(SUBSTITUTE(A23," ",""),"-",""),"(",""),")",""),".",""),"+",""))</f>
        <v/>
      </c>
      <c r="C23" s="4">
        <f>IF(B23="","",IF(AND(LEN(B23)=11,LEFT(B23,1)="1"),MID(B23,2,10),B23))</f>
        <v/>
      </c>
      <c r="D23" s="5">
        <f>IF(A23="","",IF(AND(LEN(C23)=10,SUMPRODUCT(--ISNUMBER(FIND(MID(C23,{1,2,3,4,5,6,7,8,9,10},1),"0123456789")))=10),"("&amp;LEFT(C23,3)&amp;") "&amp;MID(C23,4,3)&amp;"-"&amp;RIGHT(C23,4),"Check"))</f>
        <v/>
      </c>
    </row>
    <row r="24">
      <c r="A24" s="3" t="n"/>
      <c r="B24" s="4">
        <f>IF(A24="","",SUBSTITUTE(SUBSTITUTE(SUBSTITUTE(SUBSTITUTE(SUBSTITUTE(SUBSTITUTE(A24," ",""),"-",""),"(",""),")",""),".",""),"+",""))</f>
        <v/>
      </c>
      <c r="C24" s="4">
        <f>IF(B24="","",IF(AND(LEN(B24)=11,LEFT(B24,1)="1"),MID(B24,2,10),B24))</f>
        <v/>
      </c>
      <c r="D24" s="5">
        <f>IF(A24="","",IF(AND(LEN(C24)=10,SUMPRODUCT(--ISNUMBER(FIND(MID(C24,{1,2,3,4,5,6,7,8,9,10},1),"0123456789")))=10),"("&amp;LEFT(C24,3)&amp;") "&amp;MID(C24,4,3)&amp;"-"&amp;RIGHT(C24,4),"Check"))</f>
        <v/>
      </c>
    </row>
    <row r="25">
      <c r="A25" s="3" t="n"/>
      <c r="B25" s="4">
        <f>IF(A25="","",SUBSTITUTE(SUBSTITUTE(SUBSTITUTE(SUBSTITUTE(SUBSTITUTE(SUBSTITUTE(A25," ",""),"-",""),"(",""),")",""),".",""),"+",""))</f>
        <v/>
      </c>
      <c r="C25" s="4">
        <f>IF(B25="","",IF(AND(LEN(B25)=11,LEFT(B25,1)="1"),MID(B25,2,10),B25))</f>
        <v/>
      </c>
      <c r="D25" s="5">
        <f>IF(A25="","",IF(AND(LEN(C25)=10,SUMPRODUCT(--ISNUMBER(FIND(MID(C25,{1,2,3,4,5,6,7,8,9,10},1),"0123456789")))=10),"("&amp;LEFT(C25,3)&amp;") "&amp;MID(C25,4,3)&amp;"-"&amp;RIGHT(C25,4),"Check"))</f>
        <v/>
      </c>
    </row>
    <row r="26">
      <c r="A26" s="3" t="n"/>
      <c r="B26" s="4">
        <f>IF(A26="","",SUBSTITUTE(SUBSTITUTE(SUBSTITUTE(SUBSTITUTE(SUBSTITUTE(SUBSTITUTE(A26," ",""),"-",""),"(",""),")",""),".",""),"+",""))</f>
        <v/>
      </c>
      <c r="C26" s="4">
        <f>IF(B26="","",IF(AND(LEN(B26)=11,LEFT(B26,1)="1"),MID(B26,2,10),B26))</f>
        <v/>
      </c>
      <c r="D26" s="5">
        <f>IF(A26="","",IF(AND(LEN(C26)=10,SUMPRODUCT(--ISNUMBER(FIND(MID(C26,{1,2,3,4,5,6,7,8,9,10},1),"0123456789")))=10),"("&amp;LEFT(C26,3)&amp;") "&amp;MID(C26,4,3)&amp;"-"&amp;RIGHT(C26,4),"Check"))</f>
        <v/>
      </c>
    </row>
    <row r="27">
      <c r="A27" s="3" t="n"/>
      <c r="B27" s="4">
        <f>IF(A27="","",SUBSTITUTE(SUBSTITUTE(SUBSTITUTE(SUBSTITUTE(SUBSTITUTE(SUBSTITUTE(A27," ",""),"-",""),"(",""),")",""),".",""),"+",""))</f>
        <v/>
      </c>
      <c r="C27" s="4">
        <f>IF(B27="","",IF(AND(LEN(B27)=11,LEFT(B27,1)="1"),MID(B27,2,10),B27))</f>
        <v/>
      </c>
      <c r="D27" s="5">
        <f>IF(A27="","",IF(AND(LEN(C27)=10,SUMPRODUCT(--ISNUMBER(FIND(MID(C27,{1,2,3,4,5,6,7,8,9,10},1),"0123456789")))=10),"("&amp;LEFT(C27,3)&amp;") "&amp;MID(C27,4,3)&amp;"-"&amp;RIGHT(C27,4),"Check"))</f>
        <v/>
      </c>
    </row>
    <row r="28">
      <c r="A28" s="3" t="n"/>
      <c r="B28" s="4">
        <f>IF(A28="","",SUBSTITUTE(SUBSTITUTE(SUBSTITUTE(SUBSTITUTE(SUBSTITUTE(SUBSTITUTE(A28," ",""),"-",""),"(",""),")",""),".",""),"+",""))</f>
        <v/>
      </c>
      <c r="C28" s="4">
        <f>IF(B28="","",IF(AND(LEN(B28)=11,LEFT(B28,1)="1"),MID(B28,2,10),B28))</f>
        <v/>
      </c>
      <c r="D28" s="5">
        <f>IF(A28="","",IF(AND(LEN(C28)=10,SUMPRODUCT(--ISNUMBER(FIND(MID(C28,{1,2,3,4,5,6,7,8,9,10},1),"0123456789")))=10),"("&amp;LEFT(C28,3)&amp;") "&amp;MID(C28,4,3)&amp;"-"&amp;RIGHT(C28,4),"Check"))</f>
        <v/>
      </c>
    </row>
    <row r="29">
      <c r="A29" s="3" t="n"/>
      <c r="B29" s="4">
        <f>IF(A29="","",SUBSTITUTE(SUBSTITUTE(SUBSTITUTE(SUBSTITUTE(SUBSTITUTE(SUBSTITUTE(A29," ",""),"-",""),"(",""),")",""),".",""),"+",""))</f>
        <v/>
      </c>
      <c r="C29" s="4">
        <f>IF(B29="","",IF(AND(LEN(B29)=11,LEFT(B29,1)="1"),MID(B29,2,10),B29))</f>
        <v/>
      </c>
      <c r="D29" s="5">
        <f>IF(A29="","",IF(AND(LEN(C29)=10,SUMPRODUCT(--ISNUMBER(FIND(MID(C29,{1,2,3,4,5,6,7,8,9,10},1),"0123456789")))=10),"("&amp;LEFT(C29,3)&amp;") "&amp;MID(C29,4,3)&amp;"-"&amp;RIGHT(C29,4),"Check"))</f>
        <v/>
      </c>
    </row>
    <row r="30">
      <c r="A30" s="3" t="n"/>
      <c r="B30" s="4">
        <f>IF(A30="","",SUBSTITUTE(SUBSTITUTE(SUBSTITUTE(SUBSTITUTE(SUBSTITUTE(SUBSTITUTE(A30," ",""),"-",""),"(",""),")",""),".",""),"+",""))</f>
        <v/>
      </c>
      <c r="C30" s="4">
        <f>IF(B30="","",IF(AND(LEN(B30)=11,LEFT(B30,1)="1"),MID(B30,2,10),B30))</f>
        <v/>
      </c>
      <c r="D30" s="5">
        <f>IF(A30="","",IF(AND(LEN(C30)=10,SUMPRODUCT(--ISNUMBER(FIND(MID(C30,{1,2,3,4,5,6,7,8,9,10},1),"0123456789")))=10),"("&amp;LEFT(C30,3)&amp;") "&amp;MID(C30,4,3)&amp;"-"&amp;RIGHT(C30,4),"Check"))</f>
        <v/>
      </c>
    </row>
    <row r="31">
      <c r="A31" s="3" t="n"/>
      <c r="B31" s="4">
        <f>IF(A31="","",SUBSTITUTE(SUBSTITUTE(SUBSTITUTE(SUBSTITUTE(SUBSTITUTE(SUBSTITUTE(A31," ",""),"-",""),"(",""),")",""),".",""),"+",""))</f>
        <v/>
      </c>
      <c r="C31" s="4">
        <f>IF(B31="","",IF(AND(LEN(B31)=11,LEFT(B31,1)="1"),MID(B31,2,10),B31))</f>
        <v/>
      </c>
      <c r="D31" s="5">
        <f>IF(A31="","",IF(AND(LEN(C31)=10,SUMPRODUCT(--ISNUMBER(FIND(MID(C31,{1,2,3,4,5,6,7,8,9,10},1),"0123456789")))=10),"("&amp;LEFT(C31,3)&amp;") "&amp;MID(C31,4,3)&amp;"-"&amp;RIGHT(C31,4),"Check"))</f>
        <v/>
      </c>
    </row>
    <row r="32">
      <c r="A32" s="3" t="n"/>
      <c r="B32" s="4">
        <f>IF(A32="","",SUBSTITUTE(SUBSTITUTE(SUBSTITUTE(SUBSTITUTE(SUBSTITUTE(SUBSTITUTE(A32," ",""),"-",""),"(",""),")",""),".",""),"+",""))</f>
        <v/>
      </c>
      <c r="C32" s="4">
        <f>IF(B32="","",IF(AND(LEN(B32)=11,LEFT(B32,1)="1"),MID(B32,2,10),B32))</f>
        <v/>
      </c>
      <c r="D32" s="5">
        <f>IF(A32="","",IF(AND(LEN(C32)=10,SUMPRODUCT(--ISNUMBER(FIND(MID(C32,{1,2,3,4,5,6,7,8,9,10},1),"0123456789")))=10),"("&amp;LEFT(C32,3)&amp;") "&amp;MID(C32,4,3)&amp;"-"&amp;RIGHT(C32,4),"Check"))</f>
        <v/>
      </c>
    </row>
    <row r="33">
      <c r="A33" s="3" t="n"/>
      <c r="B33" s="4">
        <f>IF(A33="","",SUBSTITUTE(SUBSTITUTE(SUBSTITUTE(SUBSTITUTE(SUBSTITUTE(SUBSTITUTE(A33," ",""),"-",""),"(",""),")",""),".",""),"+",""))</f>
        <v/>
      </c>
      <c r="C33" s="4">
        <f>IF(B33="","",IF(AND(LEN(B33)=11,LEFT(B33,1)="1"),MID(B33,2,10),B33))</f>
        <v/>
      </c>
      <c r="D33" s="5">
        <f>IF(A33="","",IF(AND(LEN(C33)=10,SUMPRODUCT(--ISNUMBER(FIND(MID(C33,{1,2,3,4,5,6,7,8,9,10},1),"0123456789")))=10),"("&amp;LEFT(C33,3)&amp;") "&amp;MID(C33,4,3)&amp;"-"&amp;RIGHT(C33,4),"Check"))</f>
        <v/>
      </c>
    </row>
    <row r="34">
      <c r="A34" s="3" t="n"/>
      <c r="B34" s="4">
        <f>IF(A34="","",SUBSTITUTE(SUBSTITUTE(SUBSTITUTE(SUBSTITUTE(SUBSTITUTE(SUBSTITUTE(A34," ",""),"-",""),"(",""),")",""),".",""),"+",""))</f>
        <v/>
      </c>
      <c r="C34" s="4">
        <f>IF(B34="","",IF(AND(LEN(B34)=11,LEFT(B34,1)="1"),MID(B34,2,10),B34))</f>
        <v/>
      </c>
      <c r="D34" s="5">
        <f>IF(A34="","",IF(AND(LEN(C34)=10,SUMPRODUCT(--ISNUMBER(FIND(MID(C34,{1,2,3,4,5,6,7,8,9,10},1),"0123456789")))=10),"("&amp;LEFT(C34,3)&amp;") "&amp;MID(C34,4,3)&amp;"-"&amp;RIGHT(C34,4),"Check"))</f>
        <v/>
      </c>
    </row>
    <row r="35">
      <c r="A35" s="3" t="n"/>
      <c r="B35" s="4">
        <f>IF(A35="","",SUBSTITUTE(SUBSTITUTE(SUBSTITUTE(SUBSTITUTE(SUBSTITUTE(SUBSTITUTE(A35," ",""),"-",""),"(",""),")",""),".",""),"+",""))</f>
        <v/>
      </c>
      <c r="C35" s="4">
        <f>IF(B35="","",IF(AND(LEN(B35)=11,LEFT(B35,1)="1"),MID(B35,2,10),B35))</f>
        <v/>
      </c>
      <c r="D35" s="5">
        <f>IF(A35="","",IF(AND(LEN(C35)=10,SUMPRODUCT(--ISNUMBER(FIND(MID(C35,{1,2,3,4,5,6,7,8,9,10},1),"0123456789")))=10),"("&amp;LEFT(C35,3)&amp;") "&amp;MID(C35,4,3)&amp;"-"&amp;RIGHT(C35,4),"Check"))</f>
        <v/>
      </c>
    </row>
    <row r="36">
      <c r="A36" s="3" t="n"/>
      <c r="B36" s="4">
        <f>IF(A36="","",SUBSTITUTE(SUBSTITUTE(SUBSTITUTE(SUBSTITUTE(SUBSTITUTE(SUBSTITUTE(A36," ",""),"-",""),"(",""),")",""),".",""),"+",""))</f>
        <v/>
      </c>
      <c r="C36" s="4">
        <f>IF(B36="","",IF(AND(LEN(B36)=11,LEFT(B36,1)="1"),MID(B36,2,10),B36))</f>
        <v/>
      </c>
      <c r="D36" s="5">
        <f>IF(A36="","",IF(AND(LEN(C36)=10,SUMPRODUCT(--ISNUMBER(FIND(MID(C36,{1,2,3,4,5,6,7,8,9,10},1),"0123456789")))=10),"("&amp;LEFT(C36,3)&amp;") "&amp;MID(C36,4,3)&amp;"-"&amp;RIGHT(C36,4),"Check"))</f>
        <v/>
      </c>
    </row>
    <row r="37">
      <c r="A37" s="3" t="n"/>
      <c r="B37" s="4">
        <f>IF(A37="","",SUBSTITUTE(SUBSTITUTE(SUBSTITUTE(SUBSTITUTE(SUBSTITUTE(SUBSTITUTE(A37," ",""),"-",""),"(",""),")",""),".",""),"+",""))</f>
        <v/>
      </c>
      <c r="C37" s="4">
        <f>IF(B37="","",IF(AND(LEN(B37)=11,LEFT(B37,1)="1"),MID(B37,2,10),B37))</f>
        <v/>
      </c>
      <c r="D37" s="5">
        <f>IF(A37="","",IF(AND(LEN(C37)=10,SUMPRODUCT(--ISNUMBER(FIND(MID(C37,{1,2,3,4,5,6,7,8,9,10},1),"0123456789")))=10),"("&amp;LEFT(C37,3)&amp;") "&amp;MID(C37,4,3)&amp;"-"&amp;RIGHT(C37,4),"Check"))</f>
        <v/>
      </c>
    </row>
    <row r="38">
      <c r="A38" s="3" t="n"/>
      <c r="B38" s="4">
        <f>IF(A38="","",SUBSTITUTE(SUBSTITUTE(SUBSTITUTE(SUBSTITUTE(SUBSTITUTE(SUBSTITUTE(A38," ",""),"-",""),"(",""),")",""),".",""),"+",""))</f>
        <v/>
      </c>
      <c r="C38" s="4">
        <f>IF(B38="","",IF(AND(LEN(B38)=11,LEFT(B38,1)="1"),MID(B38,2,10),B38))</f>
        <v/>
      </c>
      <c r="D38" s="5">
        <f>IF(A38="","",IF(AND(LEN(C38)=10,SUMPRODUCT(--ISNUMBER(FIND(MID(C38,{1,2,3,4,5,6,7,8,9,10},1),"0123456789")))=10),"("&amp;LEFT(C38,3)&amp;") "&amp;MID(C38,4,3)&amp;"-"&amp;RIGHT(C38,4),"Check"))</f>
        <v/>
      </c>
    </row>
    <row r="39">
      <c r="A39" s="3" t="n"/>
      <c r="B39" s="4">
        <f>IF(A39="","",SUBSTITUTE(SUBSTITUTE(SUBSTITUTE(SUBSTITUTE(SUBSTITUTE(SUBSTITUTE(A39," ",""),"-",""),"(",""),")",""),".",""),"+",""))</f>
        <v/>
      </c>
      <c r="C39" s="4">
        <f>IF(B39="","",IF(AND(LEN(B39)=11,LEFT(B39,1)="1"),MID(B39,2,10),B39))</f>
        <v/>
      </c>
      <c r="D39" s="5">
        <f>IF(A39="","",IF(AND(LEN(C39)=10,SUMPRODUCT(--ISNUMBER(FIND(MID(C39,{1,2,3,4,5,6,7,8,9,10},1),"0123456789")))=10),"("&amp;LEFT(C39,3)&amp;") "&amp;MID(C39,4,3)&amp;"-"&amp;RIGHT(C39,4),"Check"))</f>
        <v/>
      </c>
    </row>
    <row r="40">
      <c r="A40" s="3" t="n"/>
      <c r="B40" s="4">
        <f>IF(A40="","",SUBSTITUTE(SUBSTITUTE(SUBSTITUTE(SUBSTITUTE(SUBSTITUTE(SUBSTITUTE(A40," ",""),"-",""),"(",""),")",""),".",""),"+",""))</f>
        <v/>
      </c>
      <c r="C40" s="4">
        <f>IF(B40="","",IF(AND(LEN(B40)=11,LEFT(B40,1)="1"),MID(B40,2,10),B40))</f>
        <v/>
      </c>
      <c r="D40" s="5">
        <f>IF(A40="","",IF(AND(LEN(C40)=10,SUMPRODUCT(--ISNUMBER(FIND(MID(C40,{1,2,3,4,5,6,7,8,9,10},1),"0123456789")))=10),"("&amp;LEFT(C40,3)&amp;") "&amp;MID(C40,4,3)&amp;"-"&amp;RIGHT(C40,4),"Check"))</f>
        <v/>
      </c>
    </row>
  </sheetData>
  <conditionalFormatting sqref="D2:D40">
    <cfRule type="expression" priority="1" dxfId="0">
      <formula>D2="Check"</formula>
    </cfRule>
  </conditionalFormatting>
  <conditionalFormatting sqref="G5">
    <cfRule type="expression" priority="2" dxfId="0">
      <formula>G5="CHECK"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Format Phone Numbers as (555) 123-4567</t>
        </is>
      </c>
    </row>
    <row r="2">
      <c r="A2" s="9" t="inlineStr"/>
    </row>
    <row r="3">
      <c r="A3" s="9" t="inlineStr">
        <is>
          <t>1. Phones tab: paste or type the phone numbers in A (yellow). Rows 2 to 40 have formulas ready. Columns A to C are formatted as text so a leading zero is kept.</t>
        </is>
      </c>
    </row>
    <row r="4">
      <c r="A4" s="9" t="inlineStr">
        <is>
          <t>2. B2 strips the spaces, hyphens, parentheses, dots and plus signs with nested SUBSTITUTE: =SUBSTITUTE(SUBSTITUTE(...(A2," ",""),"-",""),...).</t>
        </is>
      </c>
    </row>
    <row r="5">
      <c r="A5" s="9" t="inlineStr">
        <is>
          <t>3. C2: =IF(AND(LEN(B2)=11,LEFT(B2,1)="1"),MID(B2,2,10),B2) drops a leading 1 (the US country code) from an 11 digit number.</t>
        </is>
      </c>
    </row>
    <row r="6">
      <c r="A6" s="9" t="inlineStr">
        <is>
          <t>4. D2 rebuilds a 10 digit number as (555) 123-4567 with LEFT, MID and RIGHT. Anything else shows Check: too few or too many digits, letters, or an extension such as x12.</t>
        </is>
      </c>
    </row>
    <row r="7">
      <c r="A7" s="9" t="inlineStr">
        <is>
          <t>5. G2 to G4 count the rows with an entry, the formatted rows and the Check rows. G5 shows OK when formatted plus Check equals the rows with an entry.</t>
        </is>
      </c>
    </row>
    <row r="8">
      <c r="A8" s="9" t="inlineStr">
        <is>
          <t>6. Copy D and use Paste values only when you need the text without formulas, for example before importing contacts or printing labels.</t>
        </is>
      </c>
    </row>
    <row r="9">
      <c r="A9" s="9" t="inlineStr">
        <is>
          <t>7. This only fixes the format. It does not check that a number really exists or can be called. Extensions and numbers from other countries are left as Check.</t>
        </is>
      </c>
    </row>
    <row r="10">
      <c r="A10" s="9" t="inlineStr"/>
    </row>
    <row r="11">
      <c r="A11" s="9" t="inlineStr">
        <is>
          <t>Phone numbers are fictional (555-01xx style). Checked in LibreOffice Calc only; not opened in Excel or Google Sheets.</t>
        </is>
      </c>
    </row>
    <row r="12">
      <c r="A12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2026-10-16T07:33:09Z</dcterms:created>
  <dcterms:modified xmlns:dcterms="http://purl.org/dc/terms/" xmlns:xsi="http://www.w3.org/2001/XMLSchema-instance" xsi:type="dcterms:W3CDTF">2026-10-16T07:33:09Z</dcterms:modified>
</cp:coreProperties>
</file>