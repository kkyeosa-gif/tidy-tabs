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'Orders'!$1:$1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4" customWidth="1" min="6" max="6"/>
    <col width="34" customWidth="1" min="7" max="7"/>
    <col width="12" customWidth="1" min="9" max="9"/>
  </cols>
  <sheetData>
    <row r="1" ht="30" customHeight="1">
      <c r="A1" s="1" t="inlineStr">
        <is>
          <t>Order</t>
        </is>
      </c>
      <c r="B1" s="1" t="inlineStr">
        <is>
          <t>Subtotal</t>
        </is>
      </c>
      <c r="C1" s="1" t="inlineStr">
        <is>
          <t>Delivery</t>
        </is>
      </c>
      <c r="D1" s="1" t="inlineStr">
        <is>
          <t>Status</t>
        </is>
      </c>
      <c r="E1" s="1" t="inlineStr">
        <is>
          <t>Amount to add</t>
        </is>
      </c>
      <c r="G1" s="2" t="inlineStr">
        <is>
          <t>Settings and results</t>
        </is>
      </c>
    </row>
    <row r="2">
      <c r="A2" s="3" t="inlineStr">
        <is>
          <t>ORD-5001</t>
        </is>
      </c>
      <c r="B2" s="4" t="n">
        <v>32.5</v>
      </c>
      <c r="C2" s="3" t="inlineStr">
        <is>
          <t>Ship</t>
        </is>
      </c>
      <c r="D2" s="5">
        <f>IF(OR(NOT(ISNUMBER(B2)),C2=""),"",IF(C2="Pickup","Pickup",IF(AND(C2="Ship",B2&gt;=$I$2),"Free","Pay")))</f>
        <v/>
      </c>
      <c r="E2" s="6">
        <f>IF(OR(D2="Pay",D2="Free"),MAX(0,ROUND($I$2-B2,2)),"")</f>
        <v/>
      </c>
      <c r="G2" t="inlineStr">
        <is>
          <t>Free shipping at or above</t>
        </is>
      </c>
      <c r="I2" s="4" t="n">
        <v>50</v>
      </c>
    </row>
    <row r="3">
      <c r="A3" s="3" t="inlineStr">
        <is>
          <t>ORD-5002</t>
        </is>
      </c>
      <c r="B3" s="4" t="n">
        <v>50</v>
      </c>
      <c r="C3" s="3" t="inlineStr">
        <is>
          <t>Ship</t>
        </is>
      </c>
      <c r="D3" s="5">
        <f>IF(OR(NOT(ISNUMBER(B3)),C3=""),"",IF(C3="Pickup","Pickup",IF(AND(C3="Ship",B3&gt;=$I$2),"Free","Pay")))</f>
        <v/>
      </c>
      <c r="E3" s="6">
        <f>IF(OR(D3="Pay",D3="Free"),MAX(0,ROUND($I$2-B3,2)),"")</f>
        <v/>
      </c>
      <c r="G3" t="inlineStr">
        <is>
          <t>Close = within this much</t>
        </is>
      </c>
      <c r="I3" s="4" t="n">
        <v>10</v>
      </c>
    </row>
    <row r="4">
      <c r="A4" s="3" t="inlineStr">
        <is>
          <t>ORD-5003</t>
        </is>
      </c>
      <c r="B4" s="4" t="n">
        <v>49.99</v>
      </c>
      <c r="C4" s="3" t="inlineStr">
        <is>
          <t>Ship</t>
        </is>
      </c>
      <c r="D4" s="5">
        <f>IF(OR(NOT(ISNUMBER(B4)),C4=""),"",IF(C4="Pickup","Pickup",IF(AND(C4="Ship",B4&gt;=$I$2),"Free","Pay")))</f>
        <v/>
      </c>
      <c r="E4" s="6">
        <f>IF(OR(D4="Pay",D4="Free"),MAX(0,ROUND($I$2-B4,2)),"")</f>
        <v/>
      </c>
      <c r="G4" t="inlineStr">
        <is>
          <t>Orders that qualify (Free)</t>
        </is>
      </c>
      <c r="I4" s="7">
        <f>COUNTIF(D2:D31,"Free")</f>
        <v/>
      </c>
    </row>
    <row r="5">
      <c r="A5" s="3" t="inlineStr">
        <is>
          <t>ORD-5004</t>
        </is>
      </c>
      <c r="B5" s="4" t="n">
        <v>78.25</v>
      </c>
      <c r="C5" s="3" t="inlineStr">
        <is>
          <t>Ship</t>
        </is>
      </c>
      <c r="D5" s="5">
        <f>IF(OR(NOT(ISNUMBER(B5)),C5=""),"",IF(C5="Pickup","Pickup",IF(AND(C5="Ship",B5&gt;=$I$2),"Free","Pay")))</f>
        <v/>
      </c>
      <c r="E5" s="6">
        <f>IF(OR(D5="Pay",D5="Free"),MAX(0,ROUND($I$2-B5,2)),"")</f>
        <v/>
      </c>
      <c r="G5" t="inlineStr">
        <is>
          <t>Orders that pay shipping</t>
        </is>
      </c>
      <c r="I5" s="7">
        <f>COUNTIF(D2:D31,"Pay")</f>
        <v/>
      </c>
    </row>
    <row r="6">
      <c r="A6" s="3" t="inlineStr">
        <is>
          <t>ORD-5005</t>
        </is>
      </c>
      <c r="B6" s="4" t="n">
        <v>24</v>
      </c>
      <c r="C6" s="3" t="inlineStr">
        <is>
          <t>Pickup</t>
        </is>
      </c>
      <c r="D6" s="5">
        <f>IF(OR(NOT(ISNUMBER(B6)),C6=""),"",IF(C6="Pickup","Pickup",IF(AND(C6="Ship",B6&gt;=$I$2),"Free","Pay")))</f>
        <v/>
      </c>
      <c r="E6" s="6">
        <f>IF(OR(D6="Pay",D6="Free"),MAX(0,ROUND($I$2-B6,2)),"")</f>
        <v/>
      </c>
      <c r="G6" t="inlineStr">
        <is>
          <t>Pay orders within the close gap</t>
        </is>
      </c>
      <c r="I6" s="7">
        <f>COUNTIFS(D2:D31,"Pay",E2:E31,"&lt;="&amp;I3)</f>
        <v/>
      </c>
    </row>
    <row r="7">
      <c r="A7" s="3" t="inlineStr">
        <is>
          <t>ORD-5006</t>
        </is>
      </c>
      <c r="B7" s="4" t="n">
        <v>45</v>
      </c>
      <c r="C7" s="3" t="inlineStr">
        <is>
          <t>Ship</t>
        </is>
      </c>
      <c r="D7" s="5">
        <f>IF(OR(NOT(ISNUMBER(B7)),C7=""),"",IF(C7="Pickup","Pickup",IF(AND(C7="Ship",B7&gt;=$I$2),"Free","Pay")))</f>
        <v/>
      </c>
      <c r="E7" s="6">
        <f>IF(OR(D7="Pay",D7="Free"),MAX(0,ROUND($I$2-B7,2)),"")</f>
        <v/>
      </c>
      <c r="G7" t="inlineStr">
        <is>
          <t>Pickup orders</t>
        </is>
      </c>
      <c r="I7" s="7">
        <f>COUNTIF(D2:D31,"Pickup")</f>
        <v/>
      </c>
    </row>
    <row r="8">
      <c r="A8" s="3" t="inlineStr">
        <is>
          <t>ORD-5007</t>
        </is>
      </c>
      <c r="B8" s="4" t="n">
        <v>112.4</v>
      </c>
      <c r="C8" s="3" t="inlineStr">
        <is>
          <t>Ship</t>
        </is>
      </c>
      <c r="D8" s="5">
        <f>IF(OR(NOT(ISNUMBER(B8)),C8=""),"",IF(C8="Pickup","Pickup",IF(AND(C8="Ship",B8&gt;=$I$2),"Free","Pay")))</f>
        <v/>
      </c>
      <c r="E8" s="6">
        <f>IF(OR(D8="Pay",D8="Free"),MAX(0,ROUND($I$2-B8,2)),"")</f>
        <v/>
      </c>
      <c r="G8" t="inlineStr">
        <is>
          <t>Check: all rows counted</t>
        </is>
      </c>
      <c r="I8" s="8">
        <f>IF(I4+I5+I7=COUNTA(A2:A31),"OK","CHECK")</f>
        <v/>
      </c>
    </row>
    <row r="9">
      <c r="A9" s="3" t="inlineStr">
        <is>
          <t>ORD-5008</t>
        </is>
      </c>
      <c r="B9" s="4" t="n">
        <v>18.75</v>
      </c>
      <c r="C9" s="3" t="inlineStr">
        <is>
          <t>Ship</t>
        </is>
      </c>
      <c r="D9" s="5">
        <f>IF(OR(NOT(ISNUMBER(B9)),C9=""),"",IF(C9="Pickup","Pickup",IF(AND(C9="Ship",B9&gt;=$I$2),"Free","Pay")))</f>
        <v/>
      </c>
      <c r="E9" s="6">
        <f>IF(OR(D9="Pay",D9="Free"),MAX(0,ROUND($I$2-B9,2)),"")</f>
        <v/>
      </c>
    </row>
    <row r="10">
      <c r="A10" s="3" t="inlineStr">
        <is>
          <t>ORD-5009</t>
        </is>
      </c>
      <c r="B10" s="4" t="n">
        <v>61</v>
      </c>
      <c r="C10" s="3" t="inlineStr">
        <is>
          <t>Pickup</t>
        </is>
      </c>
      <c r="D10" s="5">
        <f>IF(OR(NOT(ISNUMBER(B10)),C10=""),"",IF(C10="Pickup","Pickup",IF(AND(C10="Ship",B10&gt;=$I$2),"Free","Pay")))</f>
        <v/>
      </c>
      <c r="E10" s="6">
        <f>IF(OR(D10="Pay",D10="Free"),MAX(0,ROUND($I$2-B10,2)),"")</f>
        <v/>
      </c>
    </row>
    <row r="11">
      <c r="A11" s="3" t="inlineStr">
        <is>
          <t>ORD-5010</t>
        </is>
      </c>
      <c r="B11" s="4" t="n">
        <v>41.5</v>
      </c>
      <c r="C11" s="3" t="inlineStr">
        <is>
          <t>Ship</t>
        </is>
      </c>
      <c r="D11" s="5">
        <f>IF(OR(NOT(ISNUMBER(B11)),C11=""),"",IF(C11="Pickup","Pickup",IF(AND(C11="Ship",B11&gt;=$I$2),"Free","Pay")))</f>
        <v/>
      </c>
      <c r="E11" s="6">
        <f>IF(OR(D11="Pay",D11="Free"),MAX(0,ROUND($I$2-B11,2)),"")</f>
        <v/>
      </c>
    </row>
    <row r="12">
      <c r="A12" s="3" t="n"/>
      <c r="B12" s="4" t="n"/>
      <c r="C12" s="3" t="n"/>
      <c r="D12" s="5">
        <f>IF(OR(NOT(ISNUMBER(B12)),C12=""),"",IF(C12="Pickup","Pickup",IF(AND(C12="Ship",B12&gt;=$I$2),"Free","Pay")))</f>
        <v/>
      </c>
      <c r="E12" s="6">
        <f>IF(OR(D12="Pay",D12="Free"),MAX(0,ROUND($I$2-B12,2)),"")</f>
        <v/>
      </c>
    </row>
    <row r="13">
      <c r="A13" s="3" t="n"/>
      <c r="B13" s="4" t="n"/>
      <c r="C13" s="3" t="n"/>
      <c r="D13" s="5">
        <f>IF(OR(NOT(ISNUMBER(B13)),C13=""),"",IF(C13="Pickup","Pickup",IF(AND(C13="Ship",B13&gt;=$I$2),"Free","Pay")))</f>
        <v/>
      </c>
      <c r="E13" s="6">
        <f>IF(OR(D13="Pay",D13="Free"),MAX(0,ROUND($I$2-B13,2)),"")</f>
        <v/>
      </c>
    </row>
    <row r="14">
      <c r="A14" s="3" t="n"/>
      <c r="B14" s="4" t="n"/>
      <c r="C14" s="3" t="n"/>
      <c r="D14" s="5">
        <f>IF(OR(NOT(ISNUMBER(B14)),C14=""),"",IF(C14="Pickup","Pickup",IF(AND(C14="Ship",B14&gt;=$I$2),"Free","Pay")))</f>
        <v/>
      </c>
      <c r="E14" s="6">
        <f>IF(OR(D14="Pay",D14="Free"),MAX(0,ROUND($I$2-B14,2)),"")</f>
        <v/>
      </c>
    </row>
    <row r="15">
      <c r="A15" s="3" t="n"/>
      <c r="B15" s="4" t="n"/>
      <c r="C15" s="3" t="n"/>
      <c r="D15" s="5">
        <f>IF(OR(NOT(ISNUMBER(B15)),C15=""),"",IF(C15="Pickup","Pickup",IF(AND(C15="Ship",B15&gt;=$I$2),"Free","Pay")))</f>
        <v/>
      </c>
      <c r="E15" s="6">
        <f>IF(OR(D15="Pay",D15="Free"),MAX(0,ROUND($I$2-B15,2)),"")</f>
        <v/>
      </c>
    </row>
    <row r="16">
      <c r="A16" s="3" t="n"/>
      <c r="B16" s="4" t="n"/>
      <c r="C16" s="3" t="n"/>
      <c r="D16" s="5">
        <f>IF(OR(NOT(ISNUMBER(B16)),C16=""),"",IF(C16="Pickup","Pickup",IF(AND(C16="Ship",B16&gt;=$I$2),"Free","Pay")))</f>
        <v/>
      </c>
      <c r="E16" s="6">
        <f>IF(OR(D16="Pay",D16="Free"),MAX(0,ROUND($I$2-B16,2)),"")</f>
        <v/>
      </c>
    </row>
    <row r="17">
      <c r="A17" s="3" t="n"/>
      <c r="B17" s="4" t="n"/>
      <c r="C17" s="3" t="n"/>
      <c r="D17" s="5">
        <f>IF(OR(NOT(ISNUMBER(B17)),C17=""),"",IF(C17="Pickup","Pickup",IF(AND(C17="Ship",B17&gt;=$I$2),"Free","Pay")))</f>
        <v/>
      </c>
      <c r="E17" s="6">
        <f>IF(OR(D17="Pay",D17="Free"),MAX(0,ROUND($I$2-B17,2)),"")</f>
        <v/>
      </c>
    </row>
    <row r="18">
      <c r="A18" s="3" t="n"/>
      <c r="B18" s="4" t="n"/>
      <c r="C18" s="3" t="n"/>
      <c r="D18" s="5">
        <f>IF(OR(NOT(ISNUMBER(B18)),C18=""),"",IF(C18="Pickup","Pickup",IF(AND(C18="Ship",B18&gt;=$I$2),"Free","Pay")))</f>
        <v/>
      </c>
      <c r="E18" s="6">
        <f>IF(OR(D18="Pay",D18="Free"),MAX(0,ROUND($I$2-B18,2)),"")</f>
        <v/>
      </c>
    </row>
    <row r="19">
      <c r="A19" s="3" t="n"/>
      <c r="B19" s="4" t="n"/>
      <c r="C19" s="3" t="n"/>
      <c r="D19" s="5">
        <f>IF(OR(NOT(ISNUMBER(B19)),C19=""),"",IF(C19="Pickup","Pickup",IF(AND(C19="Ship",B19&gt;=$I$2),"Free","Pay")))</f>
        <v/>
      </c>
      <c r="E19" s="6">
        <f>IF(OR(D19="Pay",D19="Free"),MAX(0,ROUND($I$2-B19,2)),"")</f>
        <v/>
      </c>
    </row>
    <row r="20">
      <c r="A20" s="3" t="n"/>
      <c r="B20" s="4" t="n"/>
      <c r="C20" s="3" t="n"/>
      <c r="D20" s="5">
        <f>IF(OR(NOT(ISNUMBER(B20)),C20=""),"",IF(C20="Pickup","Pickup",IF(AND(C20="Ship",B20&gt;=$I$2),"Free","Pay")))</f>
        <v/>
      </c>
      <c r="E20" s="6">
        <f>IF(OR(D20="Pay",D20="Free"),MAX(0,ROUND($I$2-B20,2)),"")</f>
        <v/>
      </c>
    </row>
    <row r="21">
      <c r="A21" s="3" t="n"/>
      <c r="B21" s="4" t="n"/>
      <c r="C21" s="3" t="n"/>
      <c r="D21" s="5">
        <f>IF(OR(NOT(ISNUMBER(B21)),C21=""),"",IF(C21="Pickup","Pickup",IF(AND(C21="Ship",B21&gt;=$I$2),"Free","Pay")))</f>
        <v/>
      </c>
      <c r="E21" s="6">
        <f>IF(OR(D21="Pay",D21="Free"),MAX(0,ROUND($I$2-B21,2)),"")</f>
        <v/>
      </c>
    </row>
    <row r="22">
      <c r="A22" s="3" t="n"/>
      <c r="B22" s="4" t="n"/>
      <c r="C22" s="3" t="n"/>
      <c r="D22" s="5">
        <f>IF(OR(NOT(ISNUMBER(B22)),C22=""),"",IF(C22="Pickup","Pickup",IF(AND(C22="Ship",B22&gt;=$I$2),"Free","Pay")))</f>
        <v/>
      </c>
      <c r="E22" s="6">
        <f>IF(OR(D22="Pay",D22="Free"),MAX(0,ROUND($I$2-B22,2)),"")</f>
        <v/>
      </c>
    </row>
    <row r="23">
      <c r="A23" s="3" t="n"/>
      <c r="B23" s="4" t="n"/>
      <c r="C23" s="3" t="n"/>
      <c r="D23" s="5">
        <f>IF(OR(NOT(ISNUMBER(B23)),C23=""),"",IF(C23="Pickup","Pickup",IF(AND(C23="Ship",B23&gt;=$I$2),"Free","Pay")))</f>
        <v/>
      </c>
      <c r="E23" s="6">
        <f>IF(OR(D23="Pay",D23="Free"),MAX(0,ROUND($I$2-B23,2)),"")</f>
        <v/>
      </c>
    </row>
    <row r="24">
      <c r="A24" s="3" t="n"/>
      <c r="B24" s="4" t="n"/>
      <c r="C24" s="3" t="n"/>
      <c r="D24" s="5">
        <f>IF(OR(NOT(ISNUMBER(B24)),C24=""),"",IF(C24="Pickup","Pickup",IF(AND(C24="Ship",B24&gt;=$I$2),"Free","Pay")))</f>
        <v/>
      </c>
      <c r="E24" s="6">
        <f>IF(OR(D24="Pay",D24="Free"),MAX(0,ROUND($I$2-B24,2)),"")</f>
        <v/>
      </c>
    </row>
    <row r="25">
      <c r="A25" s="3" t="n"/>
      <c r="B25" s="4" t="n"/>
      <c r="C25" s="3" t="n"/>
      <c r="D25" s="5">
        <f>IF(OR(NOT(ISNUMBER(B25)),C25=""),"",IF(C25="Pickup","Pickup",IF(AND(C25="Ship",B25&gt;=$I$2),"Free","Pay")))</f>
        <v/>
      </c>
      <c r="E25" s="6">
        <f>IF(OR(D25="Pay",D25="Free"),MAX(0,ROUND($I$2-B25,2)),"")</f>
        <v/>
      </c>
    </row>
    <row r="26">
      <c r="A26" s="3" t="n"/>
      <c r="B26" s="4" t="n"/>
      <c r="C26" s="3" t="n"/>
      <c r="D26" s="5">
        <f>IF(OR(NOT(ISNUMBER(B26)),C26=""),"",IF(C26="Pickup","Pickup",IF(AND(C26="Ship",B26&gt;=$I$2),"Free","Pay")))</f>
        <v/>
      </c>
      <c r="E26" s="6">
        <f>IF(OR(D26="Pay",D26="Free"),MAX(0,ROUND($I$2-B26,2)),"")</f>
        <v/>
      </c>
    </row>
    <row r="27">
      <c r="A27" s="3" t="n"/>
      <c r="B27" s="4" t="n"/>
      <c r="C27" s="3" t="n"/>
      <c r="D27" s="5">
        <f>IF(OR(NOT(ISNUMBER(B27)),C27=""),"",IF(C27="Pickup","Pickup",IF(AND(C27="Ship",B27&gt;=$I$2),"Free","Pay")))</f>
        <v/>
      </c>
      <c r="E27" s="6">
        <f>IF(OR(D27="Pay",D27="Free"),MAX(0,ROUND($I$2-B27,2)),"")</f>
        <v/>
      </c>
    </row>
    <row r="28">
      <c r="A28" s="3" t="n"/>
      <c r="B28" s="4" t="n"/>
      <c r="C28" s="3" t="n"/>
      <c r="D28" s="5">
        <f>IF(OR(NOT(ISNUMBER(B28)),C28=""),"",IF(C28="Pickup","Pickup",IF(AND(C28="Ship",B28&gt;=$I$2),"Free","Pay")))</f>
        <v/>
      </c>
      <c r="E28" s="6">
        <f>IF(OR(D28="Pay",D28="Free"),MAX(0,ROUND($I$2-B28,2)),"")</f>
        <v/>
      </c>
    </row>
    <row r="29">
      <c r="A29" s="3" t="n"/>
      <c r="B29" s="4" t="n"/>
      <c r="C29" s="3" t="n"/>
      <c r="D29" s="5">
        <f>IF(OR(NOT(ISNUMBER(B29)),C29=""),"",IF(C29="Pickup","Pickup",IF(AND(C29="Ship",B29&gt;=$I$2),"Free","Pay")))</f>
        <v/>
      </c>
      <c r="E29" s="6">
        <f>IF(OR(D29="Pay",D29="Free"),MAX(0,ROUND($I$2-B29,2)),"")</f>
        <v/>
      </c>
    </row>
    <row r="30">
      <c r="A30" s="3" t="n"/>
      <c r="B30" s="4" t="n"/>
      <c r="C30" s="3" t="n"/>
      <c r="D30" s="5">
        <f>IF(OR(NOT(ISNUMBER(B30)),C30=""),"",IF(C30="Pickup","Pickup",IF(AND(C30="Ship",B30&gt;=$I$2),"Free","Pay")))</f>
        <v/>
      </c>
      <c r="E30" s="6">
        <f>IF(OR(D30="Pay",D30="Free"),MAX(0,ROUND($I$2-B30,2)),"")</f>
        <v/>
      </c>
    </row>
    <row r="31">
      <c r="A31" s="3" t="n"/>
      <c r="B31" s="4" t="n"/>
      <c r="C31" s="3" t="n"/>
      <c r="D31" s="5">
        <f>IF(OR(NOT(ISNUMBER(B31)),C31=""),"",IF(C31="Pickup","Pickup",IF(AND(C31="Ship",B31&gt;=$I$2),"Free","Pay")))</f>
        <v/>
      </c>
      <c r="E31" s="6">
        <f>IF(OR(D31="Pay",D31="Free"),MAX(0,ROUND($I$2-B31,2)),"")</f>
        <v/>
      </c>
    </row>
  </sheetData>
  <conditionalFormatting sqref="D2:D31">
    <cfRule type="expression" priority="1" dxfId="0">
      <formula>D2="Free"</formula>
    </cfRule>
  </conditionalFormatting>
  <conditionalFormatting sqref="I8">
    <cfRule type="expression" priority="2" dxfId="1">
      <formula>I8="CHECK"</formula>
    </cfRule>
  </conditionalFormatting>
  <dataValidations count="1">
    <dataValidation sqref="C2:C31" showDropDown="0" showInputMessage="0" showErrorMessage="0" allowBlank="1" type="list">
      <formula1>"Ship,Pickup"</formula1>
    </dataValidation>
  </dataValidations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Tidy Tabs: Check a Free Shipping Threshold</t>
        </is>
      </c>
    </row>
    <row r="2">
      <c r="A2" s="10" t="inlineStr"/>
    </row>
    <row r="3">
      <c r="A3" s="10" t="inlineStr">
        <is>
          <t>1. Orders tab: type the order number, subtotal and delivery (Ship or Pickup) in A to C (yellow). Rows 2 to 31 have formulas ready.</t>
        </is>
      </c>
    </row>
    <row r="4">
      <c r="A4" s="10" t="inlineStr">
        <is>
          <t>2. I2 is your free shipping threshold. I3 is how close counts as close. Both are examples; type your own.</t>
        </is>
      </c>
    </row>
    <row r="5">
      <c r="A5" s="10" t="inlineStr">
        <is>
          <t>3. D2: =IF(AND(C2="Ship",B2&gt;=$I$2),"Free","Pay"), wrapped so Pickup rows show Pickup. A subtotal exactly equal to I2 qualifies (&gt;=); one cent under does not.</t>
        </is>
      </c>
    </row>
    <row r="6">
      <c r="A6" s="10" t="inlineStr">
        <is>
          <t>4. E2: =MAX(0,$I$2-B2) is how much more the customer must add to reach free shipping. It is 0 when the order already qualifies. ROUND(...,2) keeps cents exact.</t>
        </is>
      </c>
    </row>
    <row r="7">
      <c r="A7" s="10" t="inlineStr">
        <is>
          <t>5. I4 to I7 count Free, Pay, Pay orders within the close gap (the customers a nudge could convert) and Pickup rows.</t>
        </is>
      </c>
    </row>
    <row r="8">
      <c r="A8" s="10" t="inlineStr">
        <is>
          <t>6. I8 checks that Free + Pay + Pickup equals the number of order numbers listed. CHECK usually means a subtotal typed as text or a blank delivery cell.</t>
        </is>
      </c>
    </row>
    <row r="9">
      <c r="A9" s="10" t="inlineStr">
        <is>
          <t>7. A subtotal typed as text (usually left-aligned) or a blank subtotal gets no status.</t>
        </is>
      </c>
    </row>
    <row r="10">
      <c r="A10" s="10" t="inlineStr">
        <is>
          <t>8. Your own threshold only. It does not know carrier rates or marketplace rules.</t>
        </is>
      </c>
    </row>
    <row r="11">
      <c r="A11" s="10" t="inlineStr"/>
    </row>
    <row r="12">
      <c r="A12" s="10" t="inlineStr">
        <is>
          <t>Orders and amounts are fictional. Checked in LibreOffice Calc only; not opened in Excel or Google Sheets.</t>
        </is>
      </c>
    </row>
    <row r="13">
      <c r="A13" s="10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2026-10-15T07:28:37Z</dcterms:created>
  <dcterms:modified xmlns:dcterms="http://purl.org/dc/terms/" xmlns:xsi="http://www.w3.org/2001/XMLSchema-instance" xsi:type="dcterms:W3CDTF">2026-10-15T07:28:37Z</dcterms:modified>
</cp:coreProperties>
</file>