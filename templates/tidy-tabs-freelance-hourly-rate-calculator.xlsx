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rate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/>
      <c r="B1" s="1" t="inlineStr">
        <is>
          <t>Your numbers</t>
        </is>
      </c>
      <c r="C1" s="1" t="inlineStr">
        <is>
          <t>What if 1: higher goal</t>
        </is>
      </c>
      <c r="D1" s="1" t="inlineStr">
        <is>
          <t>What if 2: more time off</t>
        </is>
      </c>
      <c r="E1" s="1" t="inlineStr">
        <is>
          <t>What if 3: more billable</t>
        </is>
      </c>
    </row>
    <row r="2">
      <c r="A2" t="inlineStr">
        <is>
          <t>Yearly income goal</t>
        </is>
      </c>
      <c r="B2" s="2" t="n">
        <v>60000</v>
      </c>
      <c r="C2" s="2" t="n">
        <v>75000</v>
      </c>
      <c r="D2" s="2" t="n">
        <v>60000</v>
      </c>
      <c r="E2" s="2" t="n">
        <v>60000</v>
      </c>
    </row>
    <row r="3">
      <c r="A3" t="inlineStr">
        <is>
          <t>Yearly overhead (software, supplies)</t>
        </is>
      </c>
      <c r="B3" s="2" t="n">
        <v>6000</v>
      </c>
      <c r="C3" s="2" t="n">
        <v>6000</v>
      </c>
      <c r="D3" s="2" t="n">
        <v>6000</v>
      </c>
      <c r="E3" s="2" t="n">
        <v>6000</v>
      </c>
    </row>
    <row r="4">
      <c r="A4" t="inlineStr">
        <is>
          <t>Weeks off per year</t>
        </is>
      </c>
      <c r="B4" s="3" t="n">
        <v>4</v>
      </c>
      <c r="C4" s="3" t="n">
        <v>4</v>
      </c>
      <c r="D4" s="3" t="n">
        <v>6</v>
      </c>
      <c r="E4" s="3" t="n">
        <v>4</v>
      </c>
    </row>
    <row r="5">
      <c r="A5" t="inlineStr">
        <is>
          <t>Hours per week you work</t>
        </is>
      </c>
      <c r="B5" s="3" t="n">
        <v>30</v>
      </c>
      <c r="C5" s="3" t="n">
        <v>30</v>
      </c>
      <c r="D5" s="3" t="n">
        <v>30</v>
      </c>
      <c r="E5" s="3" t="n">
        <v>30</v>
      </c>
    </row>
    <row r="6">
      <c r="A6" t="inlineStr">
        <is>
          <t>Share of those hours you bill</t>
        </is>
      </c>
      <c r="B6" s="4" t="n">
        <v>0.65</v>
      </c>
      <c r="C6" s="4" t="n">
        <v>0.65</v>
      </c>
      <c r="D6" s="4" t="n">
        <v>0.65</v>
      </c>
      <c r="E6" s="4" t="n">
        <v>0.75</v>
      </c>
    </row>
    <row r="7">
      <c r="A7" t="inlineStr">
        <is>
          <t>Weeks worked</t>
        </is>
      </c>
      <c r="B7" s="5">
        <f>52-B4</f>
        <v/>
      </c>
      <c r="C7" s="5">
        <f>52-C4</f>
        <v/>
      </c>
      <c r="D7" s="5">
        <f>52-D4</f>
        <v/>
      </c>
      <c r="E7" s="5">
        <f>52-E4</f>
        <v/>
      </c>
    </row>
    <row r="8">
      <c r="A8" t="inlineStr">
        <is>
          <t>Hours worked per year</t>
        </is>
      </c>
      <c r="B8" s="6">
        <f>B7*B5</f>
        <v/>
      </c>
      <c r="C8" s="6">
        <f>C7*C5</f>
        <v/>
      </c>
      <c r="D8" s="6">
        <f>D7*D5</f>
        <v/>
      </c>
      <c r="E8" s="6">
        <f>E7*E5</f>
        <v/>
      </c>
    </row>
    <row r="9">
      <c r="A9" t="inlineStr">
        <is>
          <t>Billable hours per year</t>
        </is>
      </c>
      <c r="B9" s="6">
        <f>B8*B6</f>
        <v/>
      </c>
      <c r="C9" s="6">
        <f>C8*C6</f>
        <v/>
      </c>
      <c r="D9" s="6">
        <f>D8*D6</f>
        <v/>
      </c>
      <c r="E9" s="6">
        <f>E8*E6</f>
        <v/>
      </c>
    </row>
    <row r="10">
      <c r="A10" t="inlineStr">
        <is>
          <t>Money you need to bring in</t>
        </is>
      </c>
      <c r="B10" s="7">
        <f>B2+B3</f>
        <v/>
      </c>
      <c r="C10" s="7">
        <f>C2+C3</f>
        <v/>
      </c>
      <c r="D10" s="7">
        <f>D2+D3</f>
        <v/>
      </c>
      <c r="E10" s="7">
        <f>E2+E3</f>
        <v/>
      </c>
    </row>
    <row r="11">
      <c r="A11" s="8" t="inlineStr">
        <is>
          <t>Hourly rate</t>
        </is>
      </c>
      <c r="B11" s="9">
        <f>B10/B9</f>
        <v/>
      </c>
      <c r="C11" s="9">
        <f>C10/C9</f>
        <v/>
      </c>
      <c r="D11" s="9">
        <f>D10/D9</f>
        <v/>
      </c>
      <c r="E11" s="9">
        <f>E10/E9</f>
        <v/>
      </c>
    </row>
    <row r="12">
      <c r="A12" t="inlineStr">
        <is>
          <t>Rate rounded up to a whole dollar</t>
        </is>
      </c>
      <c r="B12" s="7">
        <f>ROUNDUP(B11,0)</f>
        <v/>
      </c>
      <c r="C12" s="7">
        <f>ROUNDUP(C11,0)</f>
        <v/>
      </c>
      <c r="D12" s="7">
        <f>ROUNDUP(D11,0)</f>
        <v/>
      </c>
      <c r="E12" s="7">
        <f>ROUNDUP(E11,0)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Freelance Hourly Rate Calculator</t>
        </is>
      </c>
    </row>
    <row r="2">
      <c r="A2" t="inlineStr"/>
    </row>
    <row r="3">
      <c r="A3" t="inlineStr">
        <is>
          <t>1. Type your numbers in column B, rows 2 to 6. Columns C to E are what-if copies: change any input there and the rate below it updates.</t>
        </is>
      </c>
    </row>
    <row r="4">
      <c r="A4" t="inlineStr">
        <is>
          <t>2. Weeks worked = 52 - weeks off. Hours worked = weeks worked x hours per week. Billable hours = hours worked x billable share.</t>
        </is>
      </c>
    </row>
    <row r="5">
      <c r="A5" t="inlineStr">
        <is>
          <t>3. Money you need = income goal + overhead. Hourly rate = money you need / billable hours.</t>
        </is>
      </c>
    </row>
    <row r="6">
      <c r="A6" t="inlineStr">
        <is>
          <t>4. Example: (52-4) x 30 x 65% = 936 billable hours. ($60,000.00 + $6,000.00) / 936 = $70.51 an hour.</t>
        </is>
      </c>
    </row>
    <row r="7">
      <c r="A7" t="inlineStr">
        <is>
          <t>5. Billable share is the part of your work week you can actually charge for. Time spent finding clients, invoicing and emailing is not billable.</t>
        </is>
      </c>
    </row>
    <row r="8">
      <c r="A8" t="inlineStr"/>
    </row>
    <row r="9">
      <c r="A9" t="inlineStr">
        <is>
          <t>Illustration only. This does not cover taxes, self-employment costs, or benefits; ask an accountant about those. All numbers are made up.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2026-10-06T07:27:00Z</dcterms:created>
  <dcterms:modified xmlns:dcterms="http://purl.org/dc/terms/" xmlns:xsi="http://www.w3.org/2001/XMLSchema-instance" xsi:type="dcterms:W3CDTF">2026-10-06T07:27:00Z</dcterms:modified>
</cp:coreProperties>
</file>