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ummary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3" customWidth="1" min="5" max="5"/>
    <col width="10" customWidth="1" min="6" max="6"/>
    <col width="8" customWidth="1" min="7" max="7"/>
    <col width="9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</cols>
  <sheetData>
    <row r="1" ht="30" customHeight="1">
      <c r="A1" s="1" t="inlineStr">
        <is>
          <t>Client</t>
        </is>
      </c>
      <c r="B1" s="1" t="inlineStr">
        <is>
          <t>Project</t>
        </is>
      </c>
      <c r="C1" s="1" t="inlineStr">
        <is>
          <t>Start date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Billing</t>
        </is>
      </c>
      <c r="G1" s="1" t="inlineStr">
        <is>
          <t>Hours</t>
        </is>
      </c>
      <c r="H1" s="1" t="inlineStr">
        <is>
          <t>Rate</t>
        </is>
      </c>
      <c r="I1" s="1" t="inlineStr">
        <is>
          <t>Flat fee</t>
        </is>
      </c>
      <c r="J1" s="1" t="inlineStr">
        <is>
          <t>Amount</t>
        </is>
      </c>
      <c r="K1" s="1" t="inlineStr">
        <is>
          <t>Invoice sent</t>
        </is>
      </c>
      <c r="L1" s="1" t="inlineStr">
        <is>
          <t>Paid on</t>
        </is>
      </c>
      <c r="M1" s="1" t="inlineStr">
        <is>
          <t>Days left</t>
        </is>
      </c>
      <c r="N1" s="1" t="inlineStr">
        <is>
          <t>Payment</t>
        </is>
      </c>
    </row>
    <row r="2">
      <c r="A2" t="inlineStr">
        <is>
          <t>Harbor Dental</t>
        </is>
      </c>
      <c r="B2" t="inlineStr">
        <is>
          <t>Spring newsletter design</t>
        </is>
      </c>
      <c r="C2" s="2" t="n">
        <v>46267</v>
      </c>
      <c r="D2" s="2" t="n">
        <v>46284</v>
      </c>
      <c r="E2" t="inlineStr">
        <is>
          <t>Done</t>
        </is>
      </c>
      <c r="F2" t="inlineStr">
        <is>
          <t>Flat</t>
        </is>
      </c>
      <c r="H2" s="3" t="n"/>
      <c r="I2" s="3" t="n">
        <v>650</v>
      </c>
      <c r="J2" s="3">
        <f>IF(F2="Hourly",G2*H2,I2)</f>
        <v/>
      </c>
      <c r="K2" s="2" t="n">
        <v>46284</v>
      </c>
      <c r="L2" s="2" t="n">
        <v>46289</v>
      </c>
      <c r="M2">
        <f>IF(OR(D2="",E2="Done"),"",D2-TODAY())</f>
        <v/>
      </c>
      <c r="N2">
        <f>IF(L2&lt;&gt;"","Paid",IF(K2="","Not invoiced",IF(TODAY()-K2&gt;30,"Overdue","Waiting")))</f>
        <v/>
      </c>
    </row>
    <row r="3">
      <c r="A3" t="inlineStr">
        <is>
          <t>Pine &amp; Co. Realty</t>
        </is>
      </c>
      <c r="B3" t="inlineStr">
        <is>
          <t>Listing photo edits (batch 3)</t>
        </is>
      </c>
      <c r="C3" s="2" t="n">
        <v>46273</v>
      </c>
      <c r="D3" s="2" t="n">
        <v>46291</v>
      </c>
      <c r="E3" t="inlineStr">
        <is>
          <t>In progress</t>
        </is>
      </c>
      <c r="F3" t="inlineStr">
        <is>
          <t>Hourly</t>
        </is>
      </c>
      <c r="G3" t="n">
        <v>6.5</v>
      </c>
      <c r="H3" s="3" t="n">
        <v>55</v>
      </c>
      <c r="I3" s="3" t="n"/>
      <c r="J3" s="3">
        <f>IF(F3="Hourly",G3*H3,I3)</f>
        <v/>
      </c>
      <c r="K3" s="2" t="n"/>
      <c r="L3" s="2" t="n"/>
      <c r="M3">
        <f>IF(OR(D3="",E3="Done"),"",D3-TODAY())</f>
        <v/>
      </c>
      <c r="N3">
        <f>IF(L3&lt;&gt;"","Paid",IF(K3="","Not invoiced",IF(TODAY()-K3&gt;30,"Overdue","Waiting")))</f>
        <v/>
      </c>
    </row>
    <row r="4">
      <c r="A4" t="inlineStr">
        <is>
          <t>Lakeside Yoga</t>
        </is>
      </c>
      <c r="B4" t="inlineStr">
        <is>
          <t>Website copy refresh</t>
        </is>
      </c>
      <c r="C4" s="2" t="n">
        <v>46280</v>
      </c>
      <c r="D4" s="2" t="n">
        <v>46305</v>
      </c>
      <c r="E4" t="inlineStr">
        <is>
          <t>In progress</t>
        </is>
      </c>
      <c r="F4" t="inlineStr">
        <is>
          <t>Hourly</t>
        </is>
      </c>
      <c r="G4" t="n">
        <v>3</v>
      </c>
      <c r="H4" s="3" t="n">
        <v>60</v>
      </c>
      <c r="I4" s="3" t="n"/>
      <c r="J4" s="3">
        <f>IF(F4="Hourly",G4*H4,I4)</f>
        <v/>
      </c>
      <c r="K4" s="2" t="n"/>
      <c r="L4" s="2" t="n"/>
      <c r="M4">
        <f>IF(OR(D4="",E4="Done"),"",D4-TODAY())</f>
        <v/>
      </c>
      <c r="N4">
        <f>IF(L4&lt;&gt;"","Paid",IF(K4="","Not invoiced",IF(TODAY()-K4&gt;30,"Overdue","Waiting")))</f>
        <v/>
      </c>
    </row>
    <row r="5">
      <c r="A5" t="inlineStr">
        <is>
          <t>Main St. Gift Shop</t>
        </is>
      </c>
      <c r="B5" t="inlineStr">
        <is>
          <t>Holiday flyer</t>
        </is>
      </c>
      <c r="C5" s="2" t="n">
        <v>46287</v>
      </c>
      <c r="D5" s="2" t="n">
        <v>46298</v>
      </c>
      <c r="E5" t="inlineStr">
        <is>
          <t>Not started</t>
        </is>
      </c>
      <c r="F5" t="inlineStr">
        <is>
          <t>Flat</t>
        </is>
      </c>
      <c r="H5" s="3" t="n"/>
      <c r="I5" s="3" t="n">
        <v>300</v>
      </c>
      <c r="J5" s="3">
        <f>IF(F5="Hourly",G5*H5,I5)</f>
        <v/>
      </c>
      <c r="K5" s="2" t="n"/>
      <c r="L5" s="2" t="n"/>
      <c r="M5">
        <f>IF(OR(D5="",E5="Done"),"",D5-TODAY())</f>
        <v/>
      </c>
      <c r="N5">
        <f>IF(L5&lt;&gt;"","Paid",IF(K5="","Not invoiced",IF(TODAY()-K5&gt;30,"Overdue","Waiting")))</f>
        <v/>
      </c>
    </row>
    <row r="6">
      <c r="A6" t="inlineStr">
        <is>
          <t>Harbor Dental</t>
        </is>
      </c>
      <c r="B6" t="inlineStr">
        <is>
          <t>Social media templates</t>
        </is>
      </c>
      <c r="C6" s="2" t="n">
        <v>46252</v>
      </c>
      <c r="D6" s="2" t="n">
        <v>46270</v>
      </c>
      <c r="E6" t="inlineStr">
        <is>
          <t>Done</t>
        </is>
      </c>
      <c r="F6" t="inlineStr">
        <is>
          <t>Flat</t>
        </is>
      </c>
      <c r="H6" s="3" t="n"/>
      <c r="I6" s="3" t="n">
        <v>480</v>
      </c>
      <c r="J6" s="3">
        <f>IF(F6="Hourly",G6*H6,I6)</f>
        <v/>
      </c>
      <c r="K6" s="2" t="n">
        <v>46270</v>
      </c>
      <c r="L6" s="2" t="n"/>
      <c r="M6">
        <f>IF(OR(D6="",E6="Done"),"",D6-TODAY())</f>
        <v/>
      </c>
      <c r="N6">
        <f>IF(L6&lt;&gt;"","Paid",IF(K6="","Not invoiced",IF(TODAY()-K6&gt;30,"Overdue","Waiting")))</f>
        <v/>
      </c>
    </row>
  </sheetData>
  <conditionalFormatting sqref="A2:N200">
    <cfRule type="expression" priority="1" dxfId="0">
      <formula>$E2="Done"</formula>
    </cfRule>
  </conditionalFormatting>
  <conditionalFormatting sqref="M2:M200">
    <cfRule type="expression" priority="2" dxfId="1">
      <formula>AND(ISNUMBER($M2),$M2&lt;0)</formula>
    </cfRule>
  </conditionalFormatting>
  <conditionalFormatting sqref="N2:N200">
    <cfRule type="expression" priority="3" dxfId="1">
      <formula>$N2="Overdue"</formula>
    </cfRule>
  </conditionalFormatting>
  <dataValidations count="2">
    <dataValidation sqref="E2:E200" showDropDown="0" showInputMessage="0" showErrorMessage="0" allowBlank="1" type="list">
      <formula1>"Not started,In progress,Waiting on client,Done"</formula1>
    </dataValidation>
    <dataValidation sqref="F2:F200" showDropDown="0" showInputMessage="0" showErrorMessage="0" allowBlank="1" type="list">
      <formula1>"Hourly,Flat"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t="inlineStr">
        <is>
          <t>Open projects</t>
        </is>
      </c>
      <c r="B1">
        <f>COUNTIFS(Projects!A2:A200,"&lt;&gt;",Projects!E2:E200,"&lt;&gt;Done")</f>
        <v/>
      </c>
    </row>
    <row r="2">
      <c r="A2" t="inlineStr">
        <is>
          <t>Billed, not paid ($)</t>
        </is>
      </c>
      <c r="B2" s="3">
        <f>SUMIFS(Projects!J2:J200,Projects!K2:K200,"&lt;&gt;",Projects!L2:L200,"")</f>
        <v/>
      </c>
    </row>
    <row r="3">
      <c r="A3" t="inlineStr">
        <is>
          <t>Paid ($)</t>
        </is>
      </c>
      <c r="B3" s="3">
        <f>SUMIFS(Projects!J2:J200,Projects!L2:L200,"&lt;&gt;")</f>
        <v/>
      </c>
    </row>
    <row r="4">
      <c r="A4" t="inlineStr">
        <is>
          <t>Invoices overdue (30+ days)</t>
        </is>
      </c>
      <c r="B4">
        <f>COUNTIF(Projects!N2:N200,"Overdue")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Tidy Tabs: Freelance Project Tracker</t>
        </is>
      </c>
    </row>
    <row r="2">
      <c r="A2" t="inlineStr"/>
    </row>
    <row r="3">
      <c r="A3" t="inlineStr">
        <is>
          <t>1. One row per project. Pick Status and Billing from the dropdowns.</t>
        </is>
      </c>
    </row>
    <row r="4">
      <c r="A4" t="inlineStr">
        <is>
          <t>2. Hourly jobs: fill Hours and Rate. Flat-fee jobs: fill Flat fee. Amount picks the right one.</t>
        </is>
      </c>
    </row>
    <row r="5">
      <c r="A5" t="inlineStr">
        <is>
          <t>3. Type the date you sent the invoice in Invoice sent, and the date the money arrived in Paid on.</t>
        </is>
      </c>
    </row>
    <row r="6">
      <c r="A6" t="inlineStr">
        <is>
          <t>4. Days left counts down to the due date (negative = late) and hides itself once Status is Done.</t>
        </is>
      </c>
    </row>
    <row r="7">
      <c r="A7" t="inlineStr">
        <is>
          <t>5. Payment shows Not invoiced / Waiting / Overdue (more than 30 days after you invoiced) / Paid.</t>
        </is>
      </c>
    </row>
    <row r="8">
      <c r="A8" t="inlineStr">
        <is>
          <t>6. Days left and Payment use TODAY(), so they change every day you open the file.</t>
        </is>
      </c>
    </row>
    <row r="9">
      <c r="A9" t="inlineStr"/>
    </row>
    <row r="10">
      <c r="A10" t="inlineStr">
        <is>
          <t>Sample clients are fictional. Delete rows 2-6 on the Projects tab to start fresh.</t>
        </is>
      </c>
    </row>
    <row r="11">
      <c r="A11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2026-09-25T16:55:44Z</dcterms:created>
  <dcterms:modified xsi:type="dcterms:W3CDTF">2026-09-25T16:55:44Z</dcterms:modified>
</cp:coreProperties>
</file>