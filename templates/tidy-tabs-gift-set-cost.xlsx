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Set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'Parts'!$4:$4</definedName>
    <definedName name="_xlnm.Print_Titles" localSheetId="1">'Sets'!$4:$4</definedName>
    <definedName name="_xlnm.Print_Area" localSheetId="1">'Sets'!$A$1:$K$54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0" fontId="2" fillId="0" borderId="0" applyAlignment="1" pivotButton="0" quotePrefix="0" xfId="0">
      <alignment vertical="center" wrapText="1"/>
    </xf>
    <xf numFmtId="164" fontId="0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Fictional parts. Type each part once with its unit cost (A5:B30, yellow).</t>
        </is>
      </c>
    </row>
    <row r="4" ht="22" customHeight="1">
      <c r="A4" s="2" t="inlineStr">
        <is>
          <t>Part</t>
        </is>
      </c>
      <c r="B4" s="2" t="inlineStr">
        <is>
          <t>Unit cost</t>
        </is>
      </c>
    </row>
    <row r="5">
      <c r="A5" s="3" t="inlineStr">
        <is>
          <t>Soap bar, oatmeal</t>
        </is>
      </c>
      <c r="B5" s="4" t="n">
        <v>1.85</v>
      </c>
    </row>
    <row r="6">
      <c r="A6" s="3" t="inlineStr">
        <is>
          <t>Soy candle, 8 oz</t>
        </is>
      </c>
      <c r="B6" s="4" t="n">
        <v>4.1</v>
      </c>
    </row>
    <row r="7">
      <c r="A7" s="3" t="inlineStr">
        <is>
          <t>Enamel mug</t>
        </is>
      </c>
      <c r="B7" s="4" t="n">
        <v>3.6</v>
      </c>
    </row>
    <row r="8">
      <c r="A8" s="3" t="inlineStr">
        <is>
          <t>Tea sample tin</t>
        </is>
      </c>
      <c r="B8" s="4" t="n">
        <v>1.4</v>
      </c>
    </row>
    <row r="9">
      <c r="A9" s="3" t="inlineStr">
        <is>
          <t>Gift box</t>
        </is>
      </c>
      <c r="B9" s="4" t="n">
        <v>0.95</v>
      </c>
    </row>
    <row r="10">
      <c r="A10" s="3" t="inlineStr">
        <is>
          <t>Tissue paper sheet</t>
        </is>
      </c>
      <c r="B10" s="4" t="n">
        <v>0.18</v>
      </c>
    </row>
    <row r="11">
      <c r="A11" s="3" t="inlineStr">
        <is>
          <t>Ribbon, 1 yd</t>
        </is>
      </c>
      <c r="B11" s="4" t="n">
        <v>0.12</v>
      </c>
    </row>
    <row r="12">
      <c r="A12" s="3" t="n"/>
      <c r="B12" s="4" t="n"/>
    </row>
    <row r="13">
      <c r="A13" s="3" t="n"/>
      <c r="B13" s="4" t="n"/>
    </row>
    <row r="14">
      <c r="A14" s="3" t="n"/>
      <c r="B14" s="4" t="n"/>
    </row>
    <row r="15">
      <c r="A15" s="3" t="n"/>
      <c r="B15" s="4" t="n"/>
    </row>
    <row r="16">
      <c r="A16" s="3" t="n"/>
      <c r="B16" s="4" t="n"/>
    </row>
    <row r="17">
      <c r="A17" s="3" t="n"/>
      <c r="B17" s="4" t="n"/>
    </row>
    <row r="18">
      <c r="A18" s="3" t="n"/>
      <c r="B18" s="4" t="n"/>
    </row>
    <row r="19">
      <c r="A19" s="3" t="n"/>
      <c r="B19" s="4" t="n"/>
    </row>
    <row r="20">
      <c r="A20" s="3" t="n"/>
      <c r="B20" s="4" t="n"/>
    </row>
    <row r="21">
      <c r="A21" s="3" t="n"/>
      <c r="B21" s="4" t="n"/>
    </row>
    <row r="22">
      <c r="A22" s="3" t="n"/>
      <c r="B22" s="4" t="n"/>
    </row>
    <row r="23">
      <c r="A23" s="3" t="n"/>
      <c r="B23" s="4" t="n"/>
    </row>
    <row r="24">
      <c r="A24" s="3" t="n"/>
      <c r="B24" s="4" t="n"/>
    </row>
    <row r="25">
      <c r="A25" s="3" t="n"/>
      <c r="B25" s="4" t="n"/>
    </row>
    <row r="26">
      <c r="A26" s="3" t="n"/>
      <c r="B26" s="4" t="n"/>
    </row>
    <row r="27">
      <c r="A27" s="3" t="n"/>
      <c r="B27" s="4" t="n"/>
    </row>
    <row r="28">
      <c r="A28" s="3" t="n"/>
      <c r="B28" s="4" t="n"/>
    </row>
    <row r="29">
      <c r="A29" s="3" t="n"/>
      <c r="B29" s="4" t="n"/>
    </row>
    <row r="30">
      <c r="A30" s="3" t="n"/>
      <c r="B30" s="4" t="n"/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" customWidth="1" min="3" max="3"/>
    <col width="12" customWidth="1" min="4" max="4"/>
    <col width="3" customWidth="1" min="5" max="5"/>
    <col width="18" customWidth="1" min="6" max="6"/>
    <col width="11" customWidth="1" min="7" max="7"/>
    <col width="11" customWidth="1" min="8" max="8"/>
    <col width="10" customWidth="1" min="9" max="9"/>
    <col width="11" customWidth="1" min="10" max="10"/>
    <col width="12" customWidth="1" min="11" max="11"/>
  </cols>
  <sheetData>
    <row r="1">
      <c r="A1" s="1" t="inlineStr">
        <is>
          <t>Fictional gift sets. Lines on the left (A5:C54, yellow): set name, part, quantity. Sets on the right (F5:F10, H5:H10, yellow): name and selling price.</t>
        </is>
      </c>
    </row>
    <row r="4" ht="24" customHeight="1">
      <c r="A4" s="2" t="inlineStr">
        <is>
          <t>Set</t>
        </is>
      </c>
      <c r="B4" s="2" t="inlineStr">
        <is>
          <t>Part</t>
        </is>
      </c>
      <c r="C4" s="2" t="inlineStr">
        <is>
          <t>Qty</t>
        </is>
      </c>
      <c r="D4" s="2" t="inlineStr">
        <is>
          <t>Line cost</t>
        </is>
      </c>
      <c r="E4" s="5" t="inlineStr"/>
      <c r="F4" s="2" t="inlineStr">
        <is>
          <t>Set</t>
        </is>
      </c>
      <c r="G4" s="2" t="inlineStr">
        <is>
          <t>Cost</t>
        </is>
      </c>
      <c r="H4" s="2" t="inlineStr">
        <is>
          <t>Price</t>
        </is>
      </c>
      <c r="I4" s="2" t="inlineStr">
        <is>
          <t>Margin</t>
        </is>
      </c>
      <c r="J4" s="2" t="inlineStr">
        <is>
          <t>Profit</t>
        </is>
      </c>
      <c r="K4" s="2" t="inlineStr">
        <is>
          <t>Status</t>
        </is>
      </c>
    </row>
    <row r="5">
      <c r="A5" s="3" t="inlineStr">
        <is>
          <t>Spa Set</t>
        </is>
      </c>
      <c r="B5" s="3" t="inlineStr">
        <is>
          <t>Soap bar, oatmeal</t>
        </is>
      </c>
      <c r="C5" s="3" t="n">
        <v>2</v>
      </c>
      <c r="D5" s="6">
        <f>IF(B5="","",IF(NOT(ISNUMBER(C5)),"Check qty",IFERROR(ROUND(C5*INDEX(Parts!$B$5:$B$30,MATCH(B5,Parts!$A$5:$A$30,0)),2),"Missing part")))</f>
        <v/>
      </c>
      <c r="F5" s="3" t="inlineStr">
        <is>
          <t>Spa Set</t>
        </is>
      </c>
      <c r="G5" s="6">
        <f>IF(F5="","",SUMIF($A$5:$A$54,F5,$D$5:$D$54))</f>
        <v/>
      </c>
      <c r="H5" s="4" t="n">
        <v>24</v>
      </c>
      <c r="I5" s="7">
        <f>IF(F5="","",IF(AND(ISNUMBER(H5),H5&gt;0),(H5-G5)/H5,""))</f>
        <v/>
      </c>
      <c r="J5" s="6">
        <f>IF(F5="","",IF(ISNUMBER(H5),H5-G5,""))</f>
        <v/>
      </c>
      <c r="K5" s="8">
        <f>IF(F5="","",IF(COUNTIF($A$5:$A$54,F5)=0,"No lines",IF(COUNTIFS($A$5:$A$54,F5,$D$5:$D$54,"Missing part")+COUNTIFS($A$5:$A$54,F5,$D$5:$D$54,"Check qty")&gt;0,"Fix lines","OK")))</f>
        <v/>
      </c>
    </row>
    <row r="6">
      <c r="A6" s="3" t="inlineStr">
        <is>
          <t>Spa Set</t>
        </is>
      </c>
      <c r="B6" s="3" t="inlineStr">
        <is>
          <t>Soy candle, 8 oz</t>
        </is>
      </c>
      <c r="C6" s="3" t="n">
        <v>1</v>
      </c>
      <c r="D6" s="6">
        <f>IF(B6="","",IF(NOT(ISNUMBER(C6)),"Check qty",IFERROR(ROUND(C6*INDEX(Parts!$B$5:$B$30,MATCH(B6,Parts!$A$5:$A$30,0)),2),"Missing part")))</f>
        <v/>
      </c>
      <c r="F6" s="3" t="inlineStr">
        <is>
          <t>Cozy Mug Set</t>
        </is>
      </c>
      <c r="G6" s="6">
        <f>IF(F6="","",SUMIF($A$5:$A$54,F6,$D$5:$D$54))</f>
        <v/>
      </c>
      <c r="H6" s="4" t="n">
        <v>22</v>
      </c>
      <c r="I6" s="7">
        <f>IF(F6="","",IF(AND(ISNUMBER(H6),H6&gt;0),(H6-G6)/H6,""))</f>
        <v/>
      </c>
      <c r="J6" s="6">
        <f>IF(F6="","",IF(ISNUMBER(H6),H6-G6,""))</f>
        <v/>
      </c>
      <c r="K6" s="8">
        <f>IF(F6="","",IF(COUNTIF($A$5:$A$54,F6)=0,"No lines",IF(COUNTIFS($A$5:$A$54,F6,$D$5:$D$54,"Missing part")+COUNTIFS($A$5:$A$54,F6,$D$5:$D$54,"Check qty")&gt;0,"Fix lines","OK")))</f>
        <v/>
      </c>
    </row>
    <row r="7">
      <c r="A7" s="3" t="inlineStr">
        <is>
          <t>Spa Set</t>
        </is>
      </c>
      <c r="B7" s="3" t="inlineStr">
        <is>
          <t>Gift box</t>
        </is>
      </c>
      <c r="C7" s="3" t="n">
        <v>1</v>
      </c>
      <c r="D7" s="6">
        <f>IF(B7="","",IF(NOT(ISNUMBER(C7)),"Check qty",IFERROR(ROUND(C7*INDEX(Parts!$B$5:$B$30,MATCH(B7,Parts!$A$5:$A$30,0)),2),"Missing part")))</f>
        <v/>
      </c>
      <c r="F7" s="3" t="inlineStr">
        <is>
          <t>Candle Duo</t>
        </is>
      </c>
      <c r="G7" s="6">
        <f>IF(F7="","",SUMIF($A$5:$A$54,F7,$D$5:$D$54))</f>
        <v/>
      </c>
      <c r="H7" s="4" t="n">
        <v>20</v>
      </c>
      <c r="I7" s="7">
        <f>IF(F7="","",IF(AND(ISNUMBER(H7),H7&gt;0),(H7-G7)/H7,""))</f>
        <v/>
      </c>
      <c r="J7" s="6">
        <f>IF(F7="","",IF(ISNUMBER(H7),H7-G7,""))</f>
        <v/>
      </c>
      <c r="K7" s="8">
        <f>IF(F7="","",IF(COUNTIF($A$5:$A$54,F7)=0,"No lines",IF(COUNTIFS($A$5:$A$54,F7,$D$5:$D$54,"Missing part")+COUNTIFS($A$5:$A$54,F7,$D$5:$D$54,"Check qty")&gt;0,"Fix lines","OK")))</f>
        <v/>
      </c>
    </row>
    <row r="8">
      <c r="A8" s="3" t="inlineStr">
        <is>
          <t>Spa Set</t>
        </is>
      </c>
      <c r="B8" s="3" t="inlineStr">
        <is>
          <t>Tissue paper sheet</t>
        </is>
      </c>
      <c r="C8" s="3" t="n">
        <v>2</v>
      </c>
      <c r="D8" s="6">
        <f>IF(B8="","",IF(NOT(ISNUMBER(C8)),"Check qty",IFERROR(ROUND(C8*INDEX(Parts!$B$5:$B$30,MATCH(B8,Parts!$A$5:$A$30,0)),2),"Missing part")))</f>
        <v/>
      </c>
      <c r="F8" s="3" t="inlineStr">
        <is>
          <t>Starter Trio</t>
        </is>
      </c>
      <c r="G8" s="6">
        <f>IF(F8="","",SUMIF($A$5:$A$54,F8,$D$5:$D$54))</f>
        <v/>
      </c>
      <c r="H8" s="4" t="n">
        <v>32</v>
      </c>
      <c r="I8" s="7">
        <f>IF(F8="","",IF(AND(ISNUMBER(H8),H8&gt;0),(H8-G8)/H8,""))</f>
        <v/>
      </c>
      <c r="J8" s="6">
        <f>IF(F8="","",IF(ISNUMBER(H8),H8-G8,""))</f>
        <v/>
      </c>
      <c r="K8" s="8">
        <f>IF(F8="","",IF(COUNTIF($A$5:$A$54,F8)=0,"No lines",IF(COUNTIFS($A$5:$A$54,F8,$D$5:$D$54,"Missing part")+COUNTIFS($A$5:$A$54,F8,$D$5:$D$54,"Check qty")&gt;0,"Fix lines","OK")))</f>
        <v/>
      </c>
    </row>
    <row r="9">
      <c r="A9" s="3" t="inlineStr">
        <is>
          <t>Spa Set</t>
        </is>
      </c>
      <c r="B9" s="3" t="inlineStr">
        <is>
          <t>Ribbon, 1 yd</t>
        </is>
      </c>
      <c r="C9" s="3" t="n">
        <v>1</v>
      </c>
      <c r="D9" s="6">
        <f>IF(B9="","",IF(NOT(ISNUMBER(C9)),"Check qty",IFERROR(ROUND(C9*INDEX(Parts!$B$5:$B$30,MATCH(B9,Parts!$A$5:$A$30,0)),2),"Missing part")))</f>
        <v/>
      </c>
      <c r="F9" s="3" t="n"/>
      <c r="G9" s="6">
        <f>IF(F9="","",SUMIF($A$5:$A$54,F9,$D$5:$D$54))</f>
        <v/>
      </c>
      <c r="H9" s="4" t="n"/>
      <c r="I9" s="7">
        <f>IF(F9="","",IF(AND(ISNUMBER(H9),H9&gt;0),(H9-G9)/H9,""))</f>
        <v/>
      </c>
      <c r="J9" s="6">
        <f>IF(F9="","",IF(ISNUMBER(H9),H9-G9,""))</f>
        <v/>
      </c>
      <c r="K9" s="8">
        <f>IF(F9="","",IF(COUNTIF($A$5:$A$54,F9)=0,"No lines",IF(COUNTIFS($A$5:$A$54,F9,$D$5:$D$54,"Missing part")+COUNTIFS($A$5:$A$54,F9,$D$5:$D$54,"Check qty")&gt;0,"Fix lines","OK")))</f>
        <v/>
      </c>
    </row>
    <row r="10">
      <c r="A10" s="3" t="inlineStr">
        <is>
          <t>Cozy Mug Set</t>
        </is>
      </c>
      <c r="B10" s="3" t="inlineStr">
        <is>
          <t>Enamel mug</t>
        </is>
      </c>
      <c r="C10" s="3" t="n">
        <v>1</v>
      </c>
      <c r="D10" s="6">
        <f>IF(B10="","",IF(NOT(ISNUMBER(C10)),"Check qty",IFERROR(ROUND(C10*INDEX(Parts!$B$5:$B$30,MATCH(B10,Parts!$A$5:$A$30,0)),2),"Missing part")))</f>
        <v/>
      </c>
      <c r="F10" s="3" t="n"/>
      <c r="G10" s="6">
        <f>IF(F10="","",SUMIF($A$5:$A$54,F10,$D$5:$D$54))</f>
        <v/>
      </c>
      <c r="H10" s="4" t="n"/>
      <c r="I10" s="7">
        <f>IF(F10="","",IF(AND(ISNUMBER(H10),H10&gt;0),(H10-G10)/H10,""))</f>
        <v/>
      </c>
      <c r="J10" s="6">
        <f>IF(F10="","",IF(ISNUMBER(H10),H10-G10,""))</f>
        <v/>
      </c>
      <c r="K10" s="8">
        <f>IF(F10="","",IF(COUNTIF($A$5:$A$54,F10)=0,"No lines",IF(COUNTIFS($A$5:$A$54,F10,$D$5:$D$54,"Missing part")+COUNTIFS($A$5:$A$54,F10,$D$5:$D$54,"Check qty")&gt;0,"Fix lines","OK")))</f>
        <v/>
      </c>
    </row>
    <row r="11">
      <c r="A11" s="3" t="inlineStr">
        <is>
          <t>Cozy Mug Set</t>
        </is>
      </c>
      <c r="B11" s="3" t="inlineStr">
        <is>
          <t>Tea sample tin</t>
        </is>
      </c>
      <c r="C11" s="3" t="n">
        <v>2</v>
      </c>
      <c r="D11" s="6">
        <f>IF(B11="","",IF(NOT(ISNUMBER(C11)),"Check qty",IFERROR(ROUND(C11*INDEX(Parts!$B$5:$B$30,MATCH(B11,Parts!$A$5:$A$30,0)),2),"Missing part")))</f>
        <v/>
      </c>
    </row>
    <row r="12">
      <c r="A12" s="3" t="inlineStr">
        <is>
          <t>Cozy Mug Set</t>
        </is>
      </c>
      <c r="B12" s="3" t="inlineStr">
        <is>
          <t>Gift box</t>
        </is>
      </c>
      <c r="C12" s="3" t="n">
        <v>1</v>
      </c>
      <c r="D12" s="6">
        <f>IF(B12="","",IF(NOT(ISNUMBER(C12)),"Check qty",IFERROR(ROUND(C12*INDEX(Parts!$B$5:$B$30,MATCH(B12,Parts!$A$5:$A$30,0)),2),"Missing part")))</f>
        <v/>
      </c>
      <c r="F12" s="9" t="inlineStr">
        <is>
          <t>CHECK</t>
        </is>
      </c>
      <c r="G12" s="8">
        <f>IF(AND(COUNTIF($D$5:$D$54,"Missing part")=0,COUNTIF($D$5:$D$54,"Check qty")=0,SUMPRODUCT((Parts!$A$5:$A$30&lt;&gt;"")*(COUNTIF(Parts!$A$5:$A$30,Parts!$A$5:$A$30)&gt;1))=0,SUMPRODUCT(($B$5:$B$54&lt;&gt;"")*($A$5:$A$54=""))=0,ROUND(SUM($D$5:$D$54)-SUM($G$5:$G$10),2)=0,SUMPRODUCT(($F$5:$F$10&lt;&gt;"")*(1-ISNUMBER($H$5:$H$10)))=0),"OK","CHECK")</f>
        <v/>
      </c>
    </row>
    <row r="13">
      <c r="A13" s="3" t="inlineStr">
        <is>
          <t>Cozy Mug Set</t>
        </is>
      </c>
      <c r="B13" s="3" t="inlineStr">
        <is>
          <t>Tissue paper sheet</t>
        </is>
      </c>
      <c r="C13" s="3" t="n">
        <v>2</v>
      </c>
      <c r="D13" s="6">
        <f>IF(B13="","",IF(NOT(ISNUMBER(C13)),"Check qty",IFERROR(ROUND(C13*INDEX(Parts!$B$5:$B$30,MATCH(B13,Parts!$A$5:$A$30,0)),2),"Missing part")))</f>
        <v/>
      </c>
    </row>
    <row r="14">
      <c r="A14" s="3" t="inlineStr">
        <is>
          <t>Cozy Mug Set</t>
        </is>
      </c>
      <c r="B14" s="3" t="inlineStr">
        <is>
          <t>Ribbon, 1 yd</t>
        </is>
      </c>
      <c r="C14" s="3" t="n">
        <v>1</v>
      </c>
      <c r="D14" s="6">
        <f>IF(B14="","",IF(NOT(ISNUMBER(C14)),"Check qty",IFERROR(ROUND(C14*INDEX(Parts!$B$5:$B$30,MATCH(B14,Parts!$A$5:$A$30,0)),2),"Missing part")))</f>
        <v/>
      </c>
    </row>
    <row r="15">
      <c r="A15" s="3" t="inlineStr">
        <is>
          <t>Candle Duo</t>
        </is>
      </c>
      <c r="B15" s="3" t="inlineStr">
        <is>
          <t>Soy candle, 8 oz</t>
        </is>
      </c>
      <c r="C15" s="3" t="n">
        <v>2</v>
      </c>
      <c r="D15" s="6">
        <f>IF(B15="","",IF(NOT(ISNUMBER(C15)),"Check qty",IFERROR(ROUND(C15*INDEX(Parts!$B$5:$B$30,MATCH(B15,Parts!$A$5:$A$30,0)),2),"Missing part")))</f>
        <v/>
      </c>
    </row>
    <row r="16">
      <c r="A16" s="3" t="inlineStr">
        <is>
          <t>Candle Duo</t>
        </is>
      </c>
      <c r="B16" s="3" t="inlineStr">
        <is>
          <t>Gift box</t>
        </is>
      </c>
      <c r="C16" s="3" t="n">
        <v>1</v>
      </c>
      <c r="D16" s="6">
        <f>IF(B16="","",IF(NOT(ISNUMBER(C16)),"Check qty",IFERROR(ROUND(C16*INDEX(Parts!$B$5:$B$30,MATCH(B16,Parts!$A$5:$A$30,0)),2),"Missing part")))</f>
        <v/>
      </c>
    </row>
    <row r="17">
      <c r="A17" s="3" t="inlineStr">
        <is>
          <t>Candle Duo</t>
        </is>
      </c>
      <c r="B17" s="3" t="inlineStr">
        <is>
          <t>Tissue paper sheet</t>
        </is>
      </c>
      <c r="C17" s="3" t="n">
        <v>3</v>
      </c>
      <c r="D17" s="6">
        <f>IF(B17="","",IF(NOT(ISNUMBER(C17)),"Check qty",IFERROR(ROUND(C17*INDEX(Parts!$B$5:$B$30,MATCH(B17,Parts!$A$5:$A$30,0)),2),"Missing part")))</f>
        <v/>
      </c>
    </row>
    <row r="18">
      <c r="A18" s="3" t="inlineStr">
        <is>
          <t>Starter Trio</t>
        </is>
      </c>
      <c r="B18" s="3" t="inlineStr">
        <is>
          <t>Soap bar, oatmeal</t>
        </is>
      </c>
      <c r="C18" s="3" t="n">
        <v>1</v>
      </c>
      <c r="D18" s="6">
        <f>IF(B18="","",IF(NOT(ISNUMBER(C18)),"Check qty",IFERROR(ROUND(C18*INDEX(Parts!$B$5:$B$30,MATCH(B18,Parts!$A$5:$A$30,0)),2),"Missing part")))</f>
        <v/>
      </c>
    </row>
    <row r="19">
      <c r="A19" s="3" t="inlineStr">
        <is>
          <t>Starter Trio</t>
        </is>
      </c>
      <c r="B19" s="3" t="inlineStr">
        <is>
          <t>Soy candle, 8 oz</t>
        </is>
      </c>
      <c r="C19" s="3" t="n">
        <v>1</v>
      </c>
      <c r="D19" s="6">
        <f>IF(B19="","",IF(NOT(ISNUMBER(C19)),"Check qty",IFERROR(ROUND(C19*INDEX(Parts!$B$5:$B$30,MATCH(B19,Parts!$A$5:$A$30,0)),2),"Missing part")))</f>
        <v/>
      </c>
    </row>
    <row r="20">
      <c r="A20" s="3" t="inlineStr">
        <is>
          <t>Starter Trio</t>
        </is>
      </c>
      <c r="B20" s="3" t="inlineStr">
        <is>
          <t>Enamel mug</t>
        </is>
      </c>
      <c r="C20" s="3" t="n">
        <v>1</v>
      </c>
      <c r="D20" s="6">
        <f>IF(B20="","",IF(NOT(ISNUMBER(C20)),"Check qty",IFERROR(ROUND(C20*INDEX(Parts!$B$5:$B$30,MATCH(B20,Parts!$A$5:$A$30,0)),2),"Missing part")))</f>
        <v/>
      </c>
    </row>
    <row r="21">
      <c r="A21" s="3" t="inlineStr">
        <is>
          <t>Starter Trio</t>
        </is>
      </c>
      <c r="B21" s="3" t="inlineStr">
        <is>
          <t>Gift box</t>
        </is>
      </c>
      <c r="C21" s="3" t="n">
        <v>1</v>
      </c>
      <c r="D21" s="6">
        <f>IF(B21="","",IF(NOT(ISNUMBER(C21)),"Check qty",IFERROR(ROUND(C21*INDEX(Parts!$B$5:$B$30,MATCH(B21,Parts!$A$5:$A$30,0)),2),"Missing part")))</f>
        <v/>
      </c>
    </row>
    <row r="22">
      <c r="A22" s="3" t="inlineStr">
        <is>
          <t>Starter Trio</t>
        </is>
      </c>
      <c r="B22" s="3" t="inlineStr">
        <is>
          <t>Tissue paper sheet</t>
        </is>
      </c>
      <c r="C22" s="3" t="n">
        <v>3</v>
      </c>
      <c r="D22" s="6">
        <f>IF(B22="","",IF(NOT(ISNUMBER(C22)),"Check qty",IFERROR(ROUND(C22*INDEX(Parts!$B$5:$B$30,MATCH(B22,Parts!$A$5:$A$30,0)),2),"Missing part")))</f>
        <v/>
      </c>
    </row>
    <row r="23">
      <c r="A23" s="3" t="inlineStr">
        <is>
          <t>Starter Trio</t>
        </is>
      </c>
      <c r="B23" s="3" t="inlineStr">
        <is>
          <t>Ribbon, 1 yd</t>
        </is>
      </c>
      <c r="C23" s="3" t="n">
        <v>2</v>
      </c>
      <c r="D23" s="6">
        <f>IF(B23="","",IF(NOT(ISNUMBER(C23)),"Check qty",IFERROR(ROUND(C23*INDEX(Parts!$B$5:$B$30,MATCH(B23,Parts!$A$5:$A$30,0)),2),"Missing part")))</f>
        <v/>
      </c>
    </row>
    <row r="24">
      <c r="A24" s="3" t="n"/>
      <c r="B24" s="3" t="n"/>
      <c r="C24" s="3" t="n"/>
      <c r="D24" s="6">
        <f>IF(B24="","",IF(NOT(ISNUMBER(C24)),"Check qty",IFERROR(ROUND(C24*INDEX(Parts!$B$5:$B$30,MATCH(B24,Parts!$A$5:$A$30,0)),2),"Missing part")))</f>
        <v/>
      </c>
    </row>
    <row r="25">
      <c r="A25" s="3" t="n"/>
      <c r="B25" s="3" t="n"/>
      <c r="C25" s="3" t="n"/>
      <c r="D25" s="6">
        <f>IF(B25="","",IF(NOT(ISNUMBER(C25)),"Check qty",IFERROR(ROUND(C25*INDEX(Parts!$B$5:$B$30,MATCH(B25,Parts!$A$5:$A$30,0)),2),"Missing part")))</f>
        <v/>
      </c>
    </row>
    <row r="26">
      <c r="A26" s="3" t="n"/>
      <c r="B26" s="3" t="n"/>
      <c r="C26" s="3" t="n"/>
      <c r="D26" s="6">
        <f>IF(B26="","",IF(NOT(ISNUMBER(C26)),"Check qty",IFERROR(ROUND(C26*INDEX(Parts!$B$5:$B$30,MATCH(B26,Parts!$A$5:$A$30,0)),2),"Missing part")))</f>
        <v/>
      </c>
    </row>
    <row r="27">
      <c r="A27" s="3" t="n"/>
      <c r="B27" s="3" t="n"/>
      <c r="C27" s="3" t="n"/>
      <c r="D27" s="6">
        <f>IF(B27="","",IF(NOT(ISNUMBER(C27)),"Check qty",IFERROR(ROUND(C27*INDEX(Parts!$B$5:$B$30,MATCH(B27,Parts!$A$5:$A$30,0)),2),"Missing part")))</f>
        <v/>
      </c>
    </row>
    <row r="28">
      <c r="A28" s="3" t="n"/>
      <c r="B28" s="3" t="n"/>
      <c r="C28" s="3" t="n"/>
      <c r="D28" s="6">
        <f>IF(B28="","",IF(NOT(ISNUMBER(C28)),"Check qty",IFERROR(ROUND(C28*INDEX(Parts!$B$5:$B$30,MATCH(B28,Parts!$A$5:$A$30,0)),2),"Missing part")))</f>
        <v/>
      </c>
    </row>
    <row r="29">
      <c r="A29" s="3" t="n"/>
      <c r="B29" s="3" t="n"/>
      <c r="C29" s="3" t="n"/>
      <c r="D29" s="6">
        <f>IF(B29="","",IF(NOT(ISNUMBER(C29)),"Check qty",IFERROR(ROUND(C29*INDEX(Parts!$B$5:$B$30,MATCH(B29,Parts!$A$5:$A$30,0)),2),"Missing part")))</f>
        <v/>
      </c>
    </row>
    <row r="30">
      <c r="A30" s="3" t="n"/>
      <c r="B30" s="3" t="n"/>
      <c r="C30" s="3" t="n"/>
      <c r="D30" s="6">
        <f>IF(B30="","",IF(NOT(ISNUMBER(C30)),"Check qty",IFERROR(ROUND(C30*INDEX(Parts!$B$5:$B$30,MATCH(B30,Parts!$A$5:$A$30,0)),2),"Missing part")))</f>
        <v/>
      </c>
    </row>
    <row r="31">
      <c r="A31" s="3" t="n"/>
      <c r="B31" s="3" t="n"/>
      <c r="C31" s="3" t="n"/>
      <c r="D31" s="6">
        <f>IF(B31="","",IF(NOT(ISNUMBER(C31)),"Check qty",IFERROR(ROUND(C31*INDEX(Parts!$B$5:$B$30,MATCH(B31,Parts!$A$5:$A$30,0)),2),"Missing part")))</f>
        <v/>
      </c>
    </row>
    <row r="32">
      <c r="A32" s="3" t="n"/>
      <c r="B32" s="3" t="n"/>
      <c r="C32" s="3" t="n"/>
      <c r="D32" s="6">
        <f>IF(B32="","",IF(NOT(ISNUMBER(C32)),"Check qty",IFERROR(ROUND(C32*INDEX(Parts!$B$5:$B$30,MATCH(B32,Parts!$A$5:$A$30,0)),2),"Missing part")))</f>
        <v/>
      </c>
    </row>
    <row r="33">
      <c r="A33" s="3" t="n"/>
      <c r="B33" s="3" t="n"/>
      <c r="C33" s="3" t="n"/>
      <c r="D33" s="6">
        <f>IF(B33="","",IF(NOT(ISNUMBER(C33)),"Check qty",IFERROR(ROUND(C33*INDEX(Parts!$B$5:$B$30,MATCH(B33,Parts!$A$5:$A$30,0)),2),"Missing part")))</f>
        <v/>
      </c>
    </row>
    <row r="34">
      <c r="A34" s="3" t="n"/>
      <c r="B34" s="3" t="n"/>
      <c r="C34" s="3" t="n"/>
      <c r="D34" s="6">
        <f>IF(B34="","",IF(NOT(ISNUMBER(C34)),"Check qty",IFERROR(ROUND(C34*INDEX(Parts!$B$5:$B$30,MATCH(B34,Parts!$A$5:$A$30,0)),2),"Missing part")))</f>
        <v/>
      </c>
    </row>
    <row r="35">
      <c r="A35" s="3" t="n"/>
      <c r="B35" s="3" t="n"/>
      <c r="C35" s="3" t="n"/>
      <c r="D35" s="6">
        <f>IF(B35="","",IF(NOT(ISNUMBER(C35)),"Check qty",IFERROR(ROUND(C35*INDEX(Parts!$B$5:$B$30,MATCH(B35,Parts!$A$5:$A$30,0)),2),"Missing part")))</f>
        <v/>
      </c>
    </row>
    <row r="36">
      <c r="A36" s="3" t="n"/>
      <c r="B36" s="3" t="n"/>
      <c r="C36" s="3" t="n"/>
      <c r="D36" s="6">
        <f>IF(B36="","",IF(NOT(ISNUMBER(C36)),"Check qty",IFERROR(ROUND(C36*INDEX(Parts!$B$5:$B$30,MATCH(B36,Parts!$A$5:$A$30,0)),2),"Missing part")))</f>
        <v/>
      </c>
    </row>
    <row r="37">
      <c r="A37" s="3" t="n"/>
      <c r="B37" s="3" t="n"/>
      <c r="C37" s="3" t="n"/>
      <c r="D37" s="6">
        <f>IF(B37="","",IF(NOT(ISNUMBER(C37)),"Check qty",IFERROR(ROUND(C37*INDEX(Parts!$B$5:$B$30,MATCH(B37,Parts!$A$5:$A$30,0)),2),"Missing part")))</f>
        <v/>
      </c>
    </row>
    <row r="38">
      <c r="A38" s="3" t="n"/>
      <c r="B38" s="3" t="n"/>
      <c r="C38" s="3" t="n"/>
      <c r="D38" s="6">
        <f>IF(B38="","",IF(NOT(ISNUMBER(C38)),"Check qty",IFERROR(ROUND(C38*INDEX(Parts!$B$5:$B$30,MATCH(B38,Parts!$A$5:$A$30,0)),2),"Missing part")))</f>
        <v/>
      </c>
    </row>
    <row r="39">
      <c r="A39" s="3" t="n"/>
      <c r="B39" s="3" t="n"/>
      <c r="C39" s="3" t="n"/>
      <c r="D39" s="6">
        <f>IF(B39="","",IF(NOT(ISNUMBER(C39)),"Check qty",IFERROR(ROUND(C39*INDEX(Parts!$B$5:$B$30,MATCH(B39,Parts!$A$5:$A$30,0)),2),"Missing part")))</f>
        <v/>
      </c>
    </row>
    <row r="40">
      <c r="A40" s="3" t="n"/>
      <c r="B40" s="3" t="n"/>
      <c r="C40" s="3" t="n"/>
      <c r="D40" s="6">
        <f>IF(B40="","",IF(NOT(ISNUMBER(C40)),"Check qty",IFERROR(ROUND(C40*INDEX(Parts!$B$5:$B$30,MATCH(B40,Parts!$A$5:$A$30,0)),2),"Missing part")))</f>
        <v/>
      </c>
    </row>
    <row r="41">
      <c r="A41" s="3" t="n"/>
      <c r="B41" s="3" t="n"/>
      <c r="C41" s="3" t="n"/>
      <c r="D41" s="6">
        <f>IF(B41="","",IF(NOT(ISNUMBER(C41)),"Check qty",IFERROR(ROUND(C41*INDEX(Parts!$B$5:$B$30,MATCH(B41,Parts!$A$5:$A$30,0)),2),"Missing part")))</f>
        <v/>
      </c>
    </row>
    <row r="42">
      <c r="A42" s="3" t="n"/>
      <c r="B42" s="3" t="n"/>
      <c r="C42" s="3" t="n"/>
      <c r="D42" s="6">
        <f>IF(B42="","",IF(NOT(ISNUMBER(C42)),"Check qty",IFERROR(ROUND(C42*INDEX(Parts!$B$5:$B$30,MATCH(B42,Parts!$A$5:$A$30,0)),2),"Missing part")))</f>
        <v/>
      </c>
    </row>
    <row r="43">
      <c r="A43" s="3" t="n"/>
      <c r="B43" s="3" t="n"/>
      <c r="C43" s="3" t="n"/>
      <c r="D43" s="6">
        <f>IF(B43="","",IF(NOT(ISNUMBER(C43)),"Check qty",IFERROR(ROUND(C43*INDEX(Parts!$B$5:$B$30,MATCH(B43,Parts!$A$5:$A$30,0)),2),"Missing part")))</f>
        <v/>
      </c>
    </row>
    <row r="44">
      <c r="A44" s="3" t="n"/>
      <c r="B44" s="3" t="n"/>
      <c r="C44" s="3" t="n"/>
      <c r="D44" s="6">
        <f>IF(B44="","",IF(NOT(ISNUMBER(C44)),"Check qty",IFERROR(ROUND(C44*INDEX(Parts!$B$5:$B$30,MATCH(B44,Parts!$A$5:$A$30,0)),2),"Missing part")))</f>
        <v/>
      </c>
    </row>
    <row r="45">
      <c r="A45" s="3" t="n"/>
      <c r="B45" s="3" t="n"/>
      <c r="C45" s="3" t="n"/>
      <c r="D45" s="6">
        <f>IF(B45="","",IF(NOT(ISNUMBER(C45)),"Check qty",IFERROR(ROUND(C45*INDEX(Parts!$B$5:$B$30,MATCH(B45,Parts!$A$5:$A$30,0)),2),"Missing part")))</f>
        <v/>
      </c>
    </row>
    <row r="46">
      <c r="A46" s="3" t="n"/>
      <c r="B46" s="3" t="n"/>
      <c r="C46" s="3" t="n"/>
      <c r="D46" s="6">
        <f>IF(B46="","",IF(NOT(ISNUMBER(C46)),"Check qty",IFERROR(ROUND(C46*INDEX(Parts!$B$5:$B$30,MATCH(B46,Parts!$A$5:$A$30,0)),2),"Missing part")))</f>
        <v/>
      </c>
    </row>
    <row r="47">
      <c r="A47" s="3" t="n"/>
      <c r="B47" s="3" t="n"/>
      <c r="C47" s="3" t="n"/>
      <c r="D47" s="6">
        <f>IF(B47="","",IF(NOT(ISNUMBER(C47)),"Check qty",IFERROR(ROUND(C47*INDEX(Parts!$B$5:$B$30,MATCH(B47,Parts!$A$5:$A$30,0)),2),"Missing part")))</f>
        <v/>
      </c>
    </row>
    <row r="48">
      <c r="A48" s="3" t="n"/>
      <c r="B48" s="3" t="n"/>
      <c r="C48" s="3" t="n"/>
      <c r="D48" s="6">
        <f>IF(B48="","",IF(NOT(ISNUMBER(C48)),"Check qty",IFERROR(ROUND(C48*INDEX(Parts!$B$5:$B$30,MATCH(B48,Parts!$A$5:$A$30,0)),2),"Missing part")))</f>
        <v/>
      </c>
    </row>
    <row r="49">
      <c r="A49" s="3" t="n"/>
      <c r="B49" s="3" t="n"/>
      <c r="C49" s="3" t="n"/>
      <c r="D49" s="6">
        <f>IF(B49="","",IF(NOT(ISNUMBER(C49)),"Check qty",IFERROR(ROUND(C49*INDEX(Parts!$B$5:$B$30,MATCH(B49,Parts!$A$5:$A$30,0)),2),"Missing part")))</f>
        <v/>
      </c>
    </row>
    <row r="50">
      <c r="A50" s="3" t="n"/>
      <c r="B50" s="3" t="n"/>
      <c r="C50" s="3" t="n"/>
      <c r="D50" s="6">
        <f>IF(B50="","",IF(NOT(ISNUMBER(C50)),"Check qty",IFERROR(ROUND(C50*INDEX(Parts!$B$5:$B$30,MATCH(B50,Parts!$A$5:$A$30,0)),2),"Missing part")))</f>
        <v/>
      </c>
    </row>
    <row r="51">
      <c r="A51" s="3" t="n"/>
      <c r="B51" s="3" t="n"/>
      <c r="C51" s="3" t="n"/>
      <c r="D51" s="6">
        <f>IF(B51="","",IF(NOT(ISNUMBER(C51)),"Check qty",IFERROR(ROUND(C51*INDEX(Parts!$B$5:$B$30,MATCH(B51,Parts!$A$5:$A$30,0)),2),"Missing part")))</f>
        <v/>
      </c>
    </row>
    <row r="52">
      <c r="A52" s="3" t="n"/>
      <c r="B52" s="3" t="n"/>
      <c r="C52" s="3" t="n"/>
      <c r="D52" s="6">
        <f>IF(B52="","",IF(NOT(ISNUMBER(C52)),"Check qty",IFERROR(ROUND(C52*INDEX(Parts!$B$5:$B$30,MATCH(B52,Parts!$A$5:$A$30,0)),2),"Missing part")))</f>
        <v/>
      </c>
    </row>
    <row r="53">
      <c r="A53" s="3" t="n"/>
      <c r="B53" s="3" t="n"/>
      <c r="C53" s="3" t="n"/>
      <c r="D53" s="6">
        <f>IF(B53="","",IF(NOT(ISNUMBER(C53)),"Check qty",IFERROR(ROUND(C53*INDEX(Parts!$B$5:$B$30,MATCH(B53,Parts!$A$5:$A$30,0)),2),"Missing part")))</f>
        <v/>
      </c>
    </row>
    <row r="54">
      <c r="A54" s="3" t="n"/>
      <c r="B54" s="3" t="n"/>
      <c r="C54" s="3" t="n"/>
      <c r="D54" s="6">
        <f>IF(B54="","",IF(NOT(ISNUMBER(C54)),"Check qty",IFERROR(ROUND(C54*INDEX(Parts!$B$5:$B$30,MATCH(B54,Parts!$A$5:$A$30,0)),2),"Missing part")))</f>
        <v/>
      </c>
    </row>
  </sheetData>
  <conditionalFormatting sqref="G12">
    <cfRule type="expression" priority="1" dxfId="0">
      <formula>AND(G12&lt;&gt;"OK",G12&lt;&gt;"")</formula>
    </cfRule>
  </conditionalFormatting>
  <conditionalFormatting sqref="K5:K10">
    <cfRule type="expression" priority="2" dxfId="0">
      <formula>OR($K5="Fix lines",$K5="No lines")</formula>
    </cfRule>
  </conditionalFormatting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Cost and Margin of a Gift Set</t>
        </is>
      </c>
    </row>
    <row r="2">
      <c r="A2" s="11" t="inlineStr"/>
    </row>
    <row r="3">
      <c r="A3" s="11" t="inlineStr">
        <is>
          <t>1. Parts tab: each part once, with its unit cost, in A5:B30 (yellow). The parts and costs are fictional.</t>
        </is>
      </c>
    </row>
    <row r="4">
      <c r="A4" s="11" t="inlineStr">
        <is>
          <t>2. Sets tab, left side: one line per part in a set, A5:C54 (yellow): set name, part (spelled as on the Parts tab), quantity. The sample has 4 fictional sets.</t>
        </is>
      </c>
    </row>
    <row r="5">
      <c r="A5" s="11" t="inlineStr">
        <is>
          <t>3. Line cost, D5: =IF(B5="","",IF(NOT(ISNUMBER(C5)),"Check qty",IFERROR(ROUND(C5*INDEX(Parts!$B$5:$B$30,MATCH(B5,Parts!$A$5:$A$30,0)),2),"Missing part"))).</t>
        </is>
      </c>
    </row>
    <row r="6">
      <c r="A6" s="11" t="inlineStr">
        <is>
          <t>4. Sets tab, right side: set names in F5:F10 and selling prices in H5:H10 (yellow). Cost, G5: =SUMIF($A$5:$A$54,F5,$D$5:$D$54). Margin, I5: =(H5-G5)/H5. Profit, J5: =H5-G5.</t>
        </is>
      </c>
    </row>
    <row r="7">
      <c r="A7" s="11" t="inlineStr">
        <is>
          <t>5. Margin is profit as a share of the price. A quantity of 0 costs $0.00. A part spelled differently from the Parts tab shows Missing part and is left out of the set cost, so the cost looks too low until you fix it.</t>
        </is>
      </c>
    </row>
    <row r="8">
      <c r="A8" s="11" t="inlineStr">
        <is>
          <t>6. CHECK, G12, shows CHECK when any line says Missing part or Check qty, a part is listed twice on the Parts tab (the first one is used), a line has a part but no set name, a line's set is not in F5:F10, or a price is missing.</t>
        </is>
      </c>
    </row>
    <row r="9">
      <c r="A9" s="11" t="inlineStr">
        <is>
          <t>7. Costs here are only the parts you list: add labor, packaging and fees as parts if they belong. This is arithmetic, not pricing advice.</t>
        </is>
      </c>
    </row>
    <row r="10">
      <c r="A10" s="11" t="inlineStr"/>
    </row>
    <row r="11">
      <c r="A11" s="11" t="inlineStr">
        <is>
          <t>Checked in LibreOffice Calc only; not opened in Excel or Google Sheets.</t>
        </is>
      </c>
    </row>
    <row r="12">
      <c r="A12" s="11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2026-10-31T07:30:11Z</dcterms:created>
  <dcterms:modified xmlns:dcterms="http://purl.org/dc/terms/" xmlns:xsi="http://www.w3.org/2001/XMLSchema-instance" xsi:type="dcterms:W3CDTF">2026-10-31T07:30:11Z</dcterms:modified>
</cp:coreProperties>
</file>