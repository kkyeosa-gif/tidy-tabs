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ies" sheetId="1" state="visible" r:id="rId1"/>
    <sheet xmlns:r="http://schemas.openxmlformats.org/officeDocument/2006/relationships" name="Winners" sheetId="2" state="visible" r:id="rId2"/>
    <sheet xmlns:r="http://schemas.openxmlformats.org/officeDocument/2006/relationships" name="How to use" sheetId="3" state="visible" r:id="rId3"/>
  </sheets>
  <definedNames>
    <definedName name="_xlnm.Print_Titles" localSheetId="0">'Entries'!$1:$1</definedName>
    <definedName name="_xlnm.Print_Area" localSheetId="0">'Entries'!$A$1:$E$34</definedName>
    <definedName name="_xlnm.Print_Titles" localSheetId="1">'Winners'!$1:$1</definedName>
    <definedName name="_xlnm.Print_Area" localSheetId="1">'Winners'!$A$1:$F$14</definedName>
  </definedNames>
  <calcPr calcId="124519" fullCalcOnLoad="1"/>
</workbook>
</file>

<file path=xl/styles.xml><?xml version="1.0" encoding="utf-8"?>
<styleSheet xmlns="http://schemas.openxmlformats.org/spreadsheetml/2006/main">
  <numFmts count="1">
    <numFmt numFmtId="164" formatCode="0.000000"/>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0" pivotButton="0" quotePrefix="0" xfId="0"/>
    <xf numFmtId="164" fontId="0" fillId="4" borderId="0" applyAlignment="1" pivotButton="0" quotePrefix="0" xfId="0">
      <alignment horizontal="right"/>
    </xf>
    <xf numFmtId="1" fontId="0" fillId="4" borderId="0" applyAlignment="1" pivotButton="0" quotePrefix="0" xfId="0">
      <alignment horizontal="right"/>
    </xf>
    <xf numFmtId="0" fontId="0" fillId="4" borderId="0" applyAlignment="1" pivotButton="0" quotePrefix="0" xfId="0">
      <alignment horizontal="right"/>
    </xf>
    <xf numFmtId="0" fontId="3" fillId="0" borderId="0" pivotButton="0" quotePrefix="0" xfId="0"/>
    <xf numFmtId="0" fontId="0" fillId="4" borderId="0" pivotButton="0" quotePrefix="0" xfId="0"/>
    <xf numFmtId="0" fontId="0" fillId="4" borderId="0" applyAlignment="1" pivotButton="0" quotePrefix="0" xfId="0">
      <alignment horizontal="center"/>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4" customWidth="1" min="3" max="3"/>
    <col width="11" customWidth="1" min="4" max="4"/>
    <col width="10" customWidth="1" min="5" max="5"/>
  </cols>
  <sheetData>
    <row r="1">
      <c r="A1" s="1" t="inlineStr">
        <is>
          <t>Type or paste entries in A5:B34. Each row is one entry, so a name typed twice has two chances.</t>
        </is>
      </c>
    </row>
    <row r="2">
      <c r="A2" s="1" t="inlineStr">
        <is>
          <t>RAND picks new numbers every time anything changes. Copy C5:D34, then Paste special &gt; Values only, to freeze a draw.</t>
        </is>
      </c>
    </row>
    <row r="4" ht="32" customHeight="1">
      <c r="A4" s="2" t="inlineStr">
        <is>
          <t>Name</t>
        </is>
      </c>
      <c r="B4" s="2" t="inlineStr">
        <is>
          <t>City</t>
        </is>
      </c>
      <c r="C4" s="2" t="inlineStr">
        <is>
          <t>Random number</t>
        </is>
      </c>
      <c r="D4" s="2" t="inlineStr">
        <is>
          <t>Draw order</t>
        </is>
      </c>
      <c r="E4" s="2" t="inlineStr">
        <is>
          <t>Result</t>
        </is>
      </c>
    </row>
    <row r="5">
      <c r="A5" s="3" t="inlineStr">
        <is>
          <t>Alma</t>
        </is>
      </c>
      <c r="B5" s="3" t="inlineStr">
        <is>
          <t>Denver</t>
        </is>
      </c>
      <c r="C5" s="4">
        <f>IF(A5="","",RAND())</f>
        <v/>
      </c>
      <c r="D5" s="5">
        <f>IF(A5="","",RANK(C5,$C$5:$C$34)+COUNTIF($C$5:C5,C5)-1)</f>
        <v/>
      </c>
      <c r="E5" s="6">
        <f>IF(D5="","",IF(D5&lt;=Winners!$F$2,"Winner",""))</f>
        <v/>
      </c>
    </row>
    <row r="6">
      <c r="A6" s="3" t="inlineStr">
        <is>
          <t>Ben</t>
        </is>
      </c>
      <c r="B6" s="3" t="inlineStr">
        <is>
          <t>Tulsa</t>
        </is>
      </c>
      <c r="C6" s="4">
        <f>IF(A6="","",RAND())</f>
        <v/>
      </c>
      <c r="D6" s="5">
        <f>IF(A6="","",RANK(C6,$C$5:$C$34)+COUNTIF($C$5:C6,C6)-1)</f>
        <v/>
      </c>
      <c r="E6" s="6">
        <f>IF(D6="","",IF(D6&lt;=Winners!$F$2,"Winner",""))</f>
        <v/>
      </c>
    </row>
    <row r="7">
      <c r="A7" s="3" t="inlineStr">
        <is>
          <t>Cora</t>
        </is>
      </c>
      <c r="B7" s="3" t="inlineStr">
        <is>
          <t>Austin</t>
        </is>
      </c>
      <c r="C7" s="4">
        <f>IF(A7="","",RAND())</f>
        <v/>
      </c>
      <c r="D7" s="5">
        <f>IF(A7="","",RANK(C7,$C$5:$C$34)+COUNTIF($C$5:C7,C7)-1)</f>
        <v/>
      </c>
      <c r="E7" s="6">
        <f>IF(D7="","",IF(D7&lt;=Winners!$F$2,"Winner",""))</f>
        <v/>
      </c>
    </row>
    <row r="8">
      <c r="A8" s="3" t="inlineStr">
        <is>
          <t>Dev</t>
        </is>
      </c>
      <c r="B8" s="3" t="inlineStr">
        <is>
          <t>Boise</t>
        </is>
      </c>
      <c r="C8" s="4">
        <f>IF(A8="","",RAND())</f>
        <v/>
      </c>
      <c r="D8" s="5">
        <f>IF(A8="","",RANK(C8,$C$5:$C$34)+COUNTIF($C$5:C8,C8)-1)</f>
        <v/>
      </c>
      <c r="E8" s="6">
        <f>IF(D8="","",IF(D8&lt;=Winners!$F$2,"Winner",""))</f>
        <v/>
      </c>
    </row>
    <row r="9">
      <c r="A9" s="3" t="inlineStr">
        <is>
          <t>Elena</t>
        </is>
      </c>
      <c r="B9" s="3" t="inlineStr">
        <is>
          <t>Reno</t>
        </is>
      </c>
      <c r="C9" s="4">
        <f>IF(A9="","",RAND())</f>
        <v/>
      </c>
      <c r="D9" s="5">
        <f>IF(A9="","",RANK(C9,$C$5:$C$34)+COUNTIF($C$5:C9,C9)-1)</f>
        <v/>
      </c>
      <c r="E9" s="6">
        <f>IF(D9="","",IF(D9&lt;=Winners!$F$2,"Winner",""))</f>
        <v/>
      </c>
    </row>
    <row r="10">
      <c r="A10" s="3" t="inlineStr">
        <is>
          <t>Felix</t>
        </is>
      </c>
      <c r="B10" s="3" t="inlineStr">
        <is>
          <t>Omaha</t>
        </is>
      </c>
      <c r="C10" s="4">
        <f>IF(A10="","",RAND())</f>
        <v/>
      </c>
      <c r="D10" s="5">
        <f>IF(A10="","",RANK(C10,$C$5:$C$34)+COUNTIF($C$5:C10,C10)-1)</f>
        <v/>
      </c>
      <c r="E10" s="6">
        <f>IF(D10="","",IF(D10&lt;=Winners!$F$2,"Winner",""))</f>
        <v/>
      </c>
    </row>
    <row r="11">
      <c r="A11" s="3" t="inlineStr">
        <is>
          <t>Grace</t>
        </is>
      </c>
      <c r="B11" s="3" t="inlineStr">
        <is>
          <t>Mesa</t>
        </is>
      </c>
      <c r="C11" s="4">
        <f>IF(A11="","",RAND())</f>
        <v/>
      </c>
      <c r="D11" s="5">
        <f>IF(A11="","",RANK(C11,$C$5:$C$34)+COUNTIF($C$5:C11,C11)-1)</f>
        <v/>
      </c>
      <c r="E11" s="6">
        <f>IF(D11="","",IF(D11&lt;=Winners!$F$2,"Winner",""))</f>
        <v/>
      </c>
    </row>
    <row r="12">
      <c r="A12" s="3" t="inlineStr">
        <is>
          <t>Hugo</t>
        </is>
      </c>
      <c r="B12" s="3" t="inlineStr">
        <is>
          <t>Provo</t>
        </is>
      </c>
      <c r="C12" s="4">
        <f>IF(A12="","",RAND())</f>
        <v/>
      </c>
      <c r="D12" s="5">
        <f>IF(A12="","",RANK(C12,$C$5:$C$34)+COUNTIF($C$5:C12,C12)-1)</f>
        <v/>
      </c>
      <c r="E12" s="6">
        <f>IF(D12="","",IF(D12&lt;=Winners!$F$2,"Winner",""))</f>
        <v/>
      </c>
    </row>
    <row r="13">
      <c r="A13" s="3" t="inlineStr">
        <is>
          <t>Iris</t>
        </is>
      </c>
      <c r="B13" s="3" t="inlineStr">
        <is>
          <t>Salem</t>
        </is>
      </c>
      <c r="C13" s="4">
        <f>IF(A13="","",RAND())</f>
        <v/>
      </c>
      <c r="D13" s="5">
        <f>IF(A13="","",RANK(C13,$C$5:$C$34)+COUNTIF($C$5:C13,C13)-1)</f>
        <v/>
      </c>
      <c r="E13" s="6">
        <f>IF(D13="","",IF(D13&lt;=Winners!$F$2,"Winner",""))</f>
        <v/>
      </c>
    </row>
    <row r="14">
      <c r="A14" s="3" t="inlineStr">
        <is>
          <t>Jonah</t>
        </is>
      </c>
      <c r="B14" s="3" t="inlineStr">
        <is>
          <t>Fargo</t>
        </is>
      </c>
      <c r="C14" s="4">
        <f>IF(A14="","",RAND())</f>
        <v/>
      </c>
      <c r="D14" s="5">
        <f>IF(A14="","",RANK(C14,$C$5:$C$34)+COUNTIF($C$5:C14,C14)-1)</f>
        <v/>
      </c>
      <c r="E14" s="6">
        <f>IF(D14="","",IF(D14&lt;=Winners!$F$2,"Winner",""))</f>
        <v/>
      </c>
    </row>
    <row r="15">
      <c r="A15" s="3" t="inlineStr">
        <is>
          <t>Kira</t>
        </is>
      </c>
      <c r="B15" s="3" t="inlineStr">
        <is>
          <t>Macon</t>
        </is>
      </c>
      <c r="C15" s="4">
        <f>IF(A15="","",RAND())</f>
        <v/>
      </c>
      <c r="D15" s="5">
        <f>IF(A15="","",RANK(C15,$C$5:$C$34)+COUNTIF($C$5:C15,C15)-1)</f>
        <v/>
      </c>
      <c r="E15" s="6">
        <f>IF(D15="","",IF(D15&lt;=Winners!$F$2,"Winner",""))</f>
        <v/>
      </c>
    </row>
    <row r="16">
      <c r="A16" s="3" t="inlineStr">
        <is>
          <t>Leo</t>
        </is>
      </c>
      <c r="B16" s="3" t="inlineStr">
        <is>
          <t>Dayton</t>
        </is>
      </c>
      <c r="C16" s="4">
        <f>IF(A16="","",RAND())</f>
        <v/>
      </c>
      <c r="D16" s="5">
        <f>IF(A16="","",RANK(C16,$C$5:$C$34)+COUNTIF($C$5:C16,C16)-1)</f>
        <v/>
      </c>
      <c r="E16" s="6">
        <f>IF(D16="","",IF(D16&lt;=Winners!$F$2,"Winner",""))</f>
        <v/>
      </c>
    </row>
    <row r="17">
      <c r="A17" s="3" t="inlineStr">
        <is>
          <t>Maya</t>
        </is>
      </c>
      <c r="B17" s="3" t="inlineStr">
        <is>
          <t>Eugene</t>
        </is>
      </c>
      <c r="C17" s="4">
        <f>IF(A17="","",RAND())</f>
        <v/>
      </c>
      <c r="D17" s="5">
        <f>IF(A17="","",RANK(C17,$C$5:$C$34)+COUNTIF($C$5:C17,C17)-1)</f>
        <v/>
      </c>
      <c r="E17" s="6">
        <f>IF(D17="","",IF(D17&lt;=Winners!$F$2,"Winner",""))</f>
        <v/>
      </c>
    </row>
    <row r="18">
      <c r="A18" s="3" t="inlineStr">
        <is>
          <t>Nate</t>
        </is>
      </c>
      <c r="B18" s="3" t="inlineStr">
        <is>
          <t>Tampa</t>
        </is>
      </c>
      <c r="C18" s="4">
        <f>IF(A18="","",RAND())</f>
        <v/>
      </c>
      <c r="D18" s="5">
        <f>IF(A18="","",RANK(C18,$C$5:$C$34)+COUNTIF($C$5:C18,C18)-1)</f>
        <v/>
      </c>
      <c r="E18" s="6">
        <f>IF(D18="","",IF(D18&lt;=Winners!$F$2,"Winner",""))</f>
        <v/>
      </c>
    </row>
    <row r="19">
      <c r="A19" s="3" t="inlineStr">
        <is>
          <t>Opal</t>
        </is>
      </c>
      <c r="B19" s="3" t="inlineStr">
        <is>
          <t>Ogden</t>
        </is>
      </c>
      <c r="C19" s="4">
        <f>IF(A19="","",RAND())</f>
        <v/>
      </c>
      <c r="D19" s="5">
        <f>IF(A19="","",RANK(C19,$C$5:$C$34)+COUNTIF($C$5:C19,C19)-1)</f>
        <v/>
      </c>
      <c r="E19" s="6">
        <f>IF(D19="","",IF(D19&lt;=Winners!$F$2,"Winner",""))</f>
        <v/>
      </c>
    </row>
    <row r="20">
      <c r="A20" s="3" t="inlineStr">
        <is>
          <t>Priya</t>
        </is>
      </c>
      <c r="B20" s="3" t="inlineStr">
        <is>
          <t>Akron</t>
        </is>
      </c>
      <c r="C20" s="4">
        <f>IF(A20="","",RAND())</f>
        <v/>
      </c>
      <c r="D20" s="5">
        <f>IF(A20="","",RANK(C20,$C$5:$C$34)+COUNTIF($C$5:C20,C20)-1)</f>
        <v/>
      </c>
      <c r="E20" s="6">
        <f>IF(D20="","",IF(D20&lt;=Winners!$F$2,"Winner",""))</f>
        <v/>
      </c>
    </row>
    <row r="21">
      <c r="A21" s="3" t="inlineStr">
        <is>
          <t>Quinn</t>
        </is>
      </c>
      <c r="B21" s="3" t="inlineStr">
        <is>
          <t>Boise</t>
        </is>
      </c>
      <c r="C21" s="4">
        <f>IF(A21="","",RAND())</f>
        <v/>
      </c>
      <c r="D21" s="5">
        <f>IF(A21="","",RANK(C21,$C$5:$C$34)+COUNTIF($C$5:C21,C21)-1)</f>
        <v/>
      </c>
      <c r="E21" s="6">
        <f>IF(D21="","",IF(D21&lt;=Winners!$F$2,"Winner",""))</f>
        <v/>
      </c>
    </row>
    <row r="22">
      <c r="A22" s="3" t="inlineStr">
        <is>
          <t>Rosa</t>
        </is>
      </c>
      <c r="B22" s="3" t="inlineStr">
        <is>
          <t>Laredo</t>
        </is>
      </c>
      <c r="C22" s="4">
        <f>IF(A22="","",RAND())</f>
        <v/>
      </c>
      <c r="D22" s="5">
        <f>IF(A22="","",RANK(C22,$C$5:$C$34)+COUNTIF($C$5:C22,C22)-1)</f>
        <v/>
      </c>
      <c r="E22" s="6">
        <f>IF(D22="","",IF(D22&lt;=Winners!$F$2,"Winner",""))</f>
        <v/>
      </c>
    </row>
    <row r="23">
      <c r="A23" s="3" t="inlineStr">
        <is>
          <t>Sam</t>
        </is>
      </c>
      <c r="B23" s="3" t="inlineStr">
        <is>
          <t>Toledo</t>
        </is>
      </c>
      <c r="C23" s="4">
        <f>IF(A23="","",RAND())</f>
        <v/>
      </c>
      <c r="D23" s="5">
        <f>IF(A23="","",RANK(C23,$C$5:$C$34)+COUNTIF($C$5:C23,C23)-1)</f>
        <v/>
      </c>
      <c r="E23" s="6">
        <f>IF(D23="","",IF(D23&lt;=Winners!$F$2,"Winner",""))</f>
        <v/>
      </c>
    </row>
    <row r="24">
      <c r="A24" s="3" t="inlineStr">
        <is>
          <t>Tess</t>
        </is>
      </c>
      <c r="B24" s="3" t="inlineStr">
        <is>
          <t>Elgin</t>
        </is>
      </c>
      <c r="C24" s="4">
        <f>IF(A24="","",RAND())</f>
        <v/>
      </c>
      <c r="D24" s="5">
        <f>IF(A24="","",RANK(C24,$C$5:$C$34)+COUNTIF($C$5:C24,C24)-1)</f>
        <v/>
      </c>
      <c r="E24" s="6">
        <f>IF(D24="","",IF(D24&lt;=Winners!$F$2,"Winner",""))</f>
        <v/>
      </c>
    </row>
    <row r="25">
      <c r="A25" s="3" t="inlineStr">
        <is>
          <t>Uma</t>
        </is>
      </c>
      <c r="B25" s="3" t="inlineStr">
        <is>
          <t>Yuma</t>
        </is>
      </c>
      <c r="C25" s="4">
        <f>IF(A25="","",RAND())</f>
        <v/>
      </c>
      <c r="D25" s="5">
        <f>IF(A25="","",RANK(C25,$C$5:$C$34)+COUNTIF($C$5:C25,C25)-1)</f>
        <v/>
      </c>
      <c r="E25" s="6">
        <f>IF(D25="","",IF(D25&lt;=Winners!$F$2,"Winner",""))</f>
        <v/>
      </c>
    </row>
    <row r="26">
      <c r="A26" s="3" t="inlineStr">
        <is>
          <t>Vic</t>
        </is>
      </c>
      <c r="B26" s="3" t="inlineStr">
        <is>
          <t>Fresno</t>
        </is>
      </c>
      <c r="C26" s="4">
        <f>IF(A26="","",RAND())</f>
        <v/>
      </c>
      <c r="D26" s="5">
        <f>IF(A26="","",RANK(C26,$C$5:$C$34)+COUNTIF($C$5:C26,C26)-1)</f>
        <v/>
      </c>
      <c r="E26" s="6">
        <f>IF(D26="","",IF(D26&lt;=Winners!$F$2,"Winner",""))</f>
        <v/>
      </c>
    </row>
    <row r="27">
      <c r="A27" s="3" t="inlineStr">
        <is>
          <t>Wren</t>
        </is>
      </c>
      <c r="B27" s="3" t="inlineStr">
        <is>
          <t>Bend</t>
        </is>
      </c>
      <c r="C27" s="4">
        <f>IF(A27="","",RAND())</f>
        <v/>
      </c>
      <c r="D27" s="5">
        <f>IF(A27="","",RANK(C27,$C$5:$C$34)+COUNTIF($C$5:C27,C27)-1)</f>
        <v/>
      </c>
      <c r="E27" s="6">
        <f>IF(D27="","",IF(D27&lt;=Winners!$F$2,"Winner",""))</f>
        <v/>
      </c>
    </row>
    <row r="28">
      <c r="A28" s="3" t="inlineStr">
        <is>
          <t>Xavi</t>
        </is>
      </c>
      <c r="B28" s="3" t="inlineStr">
        <is>
          <t>Plano</t>
        </is>
      </c>
      <c r="C28" s="4">
        <f>IF(A28="","",RAND())</f>
        <v/>
      </c>
      <c r="D28" s="5">
        <f>IF(A28="","",RANK(C28,$C$5:$C$34)+COUNTIF($C$5:C28,C28)-1)</f>
        <v/>
      </c>
      <c r="E28" s="6">
        <f>IF(D28="","",IF(D28&lt;=Winners!$F$2,"Winner",""))</f>
        <v/>
      </c>
    </row>
    <row r="29">
      <c r="A29" s="3" t="inlineStr">
        <is>
          <t>Yara</t>
        </is>
      </c>
      <c r="B29" s="3" t="inlineStr">
        <is>
          <t>Biloxi</t>
        </is>
      </c>
      <c r="C29" s="4">
        <f>IF(A29="","",RAND())</f>
        <v/>
      </c>
      <c r="D29" s="5">
        <f>IF(A29="","",RANK(C29,$C$5:$C$34)+COUNTIF($C$5:C29,C29)-1)</f>
        <v/>
      </c>
      <c r="E29" s="6">
        <f>IF(D29="","",IF(D29&lt;=Winners!$F$2,"Winner",""))</f>
        <v/>
      </c>
    </row>
    <row r="30">
      <c r="A30" s="3" t="inlineStr">
        <is>
          <t>Zane</t>
        </is>
      </c>
      <c r="B30" s="3" t="inlineStr">
        <is>
          <t>Joplin</t>
        </is>
      </c>
      <c r="C30" s="4">
        <f>IF(A30="","",RAND())</f>
        <v/>
      </c>
      <c r="D30" s="5">
        <f>IF(A30="","",RANK(C30,$C$5:$C$34)+COUNTIF($C$5:C30,C30)-1)</f>
        <v/>
      </c>
      <c r="E30" s="6">
        <f>IF(D30="","",IF(D30&lt;=Winners!$F$2,"Winner",""))</f>
        <v/>
      </c>
    </row>
    <row r="31">
      <c r="A31" s="3" t="inlineStr">
        <is>
          <t>Abby</t>
        </is>
      </c>
      <c r="B31" s="3" t="inlineStr">
        <is>
          <t>Tulsa</t>
        </is>
      </c>
      <c r="C31" s="4">
        <f>IF(A31="","",RAND())</f>
        <v/>
      </c>
      <c r="D31" s="5">
        <f>IF(A31="","",RANK(C31,$C$5:$C$34)+COUNTIF($C$5:C31,C31)-1)</f>
        <v/>
      </c>
      <c r="E31" s="6">
        <f>IF(D31="","",IF(D31&lt;=Winners!$F$2,"Winner",""))</f>
        <v/>
      </c>
    </row>
    <row r="32">
      <c r="A32" s="3" t="inlineStr">
        <is>
          <t>Brent</t>
        </is>
      </c>
      <c r="B32" s="3" t="inlineStr">
        <is>
          <t>Reno</t>
        </is>
      </c>
      <c r="C32" s="4">
        <f>IF(A32="","",RAND())</f>
        <v/>
      </c>
      <c r="D32" s="5">
        <f>IF(A32="","",RANK(C32,$C$5:$C$34)+COUNTIF($C$5:C32,C32)-1)</f>
        <v/>
      </c>
      <c r="E32" s="6">
        <f>IF(D32="","",IF(D32&lt;=Winners!$F$2,"Winner",""))</f>
        <v/>
      </c>
    </row>
    <row r="33">
      <c r="A33" s="3" t="inlineStr">
        <is>
          <t>Cleo</t>
        </is>
      </c>
      <c r="B33" s="3" t="inlineStr">
        <is>
          <t>Mesa</t>
        </is>
      </c>
      <c r="C33" s="4">
        <f>IF(A33="","",RAND())</f>
        <v/>
      </c>
      <c r="D33" s="5">
        <f>IF(A33="","",RANK(C33,$C$5:$C$34)+COUNTIF($C$5:C33,C33)-1)</f>
        <v/>
      </c>
      <c r="E33" s="6">
        <f>IF(D33="","",IF(D33&lt;=Winners!$F$2,"Winner",""))</f>
        <v/>
      </c>
    </row>
    <row r="34">
      <c r="A34" s="3" t="inlineStr">
        <is>
          <t>Dante</t>
        </is>
      </c>
      <c r="B34" s="3" t="inlineStr">
        <is>
          <t>Salem</t>
        </is>
      </c>
      <c r="C34" s="4">
        <f>IF(A34="","",RAND())</f>
        <v/>
      </c>
      <c r="D34" s="5">
        <f>IF(A34="","",RANK(C34,$C$5:$C$34)+COUNTIF($C$5:C34,C34)-1)</f>
        <v/>
      </c>
      <c r="E34" s="6">
        <f>IF(D34="","",IF(D34&lt;=Winners!$F$2,"Winner",""))</f>
        <v/>
      </c>
    </row>
  </sheetData>
  <conditionalFormatting sqref="A5:E34">
    <cfRule type="expression" priority="1" dxfId="0">
      <formula>$E5="Winner"</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F14"/>
  <sheetViews>
    <sheetView workbookViewId="0">
      <selection activeCell="A1" sqref="A1"/>
    </sheetView>
  </sheetViews>
  <sheetFormatPr baseColWidth="8" defaultRowHeight="15"/>
  <cols>
    <col width="22" customWidth="1" min="1" max="1"/>
    <col width="24" customWidth="1" min="2" max="2"/>
    <col width="16" customWidth="1" min="3" max="3"/>
    <col width="3" customWidth="1" min="4" max="4"/>
    <col width="40" customWidth="1" min="5" max="5"/>
    <col width="16" customWidth="1" min="6" max="6"/>
  </cols>
  <sheetData>
    <row r="1">
      <c r="A1" s="7" t="inlineStr">
        <is>
          <t>Number of winners (1 to 10)</t>
        </is>
      </c>
      <c r="B1" s="3" t="n">
        <v>3</v>
      </c>
      <c r="E1" s="7" t="inlineStr">
        <is>
          <t>Entries counted</t>
        </is>
      </c>
      <c r="F1" s="5">
        <f>COUNTA(Entries!$A$5:$A$34)</f>
        <v/>
      </c>
    </row>
    <row r="2">
      <c r="A2" s="7" t="inlineStr">
        <is>
          <t>Winners check</t>
        </is>
      </c>
      <c r="B2" s="8">
        <f>IF(ISNUMBER(B1),IF(AND(B1&gt;=1,B1&lt;=10,B1=INT(B1)),IF(F1=0,"Add names on the Entries tab",IF(B1&gt;F1,"Fewer entries ("&amp;F1&amp;") than winners: all of them win","OK")),"Winners must be a whole number from 1 to 10"),"Winners must be a number")</f>
        <v/>
      </c>
      <c r="E2" s="7" t="inlineStr">
        <is>
          <t>Winners to draw</t>
        </is>
      </c>
      <c r="F2" s="5">
        <f>IF(ISNUMBER(B1),IF(AND(B1&gt;=1,B1&lt;=10,B1=INT(B1)),MIN(B1,F1),0),0)</f>
        <v/>
      </c>
    </row>
    <row r="3">
      <c r="E3" s="7" t="inlineStr">
        <is>
          <t>Winners listed</t>
        </is>
      </c>
      <c r="F3" s="5">
        <f>SUMPRODUCT(--(B5:B14&lt;&gt;""))</f>
        <v/>
      </c>
    </row>
    <row r="4" ht="24" customHeight="1">
      <c r="A4" s="2" t="inlineStr">
        <is>
          <t>No.</t>
        </is>
      </c>
      <c r="B4" s="2" t="inlineStr">
        <is>
          <t>Winner</t>
        </is>
      </c>
      <c r="C4" s="2" t="inlineStr">
        <is>
          <t>City</t>
        </is>
      </c>
      <c r="E4" s="7" t="inlineStr">
        <is>
          <t>Rows marked Winner on Entries</t>
        </is>
      </c>
      <c r="F4" s="5">
        <f>COUNTIF(Entries!$E$5:$E$34,"Winner")</f>
        <v/>
      </c>
    </row>
    <row r="5">
      <c r="A5" s="9">
        <f>IF(ROWS(A$5:A5)&lt;=$F$2,ROWS(A$5:A5),"")</f>
        <v/>
      </c>
      <c r="B5" s="8">
        <f>IF(A5="","",INDEX(Entries!$A$5:$A$34,MATCH(A5,Entries!$D$5:$D$34,0))&amp;"")</f>
        <v/>
      </c>
      <c r="C5" s="8">
        <f>IF(A5="","",INDEX(Entries!$B$5:$B$34,MATCH(A5,Entries!$D$5:$D$34,0))&amp;"")</f>
        <v/>
      </c>
      <c r="E5" s="7" t="inlineStr">
        <is>
          <t>Check: no repeats, all in the list, right count</t>
        </is>
      </c>
      <c r="F5" s="6">
        <f>IF(AND(F1&gt;=1,F2&gt;=1,F3=F2,F4=F2,MAX(Entries!$D$5:$D$34)=F1,COUNT(Entries!$D$5:$D$34)=F1,SUMPRODUCT((Entries!$D$5:$D$34&lt;&gt;"")*(COUNTIF(Entries!$D$5:$D$34,Entries!$D$5:$D$34)&gt;1))=0,SUMPRODUCT(--(B5:B14&lt;&gt;""),--(COUNTIF(Entries!$A$5:$A$34,B5:B14)&gt;0))=F3,COUNTA(Entries!A35:A500)=0),"OK","CHECK")</f>
        <v/>
      </c>
    </row>
    <row r="6">
      <c r="A6" s="9">
        <f>IF(ROWS(A$5:A6)&lt;=$F$2,ROWS(A$5:A6),"")</f>
        <v/>
      </c>
      <c r="B6" s="8">
        <f>IF(A6="","",INDEX(Entries!$A$5:$A$34,MATCH(A6,Entries!$D$5:$D$34,0))&amp;"")</f>
        <v/>
      </c>
      <c r="C6" s="8">
        <f>IF(A6="","",INDEX(Entries!$B$5:$B$34,MATCH(A6,Entries!$D$5:$D$34,0))&amp;"")</f>
        <v/>
      </c>
    </row>
    <row r="7">
      <c r="A7" s="9">
        <f>IF(ROWS(A$5:A7)&lt;=$F$2,ROWS(A$5:A7),"")</f>
        <v/>
      </c>
      <c r="B7" s="8">
        <f>IF(A7="","",INDEX(Entries!$A$5:$A$34,MATCH(A7,Entries!$D$5:$D$34,0))&amp;"")</f>
        <v/>
      </c>
      <c r="C7" s="8">
        <f>IF(A7="","",INDEX(Entries!$B$5:$B$34,MATCH(A7,Entries!$D$5:$D$34,0))&amp;"")</f>
        <v/>
      </c>
    </row>
    <row r="8">
      <c r="A8" s="9">
        <f>IF(ROWS(A$5:A8)&lt;=$F$2,ROWS(A$5:A8),"")</f>
        <v/>
      </c>
      <c r="B8" s="8">
        <f>IF(A8="","",INDEX(Entries!$A$5:$A$34,MATCH(A8,Entries!$D$5:$D$34,0))&amp;"")</f>
        <v/>
      </c>
      <c r="C8" s="8">
        <f>IF(A8="","",INDEX(Entries!$B$5:$B$34,MATCH(A8,Entries!$D$5:$D$34,0))&amp;"")</f>
        <v/>
      </c>
    </row>
    <row r="9">
      <c r="A9" s="9">
        <f>IF(ROWS(A$5:A9)&lt;=$F$2,ROWS(A$5:A9),"")</f>
        <v/>
      </c>
      <c r="B9" s="8">
        <f>IF(A9="","",INDEX(Entries!$A$5:$A$34,MATCH(A9,Entries!$D$5:$D$34,0))&amp;"")</f>
        <v/>
      </c>
      <c r="C9" s="8">
        <f>IF(A9="","",INDEX(Entries!$B$5:$B$34,MATCH(A9,Entries!$D$5:$D$34,0))&amp;"")</f>
        <v/>
      </c>
    </row>
    <row r="10">
      <c r="A10" s="9">
        <f>IF(ROWS(A$5:A10)&lt;=$F$2,ROWS(A$5:A10),"")</f>
        <v/>
      </c>
      <c r="B10" s="8">
        <f>IF(A10="","",INDEX(Entries!$A$5:$A$34,MATCH(A10,Entries!$D$5:$D$34,0))&amp;"")</f>
        <v/>
      </c>
      <c r="C10" s="8">
        <f>IF(A10="","",INDEX(Entries!$B$5:$B$34,MATCH(A10,Entries!$D$5:$D$34,0))&amp;"")</f>
        <v/>
      </c>
    </row>
    <row r="11">
      <c r="A11" s="9">
        <f>IF(ROWS(A$5:A11)&lt;=$F$2,ROWS(A$5:A11),"")</f>
        <v/>
      </c>
      <c r="B11" s="8">
        <f>IF(A11="","",INDEX(Entries!$A$5:$A$34,MATCH(A11,Entries!$D$5:$D$34,0))&amp;"")</f>
        <v/>
      </c>
      <c r="C11" s="8">
        <f>IF(A11="","",INDEX(Entries!$B$5:$B$34,MATCH(A11,Entries!$D$5:$D$34,0))&amp;"")</f>
        <v/>
      </c>
    </row>
    <row r="12">
      <c r="A12" s="9">
        <f>IF(ROWS(A$5:A12)&lt;=$F$2,ROWS(A$5:A12),"")</f>
        <v/>
      </c>
      <c r="B12" s="8">
        <f>IF(A12="","",INDEX(Entries!$A$5:$A$34,MATCH(A12,Entries!$D$5:$D$34,0))&amp;"")</f>
        <v/>
      </c>
      <c r="C12" s="8">
        <f>IF(A12="","",INDEX(Entries!$B$5:$B$34,MATCH(A12,Entries!$D$5:$D$34,0))&amp;"")</f>
        <v/>
      </c>
    </row>
    <row r="13">
      <c r="A13" s="9">
        <f>IF(ROWS(A$5:A13)&lt;=$F$2,ROWS(A$5:A13),"")</f>
        <v/>
      </c>
      <c r="B13" s="8">
        <f>IF(A13="","",INDEX(Entries!$A$5:$A$34,MATCH(A13,Entries!$D$5:$D$34,0))&amp;"")</f>
        <v/>
      </c>
      <c r="C13" s="8">
        <f>IF(A13="","",INDEX(Entries!$B$5:$B$34,MATCH(A13,Entries!$D$5:$D$34,0))&amp;"")</f>
        <v/>
      </c>
    </row>
    <row r="14">
      <c r="A14" s="9">
        <f>IF(ROWS(A$5:A14)&lt;=$F$2,ROWS(A$5:A14),"")</f>
        <v/>
      </c>
      <c r="B14" s="8">
        <f>IF(A14="","",INDEX(Entries!$A$5:$A$34,MATCH(A14,Entries!$D$5:$D$34,0))&amp;"")</f>
        <v/>
      </c>
      <c r="C14" s="8">
        <f>IF(A14="","",INDEX(Entries!$B$5:$B$34,MATCH(A14,Entries!$D$5:$D$34,0))&amp;"")</f>
        <v/>
      </c>
    </row>
  </sheetData>
  <conditionalFormatting sqref="F5">
    <cfRule type="expression" priority="1" dxfId="1">
      <formula>AND(F5&lt;&gt;"OK",F5&lt;&gt;"")</formula>
    </cfRule>
  </conditionalFormatting>
  <conditionalFormatting sqref="B2">
    <cfRule type="expression" priority="2" dxfId="1">
      <formula>$B$2&lt;&gt;"OK"</formula>
    </cfRule>
  </conditionalFormatting>
  <dataValidations count="1">
    <dataValidation sqref="B1" showDropDown="0" showInputMessage="0" showErrorMessage="0" allowBlank="0" type="whole" operator="between">
      <formula1>1</formula1>
      <formula2>10</formula2>
    </dataValidation>
  </dataValidation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0" t="inlineStr">
        <is>
          <t>Tidy Tabs: Pick Random Giveaway Winners With No Repeats</t>
        </is>
      </c>
    </row>
    <row r="2">
      <c r="A2" s="11" t="inlineStr"/>
    </row>
    <row r="3">
      <c r="A3" s="11" t="inlineStr">
        <is>
          <t>1. Entries tab: type the name and city of each entry in A5:B34 (yellow, 30 rows; the sample is 30 fictional names). Each row is one entry. Winners tab: type how many winners to draw in B1 (yellow, 1 to 10, the sample is 3).</t>
        </is>
      </c>
    </row>
    <row r="4">
      <c r="A4" s="11" t="inlineStr">
        <is>
          <t>2. Random number, C5: =IF(A5="","",RAND()). RAND gives a new number between 0 and 1 every time the sheet recalculates, which is whenever you edit a cell or open the file. So the draw changes on every edit and the winners on this file differ each time it opens.</t>
        </is>
      </c>
    </row>
    <row r="5">
      <c r="A5" s="11" t="inlineStr">
        <is>
          <t>3. Draw order, D5: =IF(A5="","",RANK(C5,$C$5:$C$34)+COUNTIF($C$5:C5,C5)-1). RANK puts the biggest random number first. Adding COUNTIF($C$5:C5,C5)-1 breaks a tie, so every filled row gets its own order number 1, 2, 3 ... up to the number of entries, with none repeated.</t>
        </is>
      </c>
    </row>
    <row r="6">
      <c r="A6" s="11" t="inlineStr">
        <is>
          <t>4. Winners, Winners!B5: =IF(A5="","",INDEX(Entries!$A$5:$A$34,MATCH(A5,Entries!$D$5:$D$34,0))&amp;""). The winners are the rows whose draw order is 1, 2, 3 and so on up to the number you asked for. A row can win only once. Winning rows turn green on the Entries tab.</t>
        </is>
      </c>
    </row>
    <row r="7">
      <c r="A7" s="11" t="inlineStr">
        <is>
          <t>5. To freeze a draw: select Entries C5:D34, Copy, then Paste special &gt; Values only (Google Sheets: Edit &gt; Paste special &gt; Values only). The numbers stay put and the winners stop changing. Do this before you share the result or edit anything.</t>
        </is>
      </c>
    </row>
    <row r="8">
      <c r="A8" s="11" t="inlineStr">
        <is>
          <t>6. If the winners number is larger than the entries, B2 says so and every entry is listed. A blank row in the list is skipped. Two entries with the same name are two rows, so both can win (or only one).</t>
        </is>
      </c>
    </row>
    <row r="9">
      <c r="A9" s="11" t="inlineStr">
        <is>
          <t>7. Check, Winners!F5: shows OK when the draw order is 1 to N with no repeats, the number of winners listed equals the number asked for (or the entries, if fewer), every winner is in the list and nothing is typed below row 34.</t>
        </is>
      </c>
    </row>
    <row r="10">
      <c r="A10" s="11" t="inlineStr">
        <is>
          <t>8. RAND is pseudo-random and has no audit trail. This sheet does not say how to run a giveaway, what rules apply or how to announce results.</t>
        </is>
      </c>
    </row>
    <row r="11">
      <c r="A11" s="11" t="inlineStr"/>
    </row>
    <row r="12">
      <c r="A12" s="11" t="inlineStr">
        <is>
          <t>Names and cities are fictional. Checked in LibreOffice Calc only; not opened in Excel or Google Sheets.</t>
        </is>
      </c>
    </row>
    <row r="13">
      <c r="A13" s="11"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2026-10-28T07:35:44Z</dcterms:created>
  <dcterms:modified xmlns:dcterms="http://purl.org/dc/terms/" xmlns:xsi="http://www.w3.org/2001/XMLSchema-instance" xsi:type="dcterms:W3CDTF">2026-10-28T07:35:44Z</dcterms:modified>
</cp:coreProperties>
</file>