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h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'Inches'!$4:$4</definedName>
    <definedName name="_xlnm.Print_Area" localSheetId="0">'Inches'!$A$1:$K$30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0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0" customWidth="1" min="4" max="4"/>
    <col width="10" customWidth="1" min="5" max="5"/>
    <col width="14" customWidth="1" min="6" max="6"/>
    <col width="16" customWidth="1" min="7" max="7"/>
    <col width="12" customWidth="1" min="8" max="8"/>
    <col width="3" customWidth="1" min="9" max="9"/>
    <col width="40" customWidth="1" min="10" max="10"/>
    <col width="12" customWidth="1" min="11" max="11"/>
  </cols>
  <sheetData>
    <row r="1">
      <c r="A1" s="1" t="inlineStr">
        <is>
          <t>Round to 1/ (8, 16 or 32)</t>
        </is>
      </c>
      <c r="C1" s="2" t="n">
        <v>16</v>
      </c>
      <c r="D1" s="3" t="inlineStr">
        <is>
          <t>16 means the nearest 1/16 inch. Fictional measurements.</t>
        </is>
      </c>
    </row>
    <row r="2">
      <c r="A2" s="1" t="inlineStr">
        <is>
          <t>Precision check</t>
        </is>
      </c>
      <c r="C2" s="4">
        <f>IF(OR(C1=8,C1=16,C1=32),"OK","Pick 8, 16 or 32 in C1")</f>
        <v/>
      </c>
    </row>
    <row r="4" ht="48" customHeight="1">
      <c r="A4" s="5" t="inlineStr">
        <is>
          <t>Decimal inches</t>
        </is>
      </c>
      <c r="B4" s="5" t="inlineStr">
        <is>
          <t>Rounded (number)</t>
        </is>
      </c>
      <c r="C4" s="5" t="inlineStr">
        <is>
          <t>Fraction (TEXT)</t>
        </is>
      </c>
      <c r="D4" s="5" t="inlineStr">
        <is>
          <t>Whole inches</t>
        </is>
      </c>
      <c r="E4" s="5" t="inlineStr">
        <is>
          <t>Parts of an inch</t>
        </is>
      </c>
      <c r="F4" s="5" t="inlineStr">
        <is>
          <t>Reduced fraction</t>
        </is>
      </c>
      <c r="G4" s="5" t="inlineStr">
        <is>
          <t>Feet and inches</t>
        </is>
      </c>
      <c r="H4" s="5" t="inlineStr">
        <is>
          <t>Rounded minus typed</t>
        </is>
      </c>
    </row>
    <row r="5">
      <c r="A5" s="6" t="n">
        <v>0.3125</v>
      </c>
      <c r="B5" s="7">
        <f>IF(A5="","",IF($C$2&lt;&gt;"OK","Check precision",IF(ISNUMBER(A5),IF(A5&lt;0,"Check number",MROUND(A5,1/$C$1)),"Check number")))</f>
        <v/>
      </c>
      <c r="C5" s="8">
        <f>IF(ISNUMBER(B5),IF(B5=0,"0",TRIM(TEXT(B5,"# ?/"&amp;$C$1))),"")</f>
        <v/>
      </c>
      <c r="D5" s="8">
        <f>IF(ISNUMBER(B5),INT(B5),"")</f>
        <v/>
      </c>
      <c r="E5" s="8">
        <f>IF(ISNUMBER(B5),ROUND((B5-D5)*$C$1,0),"")</f>
        <v/>
      </c>
      <c r="F5" s="8">
        <f>IF(ISNUMBER(B5),IF(E5=0,D5&amp;"",IF(D5=0,"",D5&amp;" ")&amp;E5/GCD(E5,$C$1)&amp;"/"&amp;$C$1/GCD(E5,$C$1)),"")</f>
        <v/>
      </c>
      <c r="G5" s="8">
        <f>IF(ISNUMBER(B5),IF(B5&lt;12,"",INT(B5/12)&amp;" ft ")&amp;IF(ROUND(((B5-12*INT(B5/12))-INT((B5-12*INT(B5/12))))*$C$1,0)=0,INT((B5-12*INT(B5/12)))&amp;"",IF(INT((B5-12*INT(B5/12)))=0,"",INT((B5-12*INT(B5/12)))&amp;" ")&amp;ROUND(((B5-12*INT(B5/12))-INT((B5-12*INT(B5/12))))*$C$1,0)/GCD(ROUND(((B5-12*INT(B5/12))-INT((B5-12*INT(B5/12))))*$C$1,0),$C$1)&amp;"/"&amp;$C$1/GCD(ROUND(((B5-12*INT(B5/12))-INT((B5-12*INT(B5/12))))*$C$1,0),$C$1))&amp;" in","")</f>
        <v/>
      </c>
      <c r="H5" s="9">
        <f>IF(ISNUMBER(B5),ROUND(B5-A5,8),"")</f>
        <v/>
      </c>
      <c r="J5" s="1" t="inlineStr">
        <is>
          <t>Numbers rounded</t>
        </is>
      </c>
      <c r="K5" s="10">
        <f>COUNT(B5:B104)</f>
        <v/>
      </c>
    </row>
    <row r="6">
      <c r="A6" s="6" t="n">
        <v>2.7</v>
      </c>
      <c r="B6" s="7">
        <f>IF(A6="","",IF($C$2&lt;&gt;"OK","Check precision",IF(ISNUMBER(A6),IF(A6&lt;0,"Check number",MROUND(A6,1/$C$1)),"Check number")))</f>
        <v/>
      </c>
      <c r="C6" s="8">
        <f>IF(ISNUMBER(B6),IF(B6=0,"0",TRIM(TEXT(B6,"# ?/"&amp;$C$1))),"")</f>
        <v/>
      </c>
      <c r="D6" s="8">
        <f>IF(ISNUMBER(B6),INT(B6),"")</f>
        <v/>
      </c>
      <c r="E6" s="8">
        <f>IF(ISNUMBER(B6),ROUND((B6-D6)*$C$1,0),"")</f>
        <v/>
      </c>
      <c r="F6" s="8">
        <f>IF(ISNUMBER(B6),IF(E6=0,D6&amp;"",IF(D6=0,"",D6&amp;" ")&amp;E6/GCD(E6,$C$1)&amp;"/"&amp;$C$1/GCD(E6,$C$1)),"")</f>
        <v/>
      </c>
      <c r="G6" s="8">
        <f>IF(ISNUMBER(B6),IF(B6&lt;12,"",INT(B6/12)&amp;" ft ")&amp;IF(ROUND(((B6-12*INT(B6/12))-INT((B6-12*INT(B6/12))))*$C$1,0)=0,INT((B6-12*INT(B6/12)))&amp;"",IF(INT((B6-12*INT(B6/12)))=0,"",INT((B6-12*INT(B6/12)))&amp;" ")&amp;ROUND(((B6-12*INT(B6/12))-INT((B6-12*INT(B6/12))))*$C$1,0)/GCD(ROUND(((B6-12*INT(B6/12))-INT((B6-12*INT(B6/12))))*$C$1,0),$C$1)&amp;"/"&amp;$C$1/GCD(ROUND(((B6-12*INT(B6/12))-INT((B6-12*INT(B6/12))))*$C$1,0),$C$1))&amp;" in","")</f>
        <v/>
      </c>
      <c r="H6" s="9">
        <f>IF(ISNUMBER(B6),ROUND(B6-A6,8),"")</f>
        <v/>
      </c>
      <c r="J6" s="1" t="inlineStr">
        <is>
          <t>Rounded up</t>
        </is>
      </c>
      <c r="K6" s="10">
        <f>COUNTIF(H5:H104,"&gt;0")</f>
        <v/>
      </c>
    </row>
    <row r="7">
      <c r="A7" s="6" t="n">
        <v>5</v>
      </c>
      <c r="B7" s="7">
        <f>IF(A7="","",IF($C$2&lt;&gt;"OK","Check precision",IF(ISNUMBER(A7),IF(A7&lt;0,"Check number",MROUND(A7,1/$C$1)),"Check number")))</f>
        <v/>
      </c>
      <c r="C7" s="8">
        <f>IF(ISNUMBER(B7),IF(B7=0,"0",TRIM(TEXT(B7,"# ?/"&amp;$C$1))),"")</f>
        <v/>
      </c>
      <c r="D7" s="8">
        <f>IF(ISNUMBER(B7),INT(B7),"")</f>
        <v/>
      </c>
      <c r="E7" s="8">
        <f>IF(ISNUMBER(B7),ROUND((B7-D7)*$C$1,0),"")</f>
        <v/>
      </c>
      <c r="F7" s="8">
        <f>IF(ISNUMBER(B7),IF(E7=0,D7&amp;"",IF(D7=0,"",D7&amp;" ")&amp;E7/GCD(E7,$C$1)&amp;"/"&amp;$C$1/GCD(E7,$C$1)),"")</f>
        <v/>
      </c>
      <c r="G7" s="8">
        <f>IF(ISNUMBER(B7),IF(B7&lt;12,"",INT(B7/12)&amp;" ft ")&amp;IF(ROUND(((B7-12*INT(B7/12))-INT((B7-12*INT(B7/12))))*$C$1,0)=0,INT((B7-12*INT(B7/12)))&amp;"",IF(INT((B7-12*INT(B7/12)))=0,"",INT((B7-12*INT(B7/12)))&amp;" ")&amp;ROUND(((B7-12*INT(B7/12))-INT((B7-12*INT(B7/12))))*$C$1,0)/GCD(ROUND(((B7-12*INT(B7/12))-INT((B7-12*INT(B7/12))))*$C$1,0),$C$1)&amp;"/"&amp;$C$1/GCD(ROUND(((B7-12*INT(B7/12))-INT((B7-12*INT(B7/12))))*$C$1,0),$C$1))&amp;" in","")</f>
        <v/>
      </c>
      <c r="H7" s="9">
        <f>IF(ISNUMBER(B7),ROUND(B7-A7,8),"")</f>
        <v/>
      </c>
      <c r="J7" s="1" t="inlineStr">
        <is>
          <t>Rounded down</t>
        </is>
      </c>
      <c r="K7" s="10">
        <f>COUNTIF(H5:H104,"&lt;0")</f>
        <v/>
      </c>
    </row>
    <row r="8">
      <c r="A8" s="6" t="n">
        <v>11.875</v>
      </c>
      <c r="B8" s="7">
        <f>IF(A8="","",IF($C$2&lt;&gt;"OK","Check precision",IF(ISNUMBER(A8),IF(A8&lt;0,"Check number",MROUND(A8,1/$C$1)),"Check number")))</f>
        <v/>
      </c>
      <c r="C8" s="8">
        <f>IF(ISNUMBER(B8),IF(B8=0,"0",TRIM(TEXT(B8,"# ?/"&amp;$C$1))),"")</f>
        <v/>
      </c>
      <c r="D8" s="8">
        <f>IF(ISNUMBER(B8),INT(B8),"")</f>
        <v/>
      </c>
      <c r="E8" s="8">
        <f>IF(ISNUMBER(B8),ROUND((B8-D8)*$C$1,0),"")</f>
        <v/>
      </c>
      <c r="F8" s="8">
        <f>IF(ISNUMBER(B8),IF(E8=0,D8&amp;"",IF(D8=0,"",D8&amp;" ")&amp;E8/GCD(E8,$C$1)&amp;"/"&amp;$C$1/GCD(E8,$C$1)),"")</f>
        <v/>
      </c>
      <c r="G8" s="8">
        <f>IF(ISNUMBER(B8),IF(B8&lt;12,"",INT(B8/12)&amp;" ft ")&amp;IF(ROUND(((B8-12*INT(B8/12))-INT((B8-12*INT(B8/12))))*$C$1,0)=0,INT((B8-12*INT(B8/12)))&amp;"",IF(INT((B8-12*INT(B8/12)))=0,"",INT((B8-12*INT(B8/12)))&amp;" ")&amp;ROUND(((B8-12*INT(B8/12))-INT((B8-12*INT(B8/12))))*$C$1,0)/GCD(ROUND(((B8-12*INT(B8/12))-INT((B8-12*INT(B8/12))))*$C$1,0),$C$1)&amp;"/"&amp;$C$1/GCD(ROUND(((B8-12*INT(B8/12))-INT((B8-12*INT(B8/12))))*$C$1,0),$C$1))&amp;" in","")</f>
        <v/>
      </c>
      <c r="H8" s="9">
        <f>IF(ISNUMBER(B8),ROUND(B8-A8,8),"")</f>
        <v/>
      </c>
      <c r="J8" s="1" t="inlineStr">
        <is>
          <t>Largest difference (inches)</t>
        </is>
      </c>
      <c r="K8" s="9">
        <f>IF(COUNT(H5:H104)=0,"",MAX(MAX(H5:H104),-MIN(H5:H104)))</f>
        <v/>
      </c>
    </row>
    <row r="9">
      <c r="A9" s="6" t="n">
        <v>0.03</v>
      </c>
      <c r="B9" s="7">
        <f>IF(A9="","",IF($C$2&lt;&gt;"OK","Check precision",IF(ISNUMBER(A9),IF(A9&lt;0,"Check number",MROUND(A9,1/$C$1)),"Check number")))</f>
        <v/>
      </c>
      <c r="C9" s="8">
        <f>IF(ISNUMBER(B9),IF(B9=0,"0",TRIM(TEXT(B9,"# ?/"&amp;$C$1))),"")</f>
        <v/>
      </c>
      <c r="D9" s="8">
        <f>IF(ISNUMBER(B9),INT(B9),"")</f>
        <v/>
      </c>
      <c r="E9" s="8">
        <f>IF(ISNUMBER(B9),ROUND((B9-D9)*$C$1,0),"")</f>
        <v/>
      </c>
      <c r="F9" s="8">
        <f>IF(ISNUMBER(B9),IF(E9=0,D9&amp;"",IF(D9=0,"",D9&amp;" ")&amp;E9/GCD(E9,$C$1)&amp;"/"&amp;$C$1/GCD(E9,$C$1)),"")</f>
        <v/>
      </c>
      <c r="G9" s="8">
        <f>IF(ISNUMBER(B9),IF(B9&lt;12,"",INT(B9/12)&amp;" ft ")&amp;IF(ROUND(((B9-12*INT(B9/12))-INT((B9-12*INT(B9/12))))*$C$1,0)=0,INT((B9-12*INT(B9/12)))&amp;"",IF(INT((B9-12*INT(B9/12)))=0,"",INT((B9-12*INT(B9/12)))&amp;" ")&amp;ROUND(((B9-12*INT(B9/12))-INT((B9-12*INT(B9/12))))*$C$1,0)/GCD(ROUND(((B9-12*INT(B9/12))-INT((B9-12*INT(B9/12))))*$C$1,0),$C$1)&amp;"/"&amp;$C$1/GCD(ROUND(((B9-12*INT(B9/12))-INT((B9-12*INT(B9/12))))*$C$1,0),$C$1))&amp;" in","")</f>
        <v/>
      </c>
      <c r="H9" s="9">
        <f>IF(ISNUMBER(B9),ROUND(B9-A9,8),"")</f>
        <v/>
      </c>
      <c r="J9" s="1" t="inlineStr">
        <is>
          <t>Check: every number rounds within half a step</t>
        </is>
      </c>
      <c r="K9" s="8">
        <f>IF(C2&lt;&gt;"OK","CHECK",IF(AND(COUNT(A5:A104)=COUNTA(A5:A104),COUNT(A5:A104)=COUNT(B5:B104),SUMPRODUCT(--(A5:A104&lt;0))=0,OR(K5=0,K8&lt;=0.5/C1+0.000000001),COUNTA(A105:A500)=0),"OK","CHECK"))</f>
        <v/>
      </c>
    </row>
    <row r="10">
      <c r="A10" s="6" t="n">
        <v>12.999</v>
      </c>
      <c r="B10" s="7">
        <f>IF(A10="","",IF($C$2&lt;&gt;"OK","Check precision",IF(ISNUMBER(A10),IF(A10&lt;0,"Check number",MROUND(A10,1/$C$1)),"Check number")))</f>
        <v/>
      </c>
      <c r="C10" s="8">
        <f>IF(ISNUMBER(B10),IF(B10=0,"0",TRIM(TEXT(B10,"# ?/"&amp;$C$1))),"")</f>
        <v/>
      </c>
      <c r="D10" s="8">
        <f>IF(ISNUMBER(B10),INT(B10),"")</f>
        <v/>
      </c>
      <c r="E10" s="8">
        <f>IF(ISNUMBER(B10),ROUND((B10-D10)*$C$1,0),"")</f>
        <v/>
      </c>
      <c r="F10" s="8">
        <f>IF(ISNUMBER(B10),IF(E10=0,D10&amp;"",IF(D10=0,"",D10&amp;" ")&amp;E10/GCD(E10,$C$1)&amp;"/"&amp;$C$1/GCD(E10,$C$1)),"")</f>
        <v/>
      </c>
      <c r="G10" s="8">
        <f>IF(ISNUMBER(B10),IF(B10&lt;12,"",INT(B10/12)&amp;" ft ")&amp;IF(ROUND(((B10-12*INT(B10/12))-INT((B10-12*INT(B10/12))))*$C$1,0)=0,INT((B10-12*INT(B10/12)))&amp;"",IF(INT((B10-12*INT(B10/12)))=0,"",INT((B10-12*INT(B10/12)))&amp;" ")&amp;ROUND(((B10-12*INT(B10/12))-INT((B10-12*INT(B10/12))))*$C$1,0)/GCD(ROUND(((B10-12*INT(B10/12))-INT((B10-12*INT(B10/12))))*$C$1,0),$C$1)&amp;"/"&amp;$C$1/GCD(ROUND(((B10-12*INT(B10/12))-INT((B10-12*INT(B10/12))))*$C$1,0),$C$1))&amp;" in","")</f>
        <v/>
      </c>
      <c r="H10" s="9">
        <f>IF(ISNUMBER(B10),ROUND(B10-A10,8),"")</f>
        <v/>
      </c>
    </row>
    <row r="11">
      <c r="A11" s="6" t="n">
        <v>0.5</v>
      </c>
      <c r="B11" s="7">
        <f>IF(A11="","",IF($C$2&lt;&gt;"OK","Check precision",IF(ISNUMBER(A11),IF(A11&lt;0,"Check number",MROUND(A11,1/$C$1)),"Check number")))</f>
        <v/>
      </c>
      <c r="C11" s="8">
        <f>IF(ISNUMBER(B11),IF(B11=0,"0",TRIM(TEXT(B11,"# ?/"&amp;$C$1))),"")</f>
        <v/>
      </c>
      <c r="D11" s="8">
        <f>IF(ISNUMBER(B11),INT(B11),"")</f>
        <v/>
      </c>
      <c r="E11" s="8">
        <f>IF(ISNUMBER(B11),ROUND((B11-D11)*$C$1,0),"")</f>
        <v/>
      </c>
      <c r="F11" s="8">
        <f>IF(ISNUMBER(B11),IF(E11=0,D11&amp;"",IF(D11=0,"",D11&amp;" ")&amp;E11/GCD(E11,$C$1)&amp;"/"&amp;$C$1/GCD(E11,$C$1)),"")</f>
        <v/>
      </c>
      <c r="G11" s="8">
        <f>IF(ISNUMBER(B11),IF(B11&lt;12,"",INT(B11/12)&amp;" ft ")&amp;IF(ROUND(((B11-12*INT(B11/12))-INT((B11-12*INT(B11/12))))*$C$1,0)=0,INT((B11-12*INT(B11/12)))&amp;"",IF(INT((B11-12*INT(B11/12)))=0,"",INT((B11-12*INT(B11/12)))&amp;" ")&amp;ROUND(((B11-12*INT(B11/12))-INT((B11-12*INT(B11/12))))*$C$1,0)/GCD(ROUND(((B11-12*INT(B11/12))-INT((B11-12*INT(B11/12))))*$C$1,0),$C$1)&amp;"/"&amp;$C$1/GCD(ROUND(((B11-12*INT(B11/12))-INT((B11-12*INT(B11/12))))*$C$1,0),$C$1))&amp;" in","")</f>
        <v/>
      </c>
      <c r="H11" s="9">
        <f>IF(ISNUMBER(B11),ROUND(B11-A11,8),"")</f>
        <v/>
      </c>
    </row>
    <row r="12">
      <c r="A12" s="6" t="n">
        <v>7.0625</v>
      </c>
      <c r="B12" s="7">
        <f>IF(A12="","",IF($C$2&lt;&gt;"OK","Check precision",IF(ISNUMBER(A12),IF(A12&lt;0,"Check number",MROUND(A12,1/$C$1)),"Check number")))</f>
        <v/>
      </c>
      <c r="C12" s="8">
        <f>IF(ISNUMBER(B12),IF(B12=0,"0",TRIM(TEXT(B12,"# ?/"&amp;$C$1))),"")</f>
        <v/>
      </c>
      <c r="D12" s="8">
        <f>IF(ISNUMBER(B12),INT(B12),"")</f>
        <v/>
      </c>
      <c r="E12" s="8">
        <f>IF(ISNUMBER(B12),ROUND((B12-D12)*$C$1,0),"")</f>
        <v/>
      </c>
      <c r="F12" s="8">
        <f>IF(ISNUMBER(B12),IF(E12=0,D12&amp;"",IF(D12=0,"",D12&amp;" ")&amp;E12/GCD(E12,$C$1)&amp;"/"&amp;$C$1/GCD(E12,$C$1)),"")</f>
        <v/>
      </c>
      <c r="G12" s="8">
        <f>IF(ISNUMBER(B12),IF(B12&lt;12,"",INT(B12/12)&amp;" ft ")&amp;IF(ROUND(((B12-12*INT(B12/12))-INT((B12-12*INT(B12/12))))*$C$1,0)=0,INT((B12-12*INT(B12/12)))&amp;"",IF(INT((B12-12*INT(B12/12)))=0,"",INT((B12-12*INT(B12/12)))&amp;" ")&amp;ROUND(((B12-12*INT(B12/12))-INT((B12-12*INT(B12/12))))*$C$1,0)/GCD(ROUND(((B12-12*INT(B12/12))-INT((B12-12*INT(B12/12))))*$C$1,0),$C$1)&amp;"/"&amp;$C$1/GCD(ROUND(((B12-12*INT(B12/12))-INT((B12-12*INT(B12/12))))*$C$1,0),$C$1))&amp;" in","")</f>
        <v/>
      </c>
      <c r="H12" s="9">
        <f>IF(ISNUMBER(B12),ROUND(B12-A12,8),"")</f>
        <v/>
      </c>
    </row>
    <row r="13">
      <c r="A13" s="6" t="n">
        <v>36.4</v>
      </c>
      <c r="B13" s="7">
        <f>IF(A13="","",IF($C$2&lt;&gt;"OK","Check precision",IF(ISNUMBER(A13),IF(A13&lt;0,"Check number",MROUND(A13,1/$C$1)),"Check number")))</f>
        <v/>
      </c>
      <c r="C13" s="8">
        <f>IF(ISNUMBER(B13),IF(B13=0,"0",TRIM(TEXT(B13,"# ?/"&amp;$C$1))),"")</f>
        <v/>
      </c>
      <c r="D13" s="8">
        <f>IF(ISNUMBER(B13),INT(B13),"")</f>
        <v/>
      </c>
      <c r="E13" s="8">
        <f>IF(ISNUMBER(B13),ROUND((B13-D13)*$C$1,0),"")</f>
        <v/>
      </c>
      <c r="F13" s="8">
        <f>IF(ISNUMBER(B13),IF(E13=0,D13&amp;"",IF(D13=0,"",D13&amp;" ")&amp;E13/GCD(E13,$C$1)&amp;"/"&amp;$C$1/GCD(E13,$C$1)),"")</f>
        <v/>
      </c>
      <c r="G13" s="8">
        <f>IF(ISNUMBER(B13),IF(B13&lt;12,"",INT(B13/12)&amp;" ft ")&amp;IF(ROUND(((B13-12*INT(B13/12))-INT((B13-12*INT(B13/12))))*$C$1,0)=0,INT((B13-12*INT(B13/12)))&amp;"",IF(INT((B13-12*INT(B13/12)))=0,"",INT((B13-12*INT(B13/12)))&amp;" ")&amp;ROUND(((B13-12*INT(B13/12))-INT((B13-12*INT(B13/12))))*$C$1,0)/GCD(ROUND(((B13-12*INT(B13/12))-INT((B13-12*INT(B13/12))))*$C$1,0),$C$1)&amp;"/"&amp;$C$1/GCD(ROUND(((B13-12*INT(B13/12))-INT((B13-12*INT(B13/12))))*$C$1,0),$C$1))&amp;" in","")</f>
        <v/>
      </c>
      <c r="H13" s="9">
        <f>IF(ISNUMBER(B13),ROUND(B13-A13,8),"")</f>
        <v/>
      </c>
    </row>
    <row r="14">
      <c r="A14" s="6" t="n">
        <v>0.09375</v>
      </c>
      <c r="B14" s="7">
        <f>IF(A14="","",IF($C$2&lt;&gt;"OK","Check precision",IF(ISNUMBER(A14),IF(A14&lt;0,"Check number",MROUND(A14,1/$C$1)),"Check number")))</f>
        <v/>
      </c>
      <c r="C14" s="8">
        <f>IF(ISNUMBER(B14),IF(B14=0,"0",TRIM(TEXT(B14,"# ?/"&amp;$C$1))),"")</f>
        <v/>
      </c>
      <c r="D14" s="8">
        <f>IF(ISNUMBER(B14),INT(B14),"")</f>
        <v/>
      </c>
      <c r="E14" s="8">
        <f>IF(ISNUMBER(B14),ROUND((B14-D14)*$C$1,0),"")</f>
        <v/>
      </c>
      <c r="F14" s="8">
        <f>IF(ISNUMBER(B14),IF(E14=0,D14&amp;"",IF(D14=0,"",D14&amp;" ")&amp;E14/GCD(E14,$C$1)&amp;"/"&amp;$C$1/GCD(E14,$C$1)),"")</f>
        <v/>
      </c>
      <c r="G14" s="8">
        <f>IF(ISNUMBER(B14),IF(B14&lt;12,"",INT(B14/12)&amp;" ft ")&amp;IF(ROUND(((B14-12*INT(B14/12))-INT((B14-12*INT(B14/12))))*$C$1,0)=0,INT((B14-12*INT(B14/12)))&amp;"",IF(INT((B14-12*INT(B14/12)))=0,"",INT((B14-12*INT(B14/12)))&amp;" ")&amp;ROUND(((B14-12*INT(B14/12))-INT((B14-12*INT(B14/12))))*$C$1,0)/GCD(ROUND(((B14-12*INT(B14/12))-INT((B14-12*INT(B14/12))))*$C$1,0),$C$1)&amp;"/"&amp;$C$1/GCD(ROUND(((B14-12*INT(B14/12))-INT((B14-12*INT(B14/12))))*$C$1,0),$C$1))&amp;" in","")</f>
        <v/>
      </c>
      <c r="H14" s="9">
        <f>IF(ISNUMBER(B14),ROUND(B14-A14,8),"")</f>
        <v/>
      </c>
    </row>
    <row r="15">
      <c r="A15" s="6" t="n">
        <v>24.25</v>
      </c>
      <c r="B15" s="7">
        <f>IF(A15="","",IF($C$2&lt;&gt;"OK","Check precision",IF(ISNUMBER(A15),IF(A15&lt;0,"Check number",MROUND(A15,1/$C$1)),"Check number")))</f>
        <v/>
      </c>
      <c r="C15" s="8">
        <f>IF(ISNUMBER(B15),IF(B15=0,"0",TRIM(TEXT(B15,"# ?/"&amp;$C$1))),"")</f>
        <v/>
      </c>
      <c r="D15" s="8">
        <f>IF(ISNUMBER(B15),INT(B15),"")</f>
        <v/>
      </c>
      <c r="E15" s="8">
        <f>IF(ISNUMBER(B15),ROUND((B15-D15)*$C$1,0),"")</f>
        <v/>
      </c>
      <c r="F15" s="8">
        <f>IF(ISNUMBER(B15),IF(E15=0,D15&amp;"",IF(D15=0,"",D15&amp;" ")&amp;E15/GCD(E15,$C$1)&amp;"/"&amp;$C$1/GCD(E15,$C$1)),"")</f>
        <v/>
      </c>
      <c r="G15" s="8">
        <f>IF(ISNUMBER(B15),IF(B15&lt;12,"",INT(B15/12)&amp;" ft ")&amp;IF(ROUND(((B15-12*INT(B15/12))-INT((B15-12*INT(B15/12))))*$C$1,0)=0,INT((B15-12*INT(B15/12)))&amp;"",IF(INT((B15-12*INT(B15/12)))=0,"",INT((B15-12*INT(B15/12)))&amp;" ")&amp;ROUND(((B15-12*INT(B15/12))-INT((B15-12*INT(B15/12))))*$C$1,0)/GCD(ROUND(((B15-12*INT(B15/12))-INT((B15-12*INT(B15/12))))*$C$1,0),$C$1)&amp;"/"&amp;$C$1/GCD(ROUND(((B15-12*INT(B15/12))-INT((B15-12*INT(B15/12))))*$C$1,0),$C$1))&amp;" in","")</f>
        <v/>
      </c>
      <c r="H15" s="9">
        <f>IF(ISNUMBER(B15),ROUND(B15-A15,8),"")</f>
        <v/>
      </c>
    </row>
    <row r="16">
      <c r="A16" s="6" t="n">
        <v>48.5</v>
      </c>
      <c r="B16" s="7">
        <f>IF(A16="","",IF($C$2&lt;&gt;"OK","Check precision",IF(ISNUMBER(A16),IF(A16&lt;0,"Check number",MROUND(A16,1/$C$1)),"Check number")))</f>
        <v/>
      </c>
      <c r="C16" s="8">
        <f>IF(ISNUMBER(B16),IF(B16=0,"0",TRIM(TEXT(B16,"# ?/"&amp;$C$1))),"")</f>
        <v/>
      </c>
      <c r="D16" s="8">
        <f>IF(ISNUMBER(B16),INT(B16),"")</f>
        <v/>
      </c>
      <c r="E16" s="8">
        <f>IF(ISNUMBER(B16),ROUND((B16-D16)*$C$1,0),"")</f>
        <v/>
      </c>
      <c r="F16" s="8">
        <f>IF(ISNUMBER(B16),IF(E16=0,D16&amp;"",IF(D16=0,"",D16&amp;" ")&amp;E16/GCD(E16,$C$1)&amp;"/"&amp;$C$1/GCD(E16,$C$1)),"")</f>
        <v/>
      </c>
      <c r="G16" s="8">
        <f>IF(ISNUMBER(B16),IF(B16&lt;12,"",INT(B16/12)&amp;" ft ")&amp;IF(ROUND(((B16-12*INT(B16/12))-INT((B16-12*INT(B16/12))))*$C$1,0)=0,INT((B16-12*INT(B16/12)))&amp;"",IF(INT((B16-12*INT(B16/12)))=0,"",INT((B16-12*INT(B16/12)))&amp;" ")&amp;ROUND(((B16-12*INT(B16/12))-INT((B16-12*INT(B16/12))))*$C$1,0)/GCD(ROUND(((B16-12*INT(B16/12))-INT((B16-12*INT(B16/12))))*$C$1,0),$C$1)&amp;"/"&amp;$C$1/GCD(ROUND(((B16-12*INT(B16/12))-INT((B16-12*INT(B16/12))))*$C$1,0),$C$1))&amp;" in","")</f>
        <v/>
      </c>
      <c r="H16" s="9">
        <f>IF(ISNUMBER(B16),ROUND(B16-A16,8),"")</f>
        <v/>
      </c>
    </row>
    <row r="17">
      <c r="A17" s="6" t="n">
        <v>1.03125</v>
      </c>
      <c r="B17" s="7">
        <f>IF(A17="","",IF($C$2&lt;&gt;"OK","Check precision",IF(ISNUMBER(A17),IF(A17&lt;0,"Check number",MROUND(A17,1/$C$1)),"Check number")))</f>
        <v/>
      </c>
      <c r="C17" s="8">
        <f>IF(ISNUMBER(B17),IF(B17=0,"0",TRIM(TEXT(B17,"# ?/"&amp;$C$1))),"")</f>
        <v/>
      </c>
      <c r="D17" s="8">
        <f>IF(ISNUMBER(B17),INT(B17),"")</f>
        <v/>
      </c>
      <c r="E17" s="8">
        <f>IF(ISNUMBER(B17),ROUND((B17-D17)*$C$1,0),"")</f>
        <v/>
      </c>
      <c r="F17" s="8">
        <f>IF(ISNUMBER(B17),IF(E17=0,D17&amp;"",IF(D17=0,"",D17&amp;" ")&amp;E17/GCD(E17,$C$1)&amp;"/"&amp;$C$1/GCD(E17,$C$1)),"")</f>
        <v/>
      </c>
      <c r="G17" s="8">
        <f>IF(ISNUMBER(B17),IF(B17&lt;12,"",INT(B17/12)&amp;" ft ")&amp;IF(ROUND(((B17-12*INT(B17/12))-INT((B17-12*INT(B17/12))))*$C$1,0)=0,INT((B17-12*INT(B17/12)))&amp;"",IF(INT((B17-12*INT(B17/12)))=0,"",INT((B17-12*INT(B17/12)))&amp;" ")&amp;ROUND(((B17-12*INT(B17/12))-INT((B17-12*INT(B17/12))))*$C$1,0)/GCD(ROUND(((B17-12*INT(B17/12))-INT((B17-12*INT(B17/12))))*$C$1,0),$C$1)&amp;"/"&amp;$C$1/GCD(ROUND(((B17-12*INT(B17/12))-INT((B17-12*INT(B17/12))))*$C$1,0),$C$1))&amp;" in","")</f>
        <v/>
      </c>
      <c r="H17" s="9">
        <f>IF(ISNUMBER(B17),ROUND(B17-A17,8),"")</f>
        <v/>
      </c>
    </row>
    <row r="18">
      <c r="A18" s="6" t="n">
        <v>0</v>
      </c>
      <c r="B18" s="7">
        <f>IF(A18="","",IF($C$2&lt;&gt;"OK","Check precision",IF(ISNUMBER(A18),IF(A18&lt;0,"Check number",MROUND(A18,1/$C$1)),"Check number")))</f>
        <v/>
      </c>
      <c r="C18" s="8">
        <f>IF(ISNUMBER(B18),IF(B18=0,"0",TRIM(TEXT(B18,"# ?/"&amp;$C$1))),"")</f>
        <v/>
      </c>
      <c r="D18" s="8">
        <f>IF(ISNUMBER(B18),INT(B18),"")</f>
        <v/>
      </c>
      <c r="E18" s="8">
        <f>IF(ISNUMBER(B18),ROUND((B18-D18)*$C$1,0),"")</f>
        <v/>
      </c>
      <c r="F18" s="8">
        <f>IF(ISNUMBER(B18),IF(E18=0,D18&amp;"",IF(D18=0,"",D18&amp;" ")&amp;E18/GCD(E18,$C$1)&amp;"/"&amp;$C$1/GCD(E18,$C$1)),"")</f>
        <v/>
      </c>
      <c r="G18" s="8">
        <f>IF(ISNUMBER(B18),IF(B18&lt;12,"",INT(B18/12)&amp;" ft ")&amp;IF(ROUND(((B18-12*INT(B18/12))-INT((B18-12*INT(B18/12))))*$C$1,0)=0,INT((B18-12*INT(B18/12)))&amp;"",IF(INT((B18-12*INT(B18/12)))=0,"",INT((B18-12*INT(B18/12)))&amp;" ")&amp;ROUND(((B18-12*INT(B18/12))-INT((B18-12*INT(B18/12))))*$C$1,0)/GCD(ROUND(((B18-12*INT(B18/12))-INT((B18-12*INT(B18/12))))*$C$1,0),$C$1)&amp;"/"&amp;$C$1/GCD(ROUND(((B18-12*INT(B18/12))-INT((B18-12*INT(B18/12))))*$C$1,0),$C$1))&amp;" in","")</f>
        <v/>
      </c>
      <c r="H18" s="9">
        <f>IF(ISNUMBER(B18),ROUND(B18-A18,8),"")</f>
        <v/>
      </c>
    </row>
    <row r="19">
      <c r="A19" s="6" t="n">
        <v>3.14159</v>
      </c>
      <c r="B19" s="7">
        <f>IF(A19="","",IF($C$2&lt;&gt;"OK","Check precision",IF(ISNUMBER(A19),IF(A19&lt;0,"Check number",MROUND(A19,1/$C$1)),"Check number")))</f>
        <v/>
      </c>
      <c r="C19" s="8">
        <f>IF(ISNUMBER(B19),IF(B19=0,"0",TRIM(TEXT(B19,"# ?/"&amp;$C$1))),"")</f>
        <v/>
      </c>
      <c r="D19" s="8">
        <f>IF(ISNUMBER(B19),INT(B19),"")</f>
        <v/>
      </c>
      <c r="E19" s="8">
        <f>IF(ISNUMBER(B19),ROUND((B19-D19)*$C$1,0),"")</f>
        <v/>
      </c>
      <c r="F19" s="8">
        <f>IF(ISNUMBER(B19),IF(E19=0,D19&amp;"",IF(D19=0,"",D19&amp;" ")&amp;E19/GCD(E19,$C$1)&amp;"/"&amp;$C$1/GCD(E19,$C$1)),"")</f>
        <v/>
      </c>
      <c r="G19" s="8">
        <f>IF(ISNUMBER(B19),IF(B19&lt;12,"",INT(B19/12)&amp;" ft ")&amp;IF(ROUND(((B19-12*INT(B19/12))-INT((B19-12*INT(B19/12))))*$C$1,0)=0,INT((B19-12*INT(B19/12)))&amp;"",IF(INT((B19-12*INT(B19/12)))=0,"",INT((B19-12*INT(B19/12)))&amp;" ")&amp;ROUND(((B19-12*INT(B19/12))-INT((B19-12*INT(B19/12))))*$C$1,0)/GCD(ROUND(((B19-12*INT(B19/12))-INT((B19-12*INT(B19/12))))*$C$1,0),$C$1)&amp;"/"&amp;$C$1/GCD(ROUND(((B19-12*INT(B19/12))-INT((B19-12*INT(B19/12))))*$C$1,0),$C$1))&amp;" in","")</f>
        <v/>
      </c>
      <c r="H19" s="9">
        <f>IF(ISNUMBER(B19),ROUND(B19-A19,8),"")</f>
        <v/>
      </c>
    </row>
    <row r="20">
      <c r="A20" s="6" t="n">
        <v>15.9</v>
      </c>
      <c r="B20" s="7">
        <f>IF(A20="","",IF($C$2&lt;&gt;"OK","Check precision",IF(ISNUMBER(A20),IF(A20&lt;0,"Check number",MROUND(A20,1/$C$1)),"Check number")))</f>
        <v/>
      </c>
      <c r="C20" s="8">
        <f>IF(ISNUMBER(B20),IF(B20=0,"0",TRIM(TEXT(B20,"# ?/"&amp;$C$1))),"")</f>
        <v/>
      </c>
      <c r="D20" s="8">
        <f>IF(ISNUMBER(B20),INT(B20),"")</f>
        <v/>
      </c>
      <c r="E20" s="8">
        <f>IF(ISNUMBER(B20),ROUND((B20-D20)*$C$1,0),"")</f>
        <v/>
      </c>
      <c r="F20" s="8">
        <f>IF(ISNUMBER(B20),IF(E20=0,D20&amp;"",IF(D20=0,"",D20&amp;" ")&amp;E20/GCD(E20,$C$1)&amp;"/"&amp;$C$1/GCD(E20,$C$1)),"")</f>
        <v/>
      </c>
      <c r="G20" s="8">
        <f>IF(ISNUMBER(B20),IF(B20&lt;12,"",INT(B20/12)&amp;" ft ")&amp;IF(ROUND(((B20-12*INT(B20/12))-INT((B20-12*INT(B20/12))))*$C$1,0)=0,INT((B20-12*INT(B20/12)))&amp;"",IF(INT((B20-12*INT(B20/12)))=0,"",INT((B20-12*INT(B20/12)))&amp;" ")&amp;ROUND(((B20-12*INT(B20/12))-INT((B20-12*INT(B20/12))))*$C$1,0)/GCD(ROUND(((B20-12*INT(B20/12))-INT((B20-12*INT(B20/12))))*$C$1,0),$C$1)&amp;"/"&amp;$C$1/GCD(ROUND(((B20-12*INT(B20/12))-INT((B20-12*INT(B20/12))))*$C$1,0),$C$1))&amp;" in","")</f>
        <v/>
      </c>
      <c r="H20" s="9">
        <f>IF(ISNUMBER(B20),ROUND(B20-A20,8),"")</f>
        <v/>
      </c>
    </row>
    <row r="21">
      <c r="A21" s="6" t="n">
        <v>72</v>
      </c>
      <c r="B21" s="7">
        <f>IF(A21="","",IF($C$2&lt;&gt;"OK","Check precision",IF(ISNUMBER(A21),IF(A21&lt;0,"Check number",MROUND(A21,1/$C$1)),"Check number")))</f>
        <v/>
      </c>
      <c r="C21" s="8">
        <f>IF(ISNUMBER(B21),IF(B21=0,"0",TRIM(TEXT(B21,"# ?/"&amp;$C$1))),"")</f>
        <v/>
      </c>
      <c r="D21" s="8">
        <f>IF(ISNUMBER(B21),INT(B21),"")</f>
        <v/>
      </c>
      <c r="E21" s="8">
        <f>IF(ISNUMBER(B21),ROUND((B21-D21)*$C$1,0),"")</f>
        <v/>
      </c>
      <c r="F21" s="8">
        <f>IF(ISNUMBER(B21),IF(E21=0,D21&amp;"",IF(D21=0,"",D21&amp;" ")&amp;E21/GCD(E21,$C$1)&amp;"/"&amp;$C$1/GCD(E21,$C$1)),"")</f>
        <v/>
      </c>
      <c r="G21" s="8">
        <f>IF(ISNUMBER(B21),IF(B21&lt;12,"",INT(B21/12)&amp;" ft ")&amp;IF(ROUND(((B21-12*INT(B21/12))-INT((B21-12*INT(B21/12))))*$C$1,0)=0,INT((B21-12*INT(B21/12)))&amp;"",IF(INT((B21-12*INT(B21/12)))=0,"",INT((B21-12*INT(B21/12)))&amp;" ")&amp;ROUND(((B21-12*INT(B21/12))-INT((B21-12*INT(B21/12))))*$C$1,0)/GCD(ROUND(((B21-12*INT(B21/12))-INT((B21-12*INT(B21/12))))*$C$1,0),$C$1)&amp;"/"&amp;$C$1/GCD(ROUND(((B21-12*INT(B21/12))-INT((B21-12*INT(B21/12))))*$C$1,0),$C$1))&amp;" in","")</f>
        <v/>
      </c>
      <c r="H21" s="9">
        <f>IF(ISNUMBER(B21),ROUND(B21-A21,8),"")</f>
        <v/>
      </c>
    </row>
    <row r="22">
      <c r="A22" s="6" t="n">
        <v>100.4375</v>
      </c>
      <c r="B22" s="7">
        <f>IF(A22="","",IF($C$2&lt;&gt;"OK","Check precision",IF(ISNUMBER(A22),IF(A22&lt;0,"Check number",MROUND(A22,1/$C$1)),"Check number")))</f>
        <v/>
      </c>
      <c r="C22" s="8">
        <f>IF(ISNUMBER(B22),IF(B22=0,"0",TRIM(TEXT(B22,"# ?/"&amp;$C$1))),"")</f>
        <v/>
      </c>
      <c r="D22" s="8">
        <f>IF(ISNUMBER(B22),INT(B22),"")</f>
        <v/>
      </c>
      <c r="E22" s="8">
        <f>IF(ISNUMBER(B22),ROUND((B22-D22)*$C$1,0),"")</f>
        <v/>
      </c>
      <c r="F22" s="8">
        <f>IF(ISNUMBER(B22),IF(E22=0,D22&amp;"",IF(D22=0,"",D22&amp;" ")&amp;E22/GCD(E22,$C$1)&amp;"/"&amp;$C$1/GCD(E22,$C$1)),"")</f>
        <v/>
      </c>
      <c r="G22" s="8">
        <f>IF(ISNUMBER(B22),IF(B22&lt;12,"",INT(B22/12)&amp;" ft ")&amp;IF(ROUND(((B22-12*INT(B22/12))-INT((B22-12*INT(B22/12))))*$C$1,0)=0,INT((B22-12*INT(B22/12)))&amp;"",IF(INT((B22-12*INT(B22/12)))=0,"",INT((B22-12*INT(B22/12)))&amp;" ")&amp;ROUND(((B22-12*INT(B22/12))-INT((B22-12*INT(B22/12))))*$C$1,0)/GCD(ROUND(((B22-12*INT(B22/12))-INT((B22-12*INT(B22/12))))*$C$1,0),$C$1)&amp;"/"&amp;$C$1/GCD(ROUND(((B22-12*INT(B22/12))-INT((B22-12*INT(B22/12))))*$C$1,0),$C$1))&amp;" in","")</f>
        <v/>
      </c>
      <c r="H22" s="9">
        <f>IF(ISNUMBER(B22),ROUND(B22-A22,8),"")</f>
        <v/>
      </c>
    </row>
    <row r="23">
      <c r="A23" s="6" t="n">
        <v>8.5</v>
      </c>
      <c r="B23" s="7">
        <f>IF(A23="","",IF($C$2&lt;&gt;"OK","Check precision",IF(ISNUMBER(A23),IF(A23&lt;0,"Check number",MROUND(A23,1/$C$1)),"Check number")))</f>
        <v/>
      </c>
      <c r="C23" s="8">
        <f>IF(ISNUMBER(B23),IF(B23=0,"0",TRIM(TEXT(B23,"# ?/"&amp;$C$1))),"")</f>
        <v/>
      </c>
      <c r="D23" s="8">
        <f>IF(ISNUMBER(B23),INT(B23),"")</f>
        <v/>
      </c>
      <c r="E23" s="8">
        <f>IF(ISNUMBER(B23),ROUND((B23-D23)*$C$1,0),"")</f>
        <v/>
      </c>
      <c r="F23" s="8">
        <f>IF(ISNUMBER(B23),IF(E23=0,D23&amp;"",IF(D23=0,"",D23&amp;" ")&amp;E23/GCD(E23,$C$1)&amp;"/"&amp;$C$1/GCD(E23,$C$1)),"")</f>
        <v/>
      </c>
      <c r="G23" s="8">
        <f>IF(ISNUMBER(B23),IF(B23&lt;12,"",INT(B23/12)&amp;" ft ")&amp;IF(ROUND(((B23-12*INT(B23/12))-INT((B23-12*INT(B23/12))))*$C$1,0)=0,INT((B23-12*INT(B23/12)))&amp;"",IF(INT((B23-12*INT(B23/12)))=0,"",INT((B23-12*INT(B23/12)))&amp;" ")&amp;ROUND(((B23-12*INT(B23/12))-INT((B23-12*INT(B23/12))))*$C$1,0)/GCD(ROUND(((B23-12*INT(B23/12))-INT((B23-12*INT(B23/12))))*$C$1,0),$C$1)&amp;"/"&amp;$C$1/GCD(ROUND(((B23-12*INT(B23/12))-INT((B23-12*INT(B23/12))))*$C$1,0),$C$1))&amp;" in","")</f>
        <v/>
      </c>
      <c r="H23" s="9">
        <f>IF(ISNUMBER(B23),ROUND(B23-A23,8),"")</f>
        <v/>
      </c>
    </row>
    <row r="24">
      <c r="A24" s="6" t="n">
        <v>0.96875</v>
      </c>
      <c r="B24" s="7">
        <f>IF(A24="","",IF($C$2&lt;&gt;"OK","Check precision",IF(ISNUMBER(A24),IF(A24&lt;0,"Check number",MROUND(A24,1/$C$1)),"Check number")))</f>
        <v/>
      </c>
      <c r="C24" s="8">
        <f>IF(ISNUMBER(B24),IF(B24=0,"0",TRIM(TEXT(B24,"# ?/"&amp;$C$1))),"")</f>
        <v/>
      </c>
      <c r="D24" s="8">
        <f>IF(ISNUMBER(B24),INT(B24),"")</f>
        <v/>
      </c>
      <c r="E24" s="8">
        <f>IF(ISNUMBER(B24),ROUND((B24-D24)*$C$1,0),"")</f>
        <v/>
      </c>
      <c r="F24" s="8">
        <f>IF(ISNUMBER(B24),IF(E24=0,D24&amp;"",IF(D24=0,"",D24&amp;" ")&amp;E24/GCD(E24,$C$1)&amp;"/"&amp;$C$1/GCD(E24,$C$1)),"")</f>
        <v/>
      </c>
      <c r="G24" s="8">
        <f>IF(ISNUMBER(B24),IF(B24&lt;12,"",INT(B24/12)&amp;" ft ")&amp;IF(ROUND(((B24-12*INT(B24/12))-INT((B24-12*INT(B24/12))))*$C$1,0)=0,INT((B24-12*INT(B24/12)))&amp;"",IF(INT((B24-12*INT(B24/12)))=0,"",INT((B24-12*INT(B24/12)))&amp;" ")&amp;ROUND(((B24-12*INT(B24/12))-INT((B24-12*INT(B24/12))))*$C$1,0)/GCD(ROUND(((B24-12*INT(B24/12))-INT((B24-12*INT(B24/12))))*$C$1,0),$C$1)&amp;"/"&amp;$C$1/GCD(ROUND(((B24-12*INT(B24/12))-INT((B24-12*INT(B24/12))))*$C$1,0),$C$1))&amp;" in","")</f>
        <v/>
      </c>
      <c r="H24" s="9">
        <f>IF(ISNUMBER(B24),ROUND(B24-A24,8),"")</f>
        <v/>
      </c>
    </row>
    <row r="25">
      <c r="A25" s="6" t="n"/>
      <c r="B25" s="7">
        <f>IF(A25="","",IF($C$2&lt;&gt;"OK","Check precision",IF(ISNUMBER(A25),IF(A25&lt;0,"Check number",MROUND(A25,1/$C$1)),"Check number")))</f>
        <v/>
      </c>
      <c r="C25" s="8">
        <f>IF(ISNUMBER(B25),IF(B25=0,"0",TRIM(TEXT(B25,"# ?/"&amp;$C$1))),"")</f>
        <v/>
      </c>
      <c r="D25" s="8">
        <f>IF(ISNUMBER(B25),INT(B25),"")</f>
        <v/>
      </c>
      <c r="E25" s="8">
        <f>IF(ISNUMBER(B25),ROUND((B25-D25)*$C$1,0),"")</f>
        <v/>
      </c>
      <c r="F25" s="8">
        <f>IF(ISNUMBER(B25),IF(E25=0,D25&amp;"",IF(D25=0,"",D25&amp;" ")&amp;E25/GCD(E25,$C$1)&amp;"/"&amp;$C$1/GCD(E25,$C$1)),"")</f>
        <v/>
      </c>
      <c r="G25" s="8">
        <f>IF(ISNUMBER(B25),IF(B25&lt;12,"",INT(B25/12)&amp;" ft ")&amp;IF(ROUND(((B25-12*INT(B25/12))-INT((B25-12*INT(B25/12))))*$C$1,0)=0,INT((B25-12*INT(B25/12)))&amp;"",IF(INT((B25-12*INT(B25/12)))=0,"",INT((B25-12*INT(B25/12)))&amp;" ")&amp;ROUND(((B25-12*INT(B25/12))-INT((B25-12*INT(B25/12))))*$C$1,0)/GCD(ROUND(((B25-12*INT(B25/12))-INT((B25-12*INT(B25/12))))*$C$1,0),$C$1)&amp;"/"&amp;$C$1/GCD(ROUND(((B25-12*INT(B25/12))-INT((B25-12*INT(B25/12))))*$C$1,0),$C$1))&amp;" in","")</f>
        <v/>
      </c>
      <c r="H25" s="9">
        <f>IF(ISNUMBER(B25),ROUND(B25-A25,8),"")</f>
        <v/>
      </c>
    </row>
    <row r="26">
      <c r="A26" s="6" t="n"/>
      <c r="B26" s="7">
        <f>IF(A26="","",IF($C$2&lt;&gt;"OK","Check precision",IF(ISNUMBER(A26),IF(A26&lt;0,"Check number",MROUND(A26,1/$C$1)),"Check number")))</f>
        <v/>
      </c>
      <c r="C26" s="8">
        <f>IF(ISNUMBER(B26),IF(B26=0,"0",TRIM(TEXT(B26,"# ?/"&amp;$C$1))),"")</f>
        <v/>
      </c>
      <c r="D26" s="8">
        <f>IF(ISNUMBER(B26),INT(B26),"")</f>
        <v/>
      </c>
      <c r="E26" s="8">
        <f>IF(ISNUMBER(B26),ROUND((B26-D26)*$C$1,0),"")</f>
        <v/>
      </c>
      <c r="F26" s="8">
        <f>IF(ISNUMBER(B26),IF(E26=0,D26&amp;"",IF(D26=0,"",D26&amp;" ")&amp;E26/GCD(E26,$C$1)&amp;"/"&amp;$C$1/GCD(E26,$C$1)),"")</f>
        <v/>
      </c>
      <c r="G26" s="8">
        <f>IF(ISNUMBER(B26),IF(B26&lt;12,"",INT(B26/12)&amp;" ft ")&amp;IF(ROUND(((B26-12*INT(B26/12))-INT((B26-12*INT(B26/12))))*$C$1,0)=0,INT((B26-12*INT(B26/12)))&amp;"",IF(INT((B26-12*INT(B26/12)))=0,"",INT((B26-12*INT(B26/12)))&amp;" ")&amp;ROUND(((B26-12*INT(B26/12))-INT((B26-12*INT(B26/12))))*$C$1,0)/GCD(ROUND(((B26-12*INT(B26/12))-INT((B26-12*INT(B26/12))))*$C$1,0),$C$1)&amp;"/"&amp;$C$1/GCD(ROUND(((B26-12*INT(B26/12))-INT((B26-12*INT(B26/12))))*$C$1,0),$C$1))&amp;" in","")</f>
        <v/>
      </c>
      <c r="H26" s="9">
        <f>IF(ISNUMBER(B26),ROUND(B26-A26,8),"")</f>
        <v/>
      </c>
    </row>
    <row r="27">
      <c r="A27" s="6" t="n"/>
      <c r="B27" s="7">
        <f>IF(A27="","",IF($C$2&lt;&gt;"OK","Check precision",IF(ISNUMBER(A27),IF(A27&lt;0,"Check number",MROUND(A27,1/$C$1)),"Check number")))</f>
        <v/>
      </c>
      <c r="C27" s="8">
        <f>IF(ISNUMBER(B27),IF(B27=0,"0",TRIM(TEXT(B27,"# ?/"&amp;$C$1))),"")</f>
        <v/>
      </c>
      <c r="D27" s="8">
        <f>IF(ISNUMBER(B27),INT(B27),"")</f>
        <v/>
      </c>
      <c r="E27" s="8">
        <f>IF(ISNUMBER(B27),ROUND((B27-D27)*$C$1,0),"")</f>
        <v/>
      </c>
      <c r="F27" s="8">
        <f>IF(ISNUMBER(B27),IF(E27=0,D27&amp;"",IF(D27=0,"",D27&amp;" ")&amp;E27/GCD(E27,$C$1)&amp;"/"&amp;$C$1/GCD(E27,$C$1)),"")</f>
        <v/>
      </c>
      <c r="G27" s="8">
        <f>IF(ISNUMBER(B27),IF(B27&lt;12,"",INT(B27/12)&amp;" ft ")&amp;IF(ROUND(((B27-12*INT(B27/12))-INT((B27-12*INT(B27/12))))*$C$1,0)=0,INT((B27-12*INT(B27/12)))&amp;"",IF(INT((B27-12*INT(B27/12)))=0,"",INT((B27-12*INT(B27/12)))&amp;" ")&amp;ROUND(((B27-12*INT(B27/12))-INT((B27-12*INT(B27/12))))*$C$1,0)/GCD(ROUND(((B27-12*INT(B27/12))-INT((B27-12*INT(B27/12))))*$C$1,0),$C$1)&amp;"/"&amp;$C$1/GCD(ROUND(((B27-12*INT(B27/12))-INT((B27-12*INT(B27/12))))*$C$1,0),$C$1))&amp;" in","")</f>
        <v/>
      </c>
      <c r="H27" s="9">
        <f>IF(ISNUMBER(B27),ROUND(B27-A27,8),"")</f>
        <v/>
      </c>
    </row>
    <row r="28">
      <c r="A28" s="6" t="n"/>
      <c r="B28" s="7">
        <f>IF(A28="","",IF($C$2&lt;&gt;"OK","Check precision",IF(ISNUMBER(A28),IF(A28&lt;0,"Check number",MROUND(A28,1/$C$1)),"Check number")))</f>
        <v/>
      </c>
      <c r="C28" s="8">
        <f>IF(ISNUMBER(B28),IF(B28=0,"0",TRIM(TEXT(B28,"# ?/"&amp;$C$1))),"")</f>
        <v/>
      </c>
      <c r="D28" s="8">
        <f>IF(ISNUMBER(B28),INT(B28),"")</f>
        <v/>
      </c>
      <c r="E28" s="8">
        <f>IF(ISNUMBER(B28),ROUND((B28-D28)*$C$1,0),"")</f>
        <v/>
      </c>
      <c r="F28" s="8">
        <f>IF(ISNUMBER(B28),IF(E28=0,D28&amp;"",IF(D28=0,"",D28&amp;" ")&amp;E28/GCD(E28,$C$1)&amp;"/"&amp;$C$1/GCD(E28,$C$1)),"")</f>
        <v/>
      </c>
      <c r="G28" s="8">
        <f>IF(ISNUMBER(B28),IF(B28&lt;12,"",INT(B28/12)&amp;" ft ")&amp;IF(ROUND(((B28-12*INT(B28/12))-INT((B28-12*INT(B28/12))))*$C$1,0)=0,INT((B28-12*INT(B28/12)))&amp;"",IF(INT((B28-12*INT(B28/12)))=0,"",INT((B28-12*INT(B28/12)))&amp;" ")&amp;ROUND(((B28-12*INT(B28/12))-INT((B28-12*INT(B28/12))))*$C$1,0)/GCD(ROUND(((B28-12*INT(B28/12))-INT((B28-12*INT(B28/12))))*$C$1,0),$C$1)&amp;"/"&amp;$C$1/GCD(ROUND(((B28-12*INT(B28/12))-INT((B28-12*INT(B28/12))))*$C$1,0),$C$1))&amp;" in","")</f>
        <v/>
      </c>
      <c r="H28" s="9">
        <f>IF(ISNUMBER(B28),ROUND(B28-A28,8),"")</f>
        <v/>
      </c>
    </row>
    <row r="29">
      <c r="A29" s="6" t="n"/>
      <c r="B29" s="7">
        <f>IF(A29="","",IF($C$2&lt;&gt;"OK","Check precision",IF(ISNUMBER(A29),IF(A29&lt;0,"Check number",MROUND(A29,1/$C$1)),"Check number")))</f>
        <v/>
      </c>
      <c r="C29" s="8">
        <f>IF(ISNUMBER(B29),IF(B29=0,"0",TRIM(TEXT(B29,"# ?/"&amp;$C$1))),"")</f>
        <v/>
      </c>
      <c r="D29" s="8">
        <f>IF(ISNUMBER(B29),INT(B29),"")</f>
        <v/>
      </c>
      <c r="E29" s="8">
        <f>IF(ISNUMBER(B29),ROUND((B29-D29)*$C$1,0),"")</f>
        <v/>
      </c>
      <c r="F29" s="8">
        <f>IF(ISNUMBER(B29),IF(E29=0,D29&amp;"",IF(D29=0,"",D29&amp;" ")&amp;E29/GCD(E29,$C$1)&amp;"/"&amp;$C$1/GCD(E29,$C$1)),"")</f>
        <v/>
      </c>
      <c r="G29" s="8">
        <f>IF(ISNUMBER(B29),IF(B29&lt;12,"",INT(B29/12)&amp;" ft ")&amp;IF(ROUND(((B29-12*INT(B29/12))-INT((B29-12*INT(B29/12))))*$C$1,0)=0,INT((B29-12*INT(B29/12)))&amp;"",IF(INT((B29-12*INT(B29/12)))=0,"",INT((B29-12*INT(B29/12)))&amp;" ")&amp;ROUND(((B29-12*INT(B29/12))-INT((B29-12*INT(B29/12))))*$C$1,0)/GCD(ROUND(((B29-12*INT(B29/12))-INT((B29-12*INT(B29/12))))*$C$1,0),$C$1)&amp;"/"&amp;$C$1/GCD(ROUND(((B29-12*INT(B29/12))-INT((B29-12*INT(B29/12))))*$C$1,0),$C$1))&amp;" in","")</f>
        <v/>
      </c>
      <c r="H29" s="9">
        <f>IF(ISNUMBER(B29),ROUND(B29-A29,8),"")</f>
        <v/>
      </c>
    </row>
    <row r="30">
      <c r="A30" s="6" t="n"/>
      <c r="B30" s="7">
        <f>IF(A30="","",IF($C$2&lt;&gt;"OK","Check precision",IF(ISNUMBER(A30),IF(A30&lt;0,"Check number",MROUND(A30,1/$C$1)),"Check number")))</f>
        <v/>
      </c>
      <c r="C30" s="8">
        <f>IF(ISNUMBER(B30),IF(B30=0,"0",TRIM(TEXT(B30,"# ?/"&amp;$C$1))),"")</f>
        <v/>
      </c>
      <c r="D30" s="8">
        <f>IF(ISNUMBER(B30),INT(B30),"")</f>
        <v/>
      </c>
      <c r="E30" s="8">
        <f>IF(ISNUMBER(B30),ROUND((B30-D30)*$C$1,0),"")</f>
        <v/>
      </c>
      <c r="F30" s="8">
        <f>IF(ISNUMBER(B30),IF(E30=0,D30&amp;"",IF(D30=0,"",D30&amp;" ")&amp;E30/GCD(E30,$C$1)&amp;"/"&amp;$C$1/GCD(E30,$C$1)),"")</f>
        <v/>
      </c>
      <c r="G30" s="8">
        <f>IF(ISNUMBER(B30),IF(B30&lt;12,"",INT(B30/12)&amp;" ft ")&amp;IF(ROUND(((B30-12*INT(B30/12))-INT((B30-12*INT(B30/12))))*$C$1,0)=0,INT((B30-12*INT(B30/12)))&amp;"",IF(INT((B30-12*INT(B30/12)))=0,"",INT((B30-12*INT(B30/12)))&amp;" ")&amp;ROUND(((B30-12*INT(B30/12))-INT((B30-12*INT(B30/12))))*$C$1,0)/GCD(ROUND(((B30-12*INT(B30/12))-INT((B30-12*INT(B30/12))))*$C$1,0),$C$1)&amp;"/"&amp;$C$1/GCD(ROUND(((B30-12*INT(B30/12))-INT((B30-12*INT(B30/12))))*$C$1,0),$C$1))&amp;" in","")</f>
        <v/>
      </c>
      <c r="H30" s="9">
        <f>IF(ISNUMBER(B30),ROUND(B30-A30,8),"")</f>
        <v/>
      </c>
    </row>
    <row r="31">
      <c r="A31" s="6" t="n"/>
      <c r="B31" s="7">
        <f>IF(A31="","",IF($C$2&lt;&gt;"OK","Check precision",IF(ISNUMBER(A31),IF(A31&lt;0,"Check number",MROUND(A31,1/$C$1)),"Check number")))</f>
        <v/>
      </c>
      <c r="C31" s="8">
        <f>IF(ISNUMBER(B31),IF(B31=0,"0",TRIM(TEXT(B31,"# ?/"&amp;$C$1))),"")</f>
        <v/>
      </c>
      <c r="D31" s="8">
        <f>IF(ISNUMBER(B31),INT(B31),"")</f>
        <v/>
      </c>
      <c r="E31" s="8">
        <f>IF(ISNUMBER(B31),ROUND((B31-D31)*$C$1,0),"")</f>
        <v/>
      </c>
      <c r="F31" s="8">
        <f>IF(ISNUMBER(B31),IF(E31=0,D31&amp;"",IF(D31=0,"",D31&amp;" ")&amp;E31/GCD(E31,$C$1)&amp;"/"&amp;$C$1/GCD(E31,$C$1)),"")</f>
        <v/>
      </c>
      <c r="G31" s="8">
        <f>IF(ISNUMBER(B31),IF(B31&lt;12,"",INT(B31/12)&amp;" ft ")&amp;IF(ROUND(((B31-12*INT(B31/12))-INT((B31-12*INT(B31/12))))*$C$1,0)=0,INT((B31-12*INT(B31/12)))&amp;"",IF(INT((B31-12*INT(B31/12)))=0,"",INT((B31-12*INT(B31/12)))&amp;" ")&amp;ROUND(((B31-12*INT(B31/12))-INT((B31-12*INT(B31/12))))*$C$1,0)/GCD(ROUND(((B31-12*INT(B31/12))-INT((B31-12*INT(B31/12))))*$C$1,0),$C$1)&amp;"/"&amp;$C$1/GCD(ROUND(((B31-12*INT(B31/12))-INT((B31-12*INT(B31/12))))*$C$1,0),$C$1))&amp;" in","")</f>
        <v/>
      </c>
      <c r="H31" s="9">
        <f>IF(ISNUMBER(B31),ROUND(B31-A31,8),"")</f>
        <v/>
      </c>
    </row>
    <row r="32">
      <c r="A32" s="6" t="n"/>
      <c r="B32" s="7">
        <f>IF(A32="","",IF($C$2&lt;&gt;"OK","Check precision",IF(ISNUMBER(A32),IF(A32&lt;0,"Check number",MROUND(A32,1/$C$1)),"Check number")))</f>
        <v/>
      </c>
      <c r="C32" s="8">
        <f>IF(ISNUMBER(B32),IF(B32=0,"0",TRIM(TEXT(B32,"# ?/"&amp;$C$1))),"")</f>
        <v/>
      </c>
      <c r="D32" s="8">
        <f>IF(ISNUMBER(B32),INT(B32),"")</f>
        <v/>
      </c>
      <c r="E32" s="8">
        <f>IF(ISNUMBER(B32),ROUND((B32-D32)*$C$1,0),"")</f>
        <v/>
      </c>
      <c r="F32" s="8">
        <f>IF(ISNUMBER(B32),IF(E32=0,D32&amp;"",IF(D32=0,"",D32&amp;" ")&amp;E32/GCD(E32,$C$1)&amp;"/"&amp;$C$1/GCD(E32,$C$1)),"")</f>
        <v/>
      </c>
      <c r="G32" s="8">
        <f>IF(ISNUMBER(B32),IF(B32&lt;12,"",INT(B32/12)&amp;" ft ")&amp;IF(ROUND(((B32-12*INT(B32/12))-INT((B32-12*INT(B32/12))))*$C$1,0)=0,INT((B32-12*INT(B32/12)))&amp;"",IF(INT((B32-12*INT(B32/12)))=0,"",INT((B32-12*INT(B32/12)))&amp;" ")&amp;ROUND(((B32-12*INT(B32/12))-INT((B32-12*INT(B32/12))))*$C$1,0)/GCD(ROUND(((B32-12*INT(B32/12))-INT((B32-12*INT(B32/12))))*$C$1,0),$C$1)&amp;"/"&amp;$C$1/GCD(ROUND(((B32-12*INT(B32/12))-INT((B32-12*INT(B32/12))))*$C$1,0),$C$1))&amp;" in","")</f>
        <v/>
      </c>
      <c r="H32" s="9">
        <f>IF(ISNUMBER(B32),ROUND(B32-A32,8),"")</f>
        <v/>
      </c>
    </row>
    <row r="33">
      <c r="A33" s="6" t="n"/>
      <c r="B33" s="7">
        <f>IF(A33="","",IF($C$2&lt;&gt;"OK","Check precision",IF(ISNUMBER(A33),IF(A33&lt;0,"Check number",MROUND(A33,1/$C$1)),"Check number")))</f>
        <v/>
      </c>
      <c r="C33" s="8">
        <f>IF(ISNUMBER(B33),IF(B33=0,"0",TRIM(TEXT(B33,"# ?/"&amp;$C$1))),"")</f>
        <v/>
      </c>
      <c r="D33" s="8">
        <f>IF(ISNUMBER(B33),INT(B33),"")</f>
        <v/>
      </c>
      <c r="E33" s="8">
        <f>IF(ISNUMBER(B33),ROUND((B33-D33)*$C$1,0),"")</f>
        <v/>
      </c>
      <c r="F33" s="8">
        <f>IF(ISNUMBER(B33),IF(E33=0,D33&amp;"",IF(D33=0,"",D33&amp;" ")&amp;E33/GCD(E33,$C$1)&amp;"/"&amp;$C$1/GCD(E33,$C$1)),"")</f>
        <v/>
      </c>
      <c r="G33" s="8">
        <f>IF(ISNUMBER(B33),IF(B33&lt;12,"",INT(B33/12)&amp;" ft ")&amp;IF(ROUND(((B33-12*INT(B33/12))-INT((B33-12*INT(B33/12))))*$C$1,0)=0,INT((B33-12*INT(B33/12)))&amp;"",IF(INT((B33-12*INT(B33/12)))=0,"",INT((B33-12*INT(B33/12)))&amp;" ")&amp;ROUND(((B33-12*INT(B33/12))-INT((B33-12*INT(B33/12))))*$C$1,0)/GCD(ROUND(((B33-12*INT(B33/12))-INT((B33-12*INT(B33/12))))*$C$1,0),$C$1)&amp;"/"&amp;$C$1/GCD(ROUND(((B33-12*INT(B33/12))-INT((B33-12*INT(B33/12))))*$C$1,0),$C$1))&amp;" in","")</f>
        <v/>
      </c>
      <c r="H33" s="9">
        <f>IF(ISNUMBER(B33),ROUND(B33-A33,8),"")</f>
        <v/>
      </c>
    </row>
    <row r="34">
      <c r="A34" s="6" t="n"/>
      <c r="B34" s="7">
        <f>IF(A34="","",IF($C$2&lt;&gt;"OK","Check precision",IF(ISNUMBER(A34),IF(A34&lt;0,"Check number",MROUND(A34,1/$C$1)),"Check number")))</f>
        <v/>
      </c>
      <c r="C34" s="8">
        <f>IF(ISNUMBER(B34),IF(B34=0,"0",TRIM(TEXT(B34,"# ?/"&amp;$C$1))),"")</f>
        <v/>
      </c>
      <c r="D34" s="8">
        <f>IF(ISNUMBER(B34),INT(B34),"")</f>
        <v/>
      </c>
      <c r="E34" s="8">
        <f>IF(ISNUMBER(B34),ROUND((B34-D34)*$C$1,0),"")</f>
        <v/>
      </c>
      <c r="F34" s="8">
        <f>IF(ISNUMBER(B34),IF(E34=0,D34&amp;"",IF(D34=0,"",D34&amp;" ")&amp;E34/GCD(E34,$C$1)&amp;"/"&amp;$C$1/GCD(E34,$C$1)),"")</f>
        <v/>
      </c>
      <c r="G34" s="8">
        <f>IF(ISNUMBER(B34),IF(B34&lt;12,"",INT(B34/12)&amp;" ft ")&amp;IF(ROUND(((B34-12*INT(B34/12))-INT((B34-12*INT(B34/12))))*$C$1,0)=0,INT((B34-12*INT(B34/12)))&amp;"",IF(INT((B34-12*INT(B34/12)))=0,"",INT((B34-12*INT(B34/12)))&amp;" ")&amp;ROUND(((B34-12*INT(B34/12))-INT((B34-12*INT(B34/12))))*$C$1,0)/GCD(ROUND(((B34-12*INT(B34/12))-INT((B34-12*INT(B34/12))))*$C$1,0),$C$1)&amp;"/"&amp;$C$1/GCD(ROUND(((B34-12*INT(B34/12))-INT((B34-12*INT(B34/12))))*$C$1,0),$C$1))&amp;" in","")</f>
        <v/>
      </c>
      <c r="H34" s="9">
        <f>IF(ISNUMBER(B34),ROUND(B34-A34,8),"")</f>
        <v/>
      </c>
    </row>
    <row r="35">
      <c r="A35" s="6" t="n"/>
      <c r="B35" s="7">
        <f>IF(A35="","",IF($C$2&lt;&gt;"OK","Check precision",IF(ISNUMBER(A35),IF(A35&lt;0,"Check number",MROUND(A35,1/$C$1)),"Check number")))</f>
        <v/>
      </c>
      <c r="C35" s="8">
        <f>IF(ISNUMBER(B35),IF(B35=0,"0",TRIM(TEXT(B35,"# ?/"&amp;$C$1))),"")</f>
        <v/>
      </c>
      <c r="D35" s="8">
        <f>IF(ISNUMBER(B35),INT(B35),"")</f>
        <v/>
      </c>
      <c r="E35" s="8">
        <f>IF(ISNUMBER(B35),ROUND((B35-D35)*$C$1,0),"")</f>
        <v/>
      </c>
      <c r="F35" s="8">
        <f>IF(ISNUMBER(B35),IF(E35=0,D35&amp;"",IF(D35=0,"",D35&amp;" ")&amp;E35/GCD(E35,$C$1)&amp;"/"&amp;$C$1/GCD(E35,$C$1)),"")</f>
        <v/>
      </c>
      <c r="G35" s="8">
        <f>IF(ISNUMBER(B35),IF(B35&lt;12,"",INT(B35/12)&amp;" ft ")&amp;IF(ROUND(((B35-12*INT(B35/12))-INT((B35-12*INT(B35/12))))*$C$1,0)=0,INT((B35-12*INT(B35/12)))&amp;"",IF(INT((B35-12*INT(B35/12)))=0,"",INT((B35-12*INT(B35/12)))&amp;" ")&amp;ROUND(((B35-12*INT(B35/12))-INT((B35-12*INT(B35/12))))*$C$1,0)/GCD(ROUND(((B35-12*INT(B35/12))-INT((B35-12*INT(B35/12))))*$C$1,0),$C$1)&amp;"/"&amp;$C$1/GCD(ROUND(((B35-12*INT(B35/12))-INT((B35-12*INT(B35/12))))*$C$1,0),$C$1))&amp;" in","")</f>
        <v/>
      </c>
      <c r="H35" s="9">
        <f>IF(ISNUMBER(B35),ROUND(B35-A35,8),"")</f>
        <v/>
      </c>
    </row>
    <row r="36">
      <c r="A36" s="6" t="n"/>
      <c r="B36" s="7">
        <f>IF(A36="","",IF($C$2&lt;&gt;"OK","Check precision",IF(ISNUMBER(A36),IF(A36&lt;0,"Check number",MROUND(A36,1/$C$1)),"Check number")))</f>
        <v/>
      </c>
      <c r="C36" s="8">
        <f>IF(ISNUMBER(B36),IF(B36=0,"0",TRIM(TEXT(B36,"# ?/"&amp;$C$1))),"")</f>
        <v/>
      </c>
      <c r="D36" s="8">
        <f>IF(ISNUMBER(B36),INT(B36),"")</f>
        <v/>
      </c>
      <c r="E36" s="8">
        <f>IF(ISNUMBER(B36),ROUND((B36-D36)*$C$1,0),"")</f>
        <v/>
      </c>
      <c r="F36" s="8">
        <f>IF(ISNUMBER(B36),IF(E36=0,D36&amp;"",IF(D36=0,"",D36&amp;" ")&amp;E36/GCD(E36,$C$1)&amp;"/"&amp;$C$1/GCD(E36,$C$1)),"")</f>
        <v/>
      </c>
      <c r="G36" s="8">
        <f>IF(ISNUMBER(B36),IF(B36&lt;12,"",INT(B36/12)&amp;" ft ")&amp;IF(ROUND(((B36-12*INT(B36/12))-INT((B36-12*INT(B36/12))))*$C$1,0)=0,INT((B36-12*INT(B36/12)))&amp;"",IF(INT((B36-12*INT(B36/12)))=0,"",INT((B36-12*INT(B36/12)))&amp;" ")&amp;ROUND(((B36-12*INT(B36/12))-INT((B36-12*INT(B36/12))))*$C$1,0)/GCD(ROUND(((B36-12*INT(B36/12))-INT((B36-12*INT(B36/12))))*$C$1,0),$C$1)&amp;"/"&amp;$C$1/GCD(ROUND(((B36-12*INT(B36/12))-INT((B36-12*INT(B36/12))))*$C$1,0),$C$1))&amp;" in","")</f>
        <v/>
      </c>
      <c r="H36" s="9">
        <f>IF(ISNUMBER(B36),ROUND(B36-A36,8),"")</f>
        <v/>
      </c>
    </row>
    <row r="37">
      <c r="A37" s="6" t="n"/>
      <c r="B37" s="7">
        <f>IF(A37="","",IF($C$2&lt;&gt;"OK","Check precision",IF(ISNUMBER(A37),IF(A37&lt;0,"Check number",MROUND(A37,1/$C$1)),"Check number")))</f>
        <v/>
      </c>
      <c r="C37" s="8">
        <f>IF(ISNUMBER(B37),IF(B37=0,"0",TRIM(TEXT(B37,"# ?/"&amp;$C$1))),"")</f>
        <v/>
      </c>
      <c r="D37" s="8">
        <f>IF(ISNUMBER(B37),INT(B37),"")</f>
        <v/>
      </c>
      <c r="E37" s="8">
        <f>IF(ISNUMBER(B37),ROUND((B37-D37)*$C$1,0),"")</f>
        <v/>
      </c>
      <c r="F37" s="8">
        <f>IF(ISNUMBER(B37),IF(E37=0,D37&amp;"",IF(D37=0,"",D37&amp;" ")&amp;E37/GCD(E37,$C$1)&amp;"/"&amp;$C$1/GCD(E37,$C$1)),"")</f>
        <v/>
      </c>
      <c r="G37" s="8">
        <f>IF(ISNUMBER(B37),IF(B37&lt;12,"",INT(B37/12)&amp;" ft ")&amp;IF(ROUND(((B37-12*INT(B37/12))-INT((B37-12*INT(B37/12))))*$C$1,0)=0,INT((B37-12*INT(B37/12)))&amp;"",IF(INT((B37-12*INT(B37/12)))=0,"",INT((B37-12*INT(B37/12)))&amp;" ")&amp;ROUND(((B37-12*INT(B37/12))-INT((B37-12*INT(B37/12))))*$C$1,0)/GCD(ROUND(((B37-12*INT(B37/12))-INT((B37-12*INT(B37/12))))*$C$1,0),$C$1)&amp;"/"&amp;$C$1/GCD(ROUND(((B37-12*INT(B37/12))-INT((B37-12*INT(B37/12))))*$C$1,0),$C$1))&amp;" in","")</f>
        <v/>
      </c>
      <c r="H37" s="9">
        <f>IF(ISNUMBER(B37),ROUND(B37-A37,8),"")</f>
        <v/>
      </c>
    </row>
    <row r="38">
      <c r="A38" s="6" t="n"/>
      <c r="B38" s="7">
        <f>IF(A38="","",IF($C$2&lt;&gt;"OK","Check precision",IF(ISNUMBER(A38),IF(A38&lt;0,"Check number",MROUND(A38,1/$C$1)),"Check number")))</f>
        <v/>
      </c>
      <c r="C38" s="8">
        <f>IF(ISNUMBER(B38),IF(B38=0,"0",TRIM(TEXT(B38,"# ?/"&amp;$C$1))),"")</f>
        <v/>
      </c>
      <c r="D38" s="8">
        <f>IF(ISNUMBER(B38),INT(B38),"")</f>
        <v/>
      </c>
      <c r="E38" s="8">
        <f>IF(ISNUMBER(B38),ROUND((B38-D38)*$C$1,0),"")</f>
        <v/>
      </c>
      <c r="F38" s="8">
        <f>IF(ISNUMBER(B38),IF(E38=0,D38&amp;"",IF(D38=0,"",D38&amp;" ")&amp;E38/GCD(E38,$C$1)&amp;"/"&amp;$C$1/GCD(E38,$C$1)),"")</f>
        <v/>
      </c>
      <c r="G38" s="8">
        <f>IF(ISNUMBER(B38),IF(B38&lt;12,"",INT(B38/12)&amp;" ft ")&amp;IF(ROUND(((B38-12*INT(B38/12))-INT((B38-12*INT(B38/12))))*$C$1,0)=0,INT((B38-12*INT(B38/12)))&amp;"",IF(INT((B38-12*INT(B38/12)))=0,"",INT((B38-12*INT(B38/12)))&amp;" ")&amp;ROUND(((B38-12*INT(B38/12))-INT((B38-12*INT(B38/12))))*$C$1,0)/GCD(ROUND(((B38-12*INT(B38/12))-INT((B38-12*INT(B38/12))))*$C$1,0),$C$1)&amp;"/"&amp;$C$1/GCD(ROUND(((B38-12*INT(B38/12))-INT((B38-12*INT(B38/12))))*$C$1,0),$C$1))&amp;" in","")</f>
        <v/>
      </c>
      <c r="H38" s="9">
        <f>IF(ISNUMBER(B38),ROUND(B38-A38,8),"")</f>
        <v/>
      </c>
    </row>
    <row r="39">
      <c r="A39" s="6" t="n"/>
      <c r="B39" s="7">
        <f>IF(A39="","",IF($C$2&lt;&gt;"OK","Check precision",IF(ISNUMBER(A39),IF(A39&lt;0,"Check number",MROUND(A39,1/$C$1)),"Check number")))</f>
        <v/>
      </c>
      <c r="C39" s="8">
        <f>IF(ISNUMBER(B39),IF(B39=0,"0",TRIM(TEXT(B39,"# ?/"&amp;$C$1))),"")</f>
        <v/>
      </c>
      <c r="D39" s="8">
        <f>IF(ISNUMBER(B39),INT(B39),"")</f>
        <v/>
      </c>
      <c r="E39" s="8">
        <f>IF(ISNUMBER(B39),ROUND((B39-D39)*$C$1,0),"")</f>
        <v/>
      </c>
      <c r="F39" s="8">
        <f>IF(ISNUMBER(B39),IF(E39=0,D39&amp;"",IF(D39=0,"",D39&amp;" ")&amp;E39/GCD(E39,$C$1)&amp;"/"&amp;$C$1/GCD(E39,$C$1)),"")</f>
        <v/>
      </c>
      <c r="G39" s="8">
        <f>IF(ISNUMBER(B39),IF(B39&lt;12,"",INT(B39/12)&amp;" ft ")&amp;IF(ROUND(((B39-12*INT(B39/12))-INT((B39-12*INT(B39/12))))*$C$1,0)=0,INT((B39-12*INT(B39/12)))&amp;"",IF(INT((B39-12*INT(B39/12)))=0,"",INT((B39-12*INT(B39/12)))&amp;" ")&amp;ROUND(((B39-12*INT(B39/12))-INT((B39-12*INT(B39/12))))*$C$1,0)/GCD(ROUND(((B39-12*INT(B39/12))-INT((B39-12*INT(B39/12))))*$C$1,0),$C$1)&amp;"/"&amp;$C$1/GCD(ROUND(((B39-12*INT(B39/12))-INT((B39-12*INT(B39/12))))*$C$1,0),$C$1))&amp;" in","")</f>
        <v/>
      </c>
      <c r="H39" s="9">
        <f>IF(ISNUMBER(B39),ROUND(B39-A39,8),"")</f>
        <v/>
      </c>
    </row>
    <row r="40">
      <c r="A40" s="6" t="n"/>
      <c r="B40" s="7">
        <f>IF(A40="","",IF($C$2&lt;&gt;"OK","Check precision",IF(ISNUMBER(A40),IF(A40&lt;0,"Check number",MROUND(A40,1/$C$1)),"Check number")))</f>
        <v/>
      </c>
      <c r="C40" s="8">
        <f>IF(ISNUMBER(B40),IF(B40=0,"0",TRIM(TEXT(B40,"# ?/"&amp;$C$1))),"")</f>
        <v/>
      </c>
      <c r="D40" s="8">
        <f>IF(ISNUMBER(B40),INT(B40),"")</f>
        <v/>
      </c>
      <c r="E40" s="8">
        <f>IF(ISNUMBER(B40),ROUND((B40-D40)*$C$1,0),"")</f>
        <v/>
      </c>
      <c r="F40" s="8">
        <f>IF(ISNUMBER(B40),IF(E40=0,D40&amp;"",IF(D40=0,"",D40&amp;" ")&amp;E40/GCD(E40,$C$1)&amp;"/"&amp;$C$1/GCD(E40,$C$1)),"")</f>
        <v/>
      </c>
      <c r="G40" s="8">
        <f>IF(ISNUMBER(B40),IF(B40&lt;12,"",INT(B40/12)&amp;" ft ")&amp;IF(ROUND(((B40-12*INT(B40/12))-INT((B40-12*INT(B40/12))))*$C$1,0)=0,INT((B40-12*INT(B40/12)))&amp;"",IF(INT((B40-12*INT(B40/12)))=0,"",INT((B40-12*INT(B40/12)))&amp;" ")&amp;ROUND(((B40-12*INT(B40/12))-INT((B40-12*INT(B40/12))))*$C$1,0)/GCD(ROUND(((B40-12*INT(B40/12))-INT((B40-12*INT(B40/12))))*$C$1,0),$C$1)&amp;"/"&amp;$C$1/GCD(ROUND(((B40-12*INT(B40/12))-INT((B40-12*INT(B40/12))))*$C$1,0),$C$1))&amp;" in","")</f>
        <v/>
      </c>
      <c r="H40" s="9">
        <f>IF(ISNUMBER(B40),ROUND(B40-A40,8),"")</f>
        <v/>
      </c>
    </row>
    <row r="41">
      <c r="A41" s="6" t="n"/>
      <c r="B41" s="7">
        <f>IF(A41="","",IF($C$2&lt;&gt;"OK","Check precision",IF(ISNUMBER(A41),IF(A41&lt;0,"Check number",MROUND(A41,1/$C$1)),"Check number")))</f>
        <v/>
      </c>
      <c r="C41" s="8">
        <f>IF(ISNUMBER(B41),IF(B41=0,"0",TRIM(TEXT(B41,"# ?/"&amp;$C$1))),"")</f>
        <v/>
      </c>
      <c r="D41" s="8">
        <f>IF(ISNUMBER(B41),INT(B41),"")</f>
        <v/>
      </c>
      <c r="E41" s="8">
        <f>IF(ISNUMBER(B41),ROUND((B41-D41)*$C$1,0),"")</f>
        <v/>
      </c>
      <c r="F41" s="8">
        <f>IF(ISNUMBER(B41),IF(E41=0,D41&amp;"",IF(D41=0,"",D41&amp;" ")&amp;E41/GCD(E41,$C$1)&amp;"/"&amp;$C$1/GCD(E41,$C$1)),"")</f>
        <v/>
      </c>
      <c r="G41" s="8">
        <f>IF(ISNUMBER(B41),IF(B41&lt;12,"",INT(B41/12)&amp;" ft ")&amp;IF(ROUND(((B41-12*INT(B41/12))-INT((B41-12*INT(B41/12))))*$C$1,0)=0,INT((B41-12*INT(B41/12)))&amp;"",IF(INT((B41-12*INT(B41/12)))=0,"",INT((B41-12*INT(B41/12)))&amp;" ")&amp;ROUND(((B41-12*INT(B41/12))-INT((B41-12*INT(B41/12))))*$C$1,0)/GCD(ROUND(((B41-12*INT(B41/12))-INT((B41-12*INT(B41/12))))*$C$1,0),$C$1)&amp;"/"&amp;$C$1/GCD(ROUND(((B41-12*INT(B41/12))-INT((B41-12*INT(B41/12))))*$C$1,0),$C$1))&amp;" in","")</f>
        <v/>
      </c>
      <c r="H41" s="9">
        <f>IF(ISNUMBER(B41),ROUND(B41-A41,8),"")</f>
        <v/>
      </c>
    </row>
    <row r="42">
      <c r="A42" s="6" t="n"/>
      <c r="B42" s="7">
        <f>IF(A42="","",IF($C$2&lt;&gt;"OK","Check precision",IF(ISNUMBER(A42),IF(A42&lt;0,"Check number",MROUND(A42,1/$C$1)),"Check number")))</f>
        <v/>
      </c>
      <c r="C42" s="8">
        <f>IF(ISNUMBER(B42),IF(B42=0,"0",TRIM(TEXT(B42,"# ?/"&amp;$C$1))),"")</f>
        <v/>
      </c>
      <c r="D42" s="8">
        <f>IF(ISNUMBER(B42),INT(B42),"")</f>
        <v/>
      </c>
      <c r="E42" s="8">
        <f>IF(ISNUMBER(B42),ROUND((B42-D42)*$C$1,0),"")</f>
        <v/>
      </c>
      <c r="F42" s="8">
        <f>IF(ISNUMBER(B42),IF(E42=0,D42&amp;"",IF(D42=0,"",D42&amp;" ")&amp;E42/GCD(E42,$C$1)&amp;"/"&amp;$C$1/GCD(E42,$C$1)),"")</f>
        <v/>
      </c>
      <c r="G42" s="8">
        <f>IF(ISNUMBER(B42),IF(B42&lt;12,"",INT(B42/12)&amp;" ft ")&amp;IF(ROUND(((B42-12*INT(B42/12))-INT((B42-12*INT(B42/12))))*$C$1,0)=0,INT((B42-12*INT(B42/12)))&amp;"",IF(INT((B42-12*INT(B42/12)))=0,"",INT((B42-12*INT(B42/12)))&amp;" ")&amp;ROUND(((B42-12*INT(B42/12))-INT((B42-12*INT(B42/12))))*$C$1,0)/GCD(ROUND(((B42-12*INT(B42/12))-INT((B42-12*INT(B42/12))))*$C$1,0),$C$1)&amp;"/"&amp;$C$1/GCD(ROUND(((B42-12*INT(B42/12))-INT((B42-12*INT(B42/12))))*$C$1,0),$C$1))&amp;" in","")</f>
        <v/>
      </c>
      <c r="H42" s="9">
        <f>IF(ISNUMBER(B42),ROUND(B42-A42,8),"")</f>
        <v/>
      </c>
    </row>
    <row r="43">
      <c r="A43" s="6" t="n"/>
      <c r="B43" s="7">
        <f>IF(A43="","",IF($C$2&lt;&gt;"OK","Check precision",IF(ISNUMBER(A43),IF(A43&lt;0,"Check number",MROUND(A43,1/$C$1)),"Check number")))</f>
        <v/>
      </c>
      <c r="C43" s="8">
        <f>IF(ISNUMBER(B43),IF(B43=0,"0",TRIM(TEXT(B43,"# ?/"&amp;$C$1))),"")</f>
        <v/>
      </c>
      <c r="D43" s="8">
        <f>IF(ISNUMBER(B43),INT(B43),"")</f>
        <v/>
      </c>
      <c r="E43" s="8">
        <f>IF(ISNUMBER(B43),ROUND((B43-D43)*$C$1,0),"")</f>
        <v/>
      </c>
      <c r="F43" s="8">
        <f>IF(ISNUMBER(B43),IF(E43=0,D43&amp;"",IF(D43=0,"",D43&amp;" ")&amp;E43/GCD(E43,$C$1)&amp;"/"&amp;$C$1/GCD(E43,$C$1)),"")</f>
        <v/>
      </c>
      <c r="G43" s="8">
        <f>IF(ISNUMBER(B43),IF(B43&lt;12,"",INT(B43/12)&amp;" ft ")&amp;IF(ROUND(((B43-12*INT(B43/12))-INT((B43-12*INT(B43/12))))*$C$1,0)=0,INT((B43-12*INT(B43/12)))&amp;"",IF(INT((B43-12*INT(B43/12)))=0,"",INT((B43-12*INT(B43/12)))&amp;" ")&amp;ROUND(((B43-12*INT(B43/12))-INT((B43-12*INT(B43/12))))*$C$1,0)/GCD(ROUND(((B43-12*INT(B43/12))-INT((B43-12*INT(B43/12))))*$C$1,0),$C$1)&amp;"/"&amp;$C$1/GCD(ROUND(((B43-12*INT(B43/12))-INT((B43-12*INT(B43/12))))*$C$1,0),$C$1))&amp;" in","")</f>
        <v/>
      </c>
      <c r="H43" s="9">
        <f>IF(ISNUMBER(B43),ROUND(B43-A43,8),"")</f>
        <v/>
      </c>
    </row>
    <row r="44">
      <c r="A44" s="6" t="n"/>
      <c r="B44" s="7">
        <f>IF(A44="","",IF($C$2&lt;&gt;"OK","Check precision",IF(ISNUMBER(A44),IF(A44&lt;0,"Check number",MROUND(A44,1/$C$1)),"Check number")))</f>
        <v/>
      </c>
      <c r="C44" s="8">
        <f>IF(ISNUMBER(B44),IF(B44=0,"0",TRIM(TEXT(B44,"# ?/"&amp;$C$1))),"")</f>
        <v/>
      </c>
      <c r="D44" s="8">
        <f>IF(ISNUMBER(B44),INT(B44),"")</f>
        <v/>
      </c>
      <c r="E44" s="8">
        <f>IF(ISNUMBER(B44),ROUND((B44-D44)*$C$1,0),"")</f>
        <v/>
      </c>
      <c r="F44" s="8">
        <f>IF(ISNUMBER(B44),IF(E44=0,D44&amp;"",IF(D44=0,"",D44&amp;" ")&amp;E44/GCD(E44,$C$1)&amp;"/"&amp;$C$1/GCD(E44,$C$1)),"")</f>
        <v/>
      </c>
      <c r="G44" s="8">
        <f>IF(ISNUMBER(B44),IF(B44&lt;12,"",INT(B44/12)&amp;" ft ")&amp;IF(ROUND(((B44-12*INT(B44/12))-INT((B44-12*INT(B44/12))))*$C$1,0)=0,INT((B44-12*INT(B44/12)))&amp;"",IF(INT((B44-12*INT(B44/12)))=0,"",INT((B44-12*INT(B44/12)))&amp;" ")&amp;ROUND(((B44-12*INT(B44/12))-INT((B44-12*INT(B44/12))))*$C$1,0)/GCD(ROUND(((B44-12*INT(B44/12))-INT((B44-12*INT(B44/12))))*$C$1,0),$C$1)&amp;"/"&amp;$C$1/GCD(ROUND(((B44-12*INT(B44/12))-INT((B44-12*INT(B44/12))))*$C$1,0),$C$1))&amp;" in","")</f>
        <v/>
      </c>
      <c r="H44" s="9">
        <f>IF(ISNUMBER(B44),ROUND(B44-A44,8),"")</f>
        <v/>
      </c>
    </row>
    <row r="45">
      <c r="A45" s="6" t="n"/>
      <c r="B45" s="7">
        <f>IF(A45="","",IF($C$2&lt;&gt;"OK","Check precision",IF(ISNUMBER(A45),IF(A45&lt;0,"Check number",MROUND(A45,1/$C$1)),"Check number")))</f>
        <v/>
      </c>
      <c r="C45" s="8">
        <f>IF(ISNUMBER(B45),IF(B45=0,"0",TRIM(TEXT(B45,"# ?/"&amp;$C$1))),"")</f>
        <v/>
      </c>
      <c r="D45" s="8">
        <f>IF(ISNUMBER(B45),INT(B45),"")</f>
        <v/>
      </c>
      <c r="E45" s="8">
        <f>IF(ISNUMBER(B45),ROUND((B45-D45)*$C$1,0),"")</f>
        <v/>
      </c>
      <c r="F45" s="8">
        <f>IF(ISNUMBER(B45),IF(E45=0,D45&amp;"",IF(D45=0,"",D45&amp;" ")&amp;E45/GCD(E45,$C$1)&amp;"/"&amp;$C$1/GCD(E45,$C$1)),"")</f>
        <v/>
      </c>
      <c r="G45" s="8">
        <f>IF(ISNUMBER(B45),IF(B45&lt;12,"",INT(B45/12)&amp;" ft ")&amp;IF(ROUND(((B45-12*INT(B45/12))-INT((B45-12*INT(B45/12))))*$C$1,0)=0,INT((B45-12*INT(B45/12)))&amp;"",IF(INT((B45-12*INT(B45/12)))=0,"",INT((B45-12*INT(B45/12)))&amp;" ")&amp;ROUND(((B45-12*INT(B45/12))-INT((B45-12*INT(B45/12))))*$C$1,0)/GCD(ROUND(((B45-12*INT(B45/12))-INT((B45-12*INT(B45/12))))*$C$1,0),$C$1)&amp;"/"&amp;$C$1/GCD(ROUND(((B45-12*INT(B45/12))-INT((B45-12*INT(B45/12))))*$C$1,0),$C$1))&amp;" in","")</f>
        <v/>
      </c>
      <c r="H45" s="9">
        <f>IF(ISNUMBER(B45),ROUND(B45-A45,8),"")</f>
        <v/>
      </c>
    </row>
    <row r="46">
      <c r="A46" s="6" t="n"/>
      <c r="B46" s="7">
        <f>IF(A46="","",IF($C$2&lt;&gt;"OK","Check precision",IF(ISNUMBER(A46),IF(A46&lt;0,"Check number",MROUND(A46,1/$C$1)),"Check number")))</f>
        <v/>
      </c>
      <c r="C46" s="8">
        <f>IF(ISNUMBER(B46),IF(B46=0,"0",TRIM(TEXT(B46,"# ?/"&amp;$C$1))),"")</f>
        <v/>
      </c>
      <c r="D46" s="8">
        <f>IF(ISNUMBER(B46),INT(B46),"")</f>
        <v/>
      </c>
      <c r="E46" s="8">
        <f>IF(ISNUMBER(B46),ROUND((B46-D46)*$C$1,0),"")</f>
        <v/>
      </c>
      <c r="F46" s="8">
        <f>IF(ISNUMBER(B46),IF(E46=0,D46&amp;"",IF(D46=0,"",D46&amp;" ")&amp;E46/GCD(E46,$C$1)&amp;"/"&amp;$C$1/GCD(E46,$C$1)),"")</f>
        <v/>
      </c>
      <c r="G46" s="8">
        <f>IF(ISNUMBER(B46),IF(B46&lt;12,"",INT(B46/12)&amp;" ft ")&amp;IF(ROUND(((B46-12*INT(B46/12))-INT((B46-12*INT(B46/12))))*$C$1,0)=0,INT((B46-12*INT(B46/12)))&amp;"",IF(INT((B46-12*INT(B46/12)))=0,"",INT((B46-12*INT(B46/12)))&amp;" ")&amp;ROUND(((B46-12*INT(B46/12))-INT((B46-12*INT(B46/12))))*$C$1,0)/GCD(ROUND(((B46-12*INT(B46/12))-INT((B46-12*INT(B46/12))))*$C$1,0),$C$1)&amp;"/"&amp;$C$1/GCD(ROUND(((B46-12*INT(B46/12))-INT((B46-12*INT(B46/12))))*$C$1,0),$C$1))&amp;" in","")</f>
        <v/>
      </c>
      <c r="H46" s="9">
        <f>IF(ISNUMBER(B46),ROUND(B46-A46,8),"")</f>
        <v/>
      </c>
    </row>
    <row r="47">
      <c r="A47" s="6" t="n"/>
      <c r="B47" s="7">
        <f>IF(A47="","",IF($C$2&lt;&gt;"OK","Check precision",IF(ISNUMBER(A47),IF(A47&lt;0,"Check number",MROUND(A47,1/$C$1)),"Check number")))</f>
        <v/>
      </c>
      <c r="C47" s="8">
        <f>IF(ISNUMBER(B47),IF(B47=0,"0",TRIM(TEXT(B47,"# ?/"&amp;$C$1))),"")</f>
        <v/>
      </c>
      <c r="D47" s="8">
        <f>IF(ISNUMBER(B47),INT(B47),"")</f>
        <v/>
      </c>
      <c r="E47" s="8">
        <f>IF(ISNUMBER(B47),ROUND((B47-D47)*$C$1,0),"")</f>
        <v/>
      </c>
      <c r="F47" s="8">
        <f>IF(ISNUMBER(B47),IF(E47=0,D47&amp;"",IF(D47=0,"",D47&amp;" ")&amp;E47/GCD(E47,$C$1)&amp;"/"&amp;$C$1/GCD(E47,$C$1)),"")</f>
        <v/>
      </c>
      <c r="G47" s="8">
        <f>IF(ISNUMBER(B47),IF(B47&lt;12,"",INT(B47/12)&amp;" ft ")&amp;IF(ROUND(((B47-12*INT(B47/12))-INT((B47-12*INT(B47/12))))*$C$1,0)=0,INT((B47-12*INT(B47/12)))&amp;"",IF(INT((B47-12*INT(B47/12)))=0,"",INT((B47-12*INT(B47/12)))&amp;" ")&amp;ROUND(((B47-12*INT(B47/12))-INT((B47-12*INT(B47/12))))*$C$1,0)/GCD(ROUND(((B47-12*INT(B47/12))-INT((B47-12*INT(B47/12))))*$C$1,0),$C$1)&amp;"/"&amp;$C$1/GCD(ROUND(((B47-12*INT(B47/12))-INT((B47-12*INT(B47/12))))*$C$1,0),$C$1))&amp;" in","")</f>
        <v/>
      </c>
      <c r="H47" s="9">
        <f>IF(ISNUMBER(B47),ROUND(B47-A47,8),"")</f>
        <v/>
      </c>
    </row>
    <row r="48">
      <c r="A48" s="6" t="n"/>
      <c r="B48" s="7">
        <f>IF(A48="","",IF($C$2&lt;&gt;"OK","Check precision",IF(ISNUMBER(A48),IF(A48&lt;0,"Check number",MROUND(A48,1/$C$1)),"Check number")))</f>
        <v/>
      </c>
      <c r="C48" s="8">
        <f>IF(ISNUMBER(B48),IF(B48=0,"0",TRIM(TEXT(B48,"# ?/"&amp;$C$1))),"")</f>
        <v/>
      </c>
      <c r="D48" s="8">
        <f>IF(ISNUMBER(B48),INT(B48),"")</f>
        <v/>
      </c>
      <c r="E48" s="8">
        <f>IF(ISNUMBER(B48),ROUND((B48-D48)*$C$1,0),"")</f>
        <v/>
      </c>
      <c r="F48" s="8">
        <f>IF(ISNUMBER(B48),IF(E48=0,D48&amp;"",IF(D48=0,"",D48&amp;" ")&amp;E48/GCD(E48,$C$1)&amp;"/"&amp;$C$1/GCD(E48,$C$1)),"")</f>
        <v/>
      </c>
      <c r="G48" s="8">
        <f>IF(ISNUMBER(B48),IF(B48&lt;12,"",INT(B48/12)&amp;" ft ")&amp;IF(ROUND(((B48-12*INT(B48/12))-INT((B48-12*INT(B48/12))))*$C$1,0)=0,INT((B48-12*INT(B48/12)))&amp;"",IF(INT((B48-12*INT(B48/12)))=0,"",INT((B48-12*INT(B48/12)))&amp;" ")&amp;ROUND(((B48-12*INT(B48/12))-INT((B48-12*INT(B48/12))))*$C$1,0)/GCD(ROUND(((B48-12*INT(B48/12))-INT((B48-12*INT(B48/12))))*$C$1,0),$C$1)&amp;"/"&amp;$C$1/GCD(ROUND(((B48-12*INT(B48/12))-INT((B48-12*INT(B48/12))))*$C$1,0),$C$1))&amp;" in","")</f>
        <v/>
      </c>
      <c r="H48" s="9">
        <f>IF(ISNUMBER(B48),ROUND(B48-A48,8),"")</f>
        <v/>
      </c>
    </row>
    <row r="49">
      <c r="A49" s="6" t="n"/>
      <c r="B49" s="7">
        <f>IF(A49="","",IF($C$2&lt;&gt;"OK","Check precision",IF(ISNUMBER(A49),IF(A49&lt;0,"Check number",MROUND(A49,1/$C$1)),"Check number")))</f>
        <v/>
      </c>
      <c r="C49" s="8">
        <f>IF(ISNUMBER(B49),IF(B49=0,"0",TRIM(TEXT(B49,"# ?/"&amp;$C$1))),"")</f>
        <v/>
      </c>
      <c r="D49" s="8">
        <f>IF(ISNUMBER(B49),INT(B49),"")</f>
        <v/>
      </c>
      <c r="E49" s="8">
        <f>IF(ISNUMBER(B49),ROUND((B49-D49)*$C$1,0),"")</f>
        <v/>
      </c>
      <c r="F49" s="8">
        <f>IF(ISNUMBER(B49),IF(E49=0,D49&amp;"",IF(D49=0,"",D49&amp;" ")&amp;E49/GCD(E49,$C$1)&amp;"/"&amp;$C$1/GCD(E49,$C$1)),"")</f>
        <v/>
      </c>
      <c r="G49" s="8">
        <f>IF(ISNUMBER(B49),IF(B49&lt;12,"",INT(B49/12)&amp;" ft ")&amp;IF(ROUND(((B49-12*INT(B49/12))-INT((B49-12*INT(B49/12))))*$C$1,0)=0,INT((B49-12*INT(B49/12)))&amp;"",IF(INT((B49-12*INT(B49/12)))=0,"",INT((B49-12*INT(B49/12)))&amp;" ")&amp;ROUND(((B49-12*INT(B49/12))-INT((B49-12*INT(B49/12))))*$C$1,0)/GCD(ROUND(((B49-12*INT(B49/12))-INT((B49-12*INT(B49/12))))*$C$1,0),$C$1)&amp;"/"&amp;$C$1/GCD(ROUND(((B49-12*INT(B49/12))-INT((B49-12*INT(B49/12))))*$C$1,0),$C$1))&amp;" in","")</f>
        <v/>
      </c>
      <c r="H49" s="9">
        <f>IF(ISNUMBER(B49),ROUND(B49-A49,8),"")</f>
        <v/>
      </c>
    </row>
    <row r="50">
      <c r="A50" s="6" t="n"/>
      <c r="B50" s="7">
        <f>IF(A50="","",IF($C$2&lt;&gt;"OK","Check precision",IF(ISNUMBER(A50),IF(A50&lt;0,"Check number",MROUND(A50,1/$C$1)),"Check number")))</f>
        <v/>
      </c>
      <c r="C50" s="8">
        <f>IF(ISNUMBER(B50),IF(B50=0,"0",TRIM(TEXT(B50,"# ?/"&amp;$C$1))),"")</f>
        <v/>
      </c>
      <c r="D50" s="8">
        <f>IF(ISNUMBER(B50),INT(B50),"")</f>
        <v/>
      </c>
      <c r="E50" s="8">
        <f>IF(ISNUMBER(B50),ROUND((B50-D50)*$C$1,0),"")</f>
        <v/>
      </c>
      <c r="F50" s="8">
        <f>IF(ISNUMBER(B50),IF(E50=0,D50&amp;"",IF(D50=0,"",D50&amp;" ")&amp;E50/GCD(E50,$C$1)&amp;"/"&amp;$C$1/GCD(E50,$C$1)),"")</f>
        <v/>
      </c>
      <c r="G50" s="8">
        <f>IF(ISNUMBER(B50),IF(B50&lt;12,"",INT(B50/12)&amp;" ft ")&amp;IF(ROUND(((B50-12*INT(B50/12))-INT((B50-12*INT(B50/12))))*$C$1,0)=0,INT((B50-12*INT(B50/12)))&amp;"",IF(INT((B50-12*INT(B50/12)))=0,"",INT((B50-12*INT(B50/12)))&amp;" ")&amp;ROUND(((B50-12*INT(B50/12))-INT((B50-12*INT(B50/12))))*$C$1,0)/GCD(ROUND(((B50-12*INT(B50/12))-INT((B50-12*INT(B50/12))))*$C$1,0),$C$1)&amp;"/"&amp;$C$1/GCD(ROUND(((B50-12*INT(B50/12))-INT((B50-12*INT(B50/12))))*$C$1,0),$C$1))&amp;" in","")</f>
        <v/>
      </c>
      <c r="H50" s="9">
        <f>IF(ISNUMBER(B50),ROUND(B50-A50,8),"")</f>
        <v/>
      </c>
    </row>
    <row r="51">
      <c r="A51" s="6" t="n"/>
      <c r="B51" s="7">
        <f>IF(A51="","",IF($C$2&lt;&gt;"OK","Check precision",IF(ISNUMBER(A51),IF(A51&lt;0,"Check number",MROUND(A51,1/$C$1)),"Check number")))</f>
        <v/>
      </c>
      <c r="C51" s="8">
        <f>IF(ISNUMBER(B51),IF(B51=0,"0",TRIM(TEXT(B51,"# ?/"&amp;$C$1))),"")</f>
        <v/>
      </c>
      <c r="D51" s="8">
        <f>IF(ISNUMBER(B51),INT(B51),"")</f>
        <v/>
      </c>
      <c r="E51" s="8">
        <f>IF(ISNUMBER(B51),ROUND((B51-D51)*$C$1,0),"")</f>
        <v/>
      </c>
      <c r="F51" s="8">
        <f>IF(ISNUMBER(B51),IF(E51=0,D51&amp;"",IF(D51=0,"",D51&amp;" ")&amp;E51/GCD(E51,$C$1)&amp;"/"&amp;$C$1/GCD(E51,$C$1)),"")</f>
        <v/>
      </c>
      <c r="G51" s="8">
        <f>IF(ISNUMBER(B51),IF(B51&lt;12,"",INT(B51/12)&amp;" ft ")&amp;IF(ROUND(((B51-12*INT(B51/12))-INT((B51-12*INT(B51/12))))*$C$1,0)=0,INT((B51-12*INT(B51/12)))&amp;"",IF(INT((B51-12*INT(B51/12)))=0,"",INT((B51-12*INT(B51/12)))&amp;" ")&amp;ROUND(((B51-12*INT(B51/12))-INT((B51-12*INT(B51/12))))*$C$1,0)/GCD(ROUND(((B51-12*INT(B51/12))-INT((B51-12*INT(B51/12))))*$C$1,0),$C$1)&amp;"/"&amp;$C$1/GCD(ROUND(((B51-12*INT(B51/12))-INT((B51-12*INT(B51/12))))*$C$1,0),$C$1))&amp;" in","")</f>
        <v/>
      </c>
      <c r="H51" s="9">
        <f>IF(ISNUMBER(B51),ROUND(B51-A51,8),"")</f>
        <v/>
      </c>
    </row>
    <row r="52">
      <c r="A52" s="6" t="n"/>
      <c r="B52" s="7">
        <f>IF(A52="","",IF($C$2&lt;&gt;"OK","Check precision",IF(ISNUMBER(A52),IF(A52&lt;0,"Check number",MROUND(A52,1/$C$1)),"Check number")))</f>
        <v/>
      </c>
      <c r="C52" s="8">
        <f>IF(ISNUMBER(B52),IF(B52=0,"0",TRIM(TEXT(B52,"# ?/"&amp;$C$1))),"")</f>
        <v/>
      </c>
      <c r="D52" s="8">
        <f>IF(ISNUMBER(B52),INT(B52),"")</f>
        <v/>
      </c>
      <c r="E52" s="8">
        <f>IF(ISNUMBER(B52),ROUND((B52-D52)*$C$1,0),"")</f>
        <v/>
      </c>
      <c r="F52" s="8">
        <f>IF(ISNUMBER(B52),IF(E52=0,D52&amp;"",IF(D52=0,"",D52&amp;" ")&amp;E52/GCD(E52,$C$1)&amp;"/"&amp;$C$1/GCD(E52,$C$1)),"")</f>
        <v/>
      </c>
      <c r="G52" s="8">
        <f>IF(ISNUMBER(B52),IF(B52&lt;12,"",INT(B52/12)&amp;" ft ")&amp;IF(ROUND(((B52-12*INT(B52/12))-INT((B52-12*INT(B52/12))))*$C$1,0)=0,INT((B52-12*INT(B52/12)))&amp;"",IF(INT((B52-12*INT(B52/12)))=0,"",INT((B52-12*INT(B52/12)))&amp;" ")&amp;ROUND(((B52-12*INT(B52/12))-INT((B52-12*INT(B52/12))))*$C$1,0)/GCD(ROUND(((B52-12*INT(B52/12))-INT((B52-12*INT(B52/12))))*$C$1,0),$C$1)&amp;"/"&amp;$C$1/GCD(ROUND(((B52-12*INT(B52/12))-INT((B52-12*INT(B52/12))))*$C$1,0),$C$1))&amp;" in","")</f>
        <v/>
      </c>
      <c r="H52" s="9">
        <f>IF(ISNUMBER(B52),ROUND(B52-A52,8),"")</f>
        <v/>
      </c>
    </row>
    <row r="53">
      <c r="A53" s="6" t="n"/>
      <c r="B53" s="7">
        <f>IF(A53="","",IF($C$2&lt;&gt;"OK","Check precision",IF(ISNUMBER(A53),IF(A53&lt;0,"Check number",MROUND(A53,1/$C$1)),"Check number")))</f>
        <v/>
      </c>
      <c r="C53" s="8">
        <f>IF(ISNUMBER(B53),IF(B53=0,"0",TRIM(TEXT(B53,"# ?/"&amp;$C$1))),"")</f>
        <v/>
      </c>
      <c r="D53" s="8">
        <f>IF(ISNUMBER(B53),INT(B53),"")</f>
        <v/>
      </c>
      <c r="E53" s="8">
        <f>IF(ISNUMBER(B53),ROUND((B53-D53)*$C$1,0),"")</f>
        <v/>
      </c>
      <c r="F53" s="8">
        <f>IF(ISNUMBER(B53),IF(E53=0,D53&amp;"",IF(D53=0,"",D53&amp;" ")&amp;E53/GCD(E53,$C$1)&amp;"/"&amp;$C$1/GCD(E53,$C$1)),"")</f>
        <v/>
      </c>
      <c r="G53" s="8">
        <f>IF(ISNUMBER(B53),IF(B53&lt;12,"",INT(B53/12)&amp;" ft ")&amp;IF(ROUND(((B53-12*INT(B53/12))-INT((B53-12*INT(B53/12))))*$C$1,0)=0,INT((B53-12*INT(B53/12)))&amp;"",IF(INT((B53-12*INT(B53/12)))=0,"",INT((B53-12*INT(B53/12)))&amp;" ")&amp;ROUND(((B53-12*INT(B53/12))-INT((B53-12*INT(B53/12))))*$C$1,0)/GCD(ROUND(((B53-12*INT(B53/12))-INT((B53-12*INT(B53/12))))*$C$1,0),$C$1)&amp;"/"&amp;$C$1/GCD(ROUND(((B53-12*INT(B53/12))-INT((B53-12*INT(B53/12))))*$C$1,0),$C$1))&amp;" in","")</f>
        <v/>
      </c>
      <c r="H53" s="9">
        <f>IF(ISNUMBER(B53),ROUND(B53-A53,8),"")</f>
        <v/>
      </c>
    </row>
    <row r="54">
      <c r="A54" s="6" t="n"/>
      <c r="B54" s="7">
        <f>IF(A54="","",IF($C$2&lt;&gt;"OK","Check precision",IF(ISNUMBER(A54),IF(A54&lt;0,"Check number",MROUND(A54,1/$C$1)),"Check number")))</f>
        <v/>
      </c>
      <c r="C54" s="8">
        <f>IF(ISNUMBER(B54),IF(B54=0,"0",TRIM(TEXT(B54,"# ?/"&amp;$C$1))),"")</f>
        <v/>
      </c>
      <c r="D54" s="8">
        <f>IF(ISNUMBER(B54),INT(B54),"")</f>
        <v/>
      </c>
      <c r="E54" s="8">
        <f>IF(ISNUMBER(B54),ROUND((B54-D54)*$C$1,0),"")</f>
        <v/>
      </c>
      <c r="F54" s="8">
        <f>IF(ISNUMBER(B54),IF(E54=0,D54&amp;"",IF(D54=0,"",D54&amp;" ")&amp;E54/GCD(E54,$C$1)&amp;"/"&amp;$C$1/GCD(E54,$C$1)),"")</f>
        <v/>
      </c>
      <c r="G54" s="8">
        <f>IF(ISNUMBER(B54),IF(B54&lt;12,"",INT(B54/12)&amp;" ft ")&amp;IF(ROUND(((B54-12*INT(B54/12))-INT((B54-12*INT(B54/12))))*$C$1,0)=0,INT((B54-12*INT(B54/12)))&amp;"",IF(INT((B54-12*INT(B54/12)))=0,"",INT((B54-12*INT(B54/12)))&amp;" ")&amp;ROUND(((B54-12*INT(B54/12))-INT((B54-12*INT(B54/12))))*$C$1,0)/GCD(ROUND(((B54-12*INT(B54/12))-INT((B54-12*INT(B54/12))))*$C$1,0),$C$1)&amp;"/"&amp;$C$1/GCD(ROUND(((B54-12*INT(B54/12))-INT((B54-12*INT(B54/12))))*$C$1,0),$C$1))&amp;" in","")</f>
        <v/>
      </c>
      <c r="H54" s="9">
        <f>IF(ISNUMBER(B54),ROUND(B54-A54,8),"")</f>
        <v/>
      </c>
    </row>
    <row r="55">
      <c r="A55" s="6" t="n"/>
      <c r="B55" s="7">
        <f>IF(A55="","",IF($C$2&lt;&gt;"OK","Check precision",IF(ISNUMBER(A55),IF(A55&lt;0,"Check number",MROUND(A55,1/$C$1)),"Check number")))</f>
        <v/>
      </c>
      <c r="C55" s="8">
        <f>IF(ISNUMBER(B55),IF(B55=0,"0",TRIM(TEXT(B55,"# ?/"&amp;$C$1))),"")</f>
        <v/>
      </c>
      <c r="D55" s="8">
        <f>IF(ISNUMBER(B55),INT(B55),"")</f>
        <v/>
      </c>
      <c r="E55" s="8">
        <f>IF(ISNUMBER(B55),ROUND((B55-D55)*$C$1,0),"")</f>
        <v/>
      </c>
      <c r="F55" s="8">
        <f>IF(ISNUMBER(B55),IF(E55=0,D55&amp;"",IF(D55=0,"",D55&amp;" ")&amp;E55/GCD(E55,$C$1)&amp;"/"&amp;$C$1/GCD(E55,$C$1)),"")</f>
        <v/>
      </c>
      <c r="G55" s="8">
        <f>IF(ISNUMBER(B55),IF(B55&lt;12,"",INT(B55/12)&amp;" ft ")&amp;IF(ROUND(((B55-12*INT(B55/12))-INT((B55-12*INT(B55/12))))*$C$1,0)=0,INT((B55-12*INT(B55/12)))&amp;"",IF(INT((B55-12*INT(B55/12)))=0,"",INT((B55-12*INT(B55/12)))&amp;" ")&amp;ROUND(((B55-12*INT(B55/12))-INT((B55-12*INT(B55/12))))*$C$1,0)/GCD(ROUND(((B55-12*INT(B55/12))-INT((B55-12*INT(B55/12))))*$C$1,0),$C$1)&amp;"/"&amp;$C$1/GCD(ROUND(((B55-12*INT(B55/12))-INT((B55-12*INT(B55/12))))*$C$1,0),$C$1))&amp;" in","")</f>
        <v/>
      </c>
      <c r="H55" s="9">
        <f>IF(ISNUMBER(B55),ROUND(B55-A55,8),"")</f>
        <v/>
      </c>
    </row>
    <row r="56">
      <c r="A56" s="6" t="n"/>
      <c r="B56" s="7">
        <f>IF(A56="","",IF($C$2&lt;&gt;"OK","Check precision",IF(ISNUMBER(A56),IF(A56&lt;0,"Check number",MROUND(A56,1/$C$1)),"Check number")))</f>
        <v/>
      </c>
      <c r="C56" s="8">
        <f>IF(ISNUMBER(B56),IF(B56=0,"0",TRIM(TEXT(B56,"# ?/"&amp;$C$1))),"")</f>
        <v/>
      </c>
      <c r="D56" s="8">
        <f>IF(ISNUMBER(B56),INT(B56),"")</f>
        <v/>
      </c>
      <c r="E56" s="8">
        <f>IF(ISNUMBER(B56),ROUND((B56-D56)*$C$1,0),"")</f>
        <v/>
      </c>
      <c r="F56" s="8">
        <f>IF(ISNUMBER(B56),IF(E56=0,D56&amp;"",IF(D56=0,"",D56&amp;" ")&amp;E56/GCD(E56,$C$1)&amp;"/"&amp;$C$1/GCD(E56,$C$1)),"")</f>
        <v/>
      </c>
      <c r="G56" s="8">
        <f>IF(ISNUMBER(B56),IF(B56&lt;12,"",INT(B56/12)&amp;" ft ")&amp;IF(ROUND(((B56-12*INT(B56/12))-INT((B56-12*INT(B56/12))))*$C$1,0)=0,INT((B56-12*INT(B56/12)))&amp;"",IF(INT((B56-12*INT(B56/12)))=0,"",INT((B56-12*INT(B56/12)))&amp;" ")&amp;ROUND(((B56-12*INT(B56/12))-INT((B56-12*INT(B56/12))))*$C$1,0)/GCD(ROUND(((B56-12*INT(B56/12))-INT((B56-12*INT(B56/12))))*$C$1,0),$C$1)&amp;"/"&amp;$C$1/GCD(ROUND(((B56-12*INT(B56/12))-INT((B56-12*INT(B56/12))))*$C$1,0),$C$1))&amp;" in","")</f>
        <v/>
      </c>
      <c r="H56" s="9">
        <f>IF(ISNUMBER(B56),ROUND(B56-A56,8),"")</f>
        <v/>
      </c>
    </row>
    <row r="57">
      <c r="A57" s="6" t="n"/>
      <c r="B57" s="7">
        <f>IF(A57="","",IF($C$2&lt;&gt;"OK","Check precision",IF(ISNUMBER(A57),IF(A57&lt;0,"Check number",MROUND(A57,1/$C$1)),"Check number")))</f>
        <v/>
      </c>
      <c r="C57" s="8">
        <f>IF(ISNUMBER(B57),IF(B57=0,"0",TRIM(TEXT(B57,"# ?/"&amp;$C$1))),"")</f>
        <v/>
      </c>
      <c r="D57" s="8">
        <f>IF(ISNUMBER(B57),INT(B57),"")</f>
        <v/>
      </c>
      <c r="E57" s="8">
        <f>IF(ISNUMBER(B57),ROUND((B57-D57)*$C$1,0),"")</f>
        <v/>
      </c>
      <c r="F57" s="8">
        <f>IF(ISNUMBER(B57),IF(E57=0,D57&amp;"",IF(D57=0,"",D57&amp;" ")&amp;E57/GCD(E57,$C$1)&amp;"/"&amp;$C$1/GCD(E57,$C$1)),"")</f>
        <v/>
      </c>
      <c r="G57" s="8">
        <f>IF(ISNUMBER(B57),IF(B57&lt;12,"",INT(B57/12)&amp;" ft ")&amp;IF(ROUND(((B57-12*INT(B57/12))-INT((B57-12*INT(B57/12))))*$C$1,0)=0,INT((B57-12*INT(B57/12)))&amp;"",IF(INT((B57-12*INT(B57/12)))=0,"",INT((B57-12*INT(B57/12)))&amp;" ")&amp;ROUND(((B57-12*INT(B57/12))-INT((B57-12*INT(B57/12))))*$C$1,0)/GCD(ROUND(((B57-12*INT(B57/12))-INT((B57-12*INT(B57/12))))*$C$1,0),$C$1)&amp;"/"&amp;$C$1/GCD(ROUND(((B57-12*INT(B57/12))-INT((B57-12*INT(B57/12))))*$C$1,0),$C$1))&amp;" in","")</f>
        <v/>
      </c>
      <c r="H57" s="9">
        <f>IF(ISNUMBER(B57),ROUND(B57-A57,8),"")</f>
        <v/>
      </c>
    </row>
    <row r="58">
      <c r="A58" s="6" t="n"/>
      <c r="B58" s="7">
        <f>IF(A58="","",IF($C$2&lt;&gt;"OK","Check precision",IF(ISNUMBER(A58),IF(A58&lt;0,"Check number",MROUND(A58,1/$C$1)),"Check number")))</f>
        <v/>
      </c>
      <c r="C58" s="8">
        <f>IF(ISNUMBER(B58),IF(B58=0,"0",TRIM(TEXT(B58,"# ?/"&amp;$C$1))),"")</f>
        <v/>
      </c>
      <c r="D58" s="8">
        <f>IF(ISNUMBER(B58),INT(B58),"")</f>
        <v/>
      </c>
      <c r="E58" s="8">
        <f>IF(ISNUMBER(B58),ROUND((B58-D58)*$C$1,0),"")</f>
        <v/>
      </c>
      <c r="F58" s="8">
        <f>IF(ISNUMBER(B58),IF(E58=0,D58&amp;"",IF(D58=0,"",D58&amp;" ")&amp;E58/GCD(E58,$C$1)&amp;"/"&amp;$C$1/GCD(E58,$C$1)),"")</f>
        <v/>
      </c>
      <c r="G58" s="8">
        <f>IF(ISNUMBER(B58),IF(B58&lt;12,"",INT(B58/12)&amp;" ft ")&amp;IF(ROUND(((B58-12*INT(B58/12))-INT((B58-12*INT(B58/12))))*$C$1,0)=0,INT((B58-12*INT(B58/12)))&amp;"",IF(INT((B58-12*INT(B58/12)))=0,"",INT((B58-12*INT(B58/12)))&amp;" ")&amp;ROUND(((B58-12*INT(B58/12))-INT((B58-12*INT(B58/12))))*$C$1,0)/GCD(ROUND(((B58-12*INT(B58/12))-INT((B58-12*INT(B58/12))))*$C$1,0),$C$1)&amp;"/"&amp;$C$1/GCD(ROUND(((B58-12*INT(B58/12))-INT((B58-12*INT(B58/12))))*$C$1,0),$C$1))&amp;" in","")</f>
        <v/>
      </c>
      <c r="H58" s="9">
        <f>IF(ISNUMBER(B58),ROUND(B58-A58,8),"")</f>
        <v/>
      </c>
    </row>
    <row r="59">
      <c r="A59" s="6" t="n"/>
      <c r="B59" s="7">
        <f>IF(A59="","",IF($C$2&lt;&gt;"OK","Check precision",IF(ISNUMBER(A59),IF(A59&lt;0,"Check number",MROUND(A59,1/$C$1)),"Check number")))</f>
        <v/>
      </c>
      <c r="C59" s="8">
        <f>IF(ISNUMBER(B59),IF(B59=0,"0",TRIM(TEXT(B59,"# ?/"&amp;$C$1))),"")</f>
        <v/>
      </c>
      <c r="D59" s="8">
        <f>IF(ISNUMBER(B59),INT(B59),"")</f>
        <v/>
      </c>
      <c r="E59" s="8">
        <f>IF(ISNUMBER(B59),ROUND((B59-D59)*$C$1,0),"")</f>
        <v/>
      </c>
      <c r="F59" s="8">
        <f>IF(ISNUMBER(B59),IF(E59=0,D59&amp;"",IF(D59=0,"",D59&amp;" ")&amp;E59/GCD(E59,$C$1)&amp;"/"&amp;$C$1/GCD(E59,$C$1)),"")</f>
        <v/>
      </c>
      <c r="G59" s="8">
        <f>IF(ISNUMBER(B59),IF(B59&lt;12,"",INT(B59/12)&amp;" ft ")&amp;IF(ROUND(((B59-12*INT(B59/12))-INT((B59-12*INT(B59/12))))*$C$1,0)=0,INT((B59-12*INT(B59/12)))&amp;"",IF(INT((B59-12*INT(B59/12)))=0,"",INT((B59-12*INT(B59/12)))&amp;" ")&amp;ROUND(((B59-12*INT(B59/12))-INT((B59-12*INT(B59/12))))*$C$1,0)/GCD(ROUND(((B59-12*INT(B59/12))-INT((B59-12*INT(B59/12))))*$C$1,0),$C$1)&amp;"/"&amp;$C$1/GCD(ROUND(((B59-12*INT(B59/12))-INT((B59-12*INT(B59/12))))*$C$1,0),$C$1))&amp;" in","")</f>
        <v/>
      </c>
      <c r="H59" s="9">
        <f>IF(ISNUMBER(B59),ROUND(B59-A59,8),"")</f>
        <v/>
      </c>
    </row>
    <row r="60">
      <c r="A60" s="6" t="n"/>
      <c r="B60" s="7">
        <f>IF(A60="","",IF($C$2&lt;&gt;"OK","Check precision",IF(ISNUMBER(A60),IF(A60&lt;0,"Check number",MROUND(A60,1/$C$1)),"Check number")))</f>
        <v/>
      </c>
      <c r="C60" s="8">
        <f>IF(ISNUMBER(B60),IF(B60=0,"0",TRIM(TEXT(B60,"# ?/"&amp;$C$1))),"")</f>
        <v/>
      </c>
      <c r="D60" s="8">
        <f>IF(ISNUMBER(B60),INT(B60),"")</f>
        <v/>
      </c>
      <c r="E60" s="8">
        <f>IF(ISNUMBER(B60),ROUND((B60-D60)*$C$1,0),"")</f>
        <v/>
      </c>
      <c r="F60" s="8">
        <f>IF(ISNUMBER(B60),IF(E60=0,D60&amp;"",IF(D60=0,"",D60&amp;" ")&amp;E60/GCD(E60,$C$1)&amp;"/"&amp;$C$1/GCD(E60,$C$1)),"")</f>
        <v/>
      </c>
      <c r="G60" s="8">
        <f>IF(ISNUMBER(B60),IF(B60&lt;12,"",INT(B60/12)&amp;" ft ")&amp;IF(ROUND(((B60-12*INT(B60/12))-INT((B60-12*INT(B60/12))))*$C$1,0)=0,INT((B60-12*INT(B60/12)))&amp;"",IF(INT((B60-12*INT(B60/12)))=0,"",INT((B60-12*INT(B60/12)))&amp;" ")&amp;ROUND(((B60-12*INT(B60/12))-INT((B60-12*INT(B60/12))))*$C$1,0)/GCD(ROUND(((B60-12*INT(B60/12))-INT((B60-12*INT(B60/12))))*$C$1,0),$C$1)&amp;"/"&amp;$C$1/GCD(ROUND(((B60-12*INT(B60/12))-INT((B60-12*INT(B60/12))))*$C$1,0),$C$1))&amp;" in","")</f>
        <v/>
      </c>
      <c r="H60" s="9">
        <f>IF(ISNUMBER(B60),ROUND(B60-A60,8),"")</f>
        <v/>
      </c>
    </row>
    <row r="61">
      <c r="A61" s="6" t="n"/>
      <c r="B61" s="7">
        <f>IF(A61="","",IF($C$2&lt;&gt;"OK","Check precision",IF(ISNUMBER(A61),IF(A61&lt;0,"Check number",MROUND(A61,1/$C$1)),"Check number")))</f>
        <v/>
      </c>
      <c r="C61" s="8">
        <f>IF(ISNUMBER(B61),IF(B61=0,"0",TRIM(TEXT(B61,"# ?/"&amp;$C$1))),"")</f>
        <v/>
      </c>
      <c r="D61" s="8">
        <f>IF(ISNUMBER(B61),INT(B61),"")</f>
        <v/>
      </c>
      <c r="E61" s="8">
        <f>IF(ISNUMBER(B61),ROUND((B61-D61)*$C$1,0),"")</f>
        <v/>
      </c>
      <c r="F61" s="8">
        <f>IF(ISNUMBER(B61),IF(E61=0,D61&amp;"",IF(D61=0,"",D61&amp;" ")&amp;E61/GCD(E61,$C$1)&amp;"/"&amp;$C$1/GCD(E61,$C$1)),"")</f>
        <v/>
      </c>
      <c r="G61" s="8">
        <f>IF(ISNUMBER(B61),IF(B61&lt;12,"",INT(B61/12)&amp;" ft ")&amp;IF(ROUND(((B61-12*INT(B61/12))-INT((B61-12*INT(B61/12))))*$C$1,0)=0,INT((B61-12*INT(B61/12)))&amp;"",IF(INT((B61-12*INT(B61/12)))=0,"",INT((B61-12*INT(B61/12)))&amp;" ")&amp;ROUND(((B61-12*INT(B61/12))-INT((B61-12*INT(B61/12))))*$C$1,0)/GCD(ROUND(((B61-12*INT(B61/12))-INT((B61-12*INT(B61/12))))*$C$1,0),$C$1)&amp;"/"&amp;$C$1/GCD(ROUND(((B61-12*INT(B61/12))-INT((B61-12*INT(B61/12))))*$C$1,0),$C$1))&amp;" in","")</f>
        <v/>
      </c>
      <c r="H61" s="9">
        <f>IF(ISNUMBER(B61),ROUND(B61-A61,8),"")</f>
        <v/>
      </c>
    </row>
    <row r="62">
      <c r="A62" s="6" t="n"/>
      <c r="B62" s="7">
        <f>IF(A62="","",IF($C$2&lt;&gt;"OK","Check precision",IF(ISNUMBER(A62),IF(A62&lt;0,"Check number",MROUND(A62,1/$C$1)),"Check number")))</f>
        <v/>
      </c>
      <c r="C62" s="8">
        <f>IF(ISNUMBER(B62),IF(B62=0,"0",TRIM(TEXT(B62,"# ?/"&amp;$C$1))),"")</f>
        <v/>
      </c>
      <c r="D62" s="8">
        <f>IF(ISNUMBER(B62),INT(B62),"")</f>
        <v/>
      </c>
      <c r="E62" s="8">
        <f>IF(ISNUMBER(B62),ROUND((B62-D62)*$C$1,0),"")</f>
        <v/>
      </c>
      <c r="F62" s="8">
        <f>IF(ISNUMBER(B62),IF(E62=0,D62&amp;"",IF(D62=0,"",D62&amp;" ")&amp;E62/GCD(E62,$C$1)&amp;"/"&amp;$C$1/GCD(E62,$C$1)),"")</f>
        <v/>
      </c>
      <c r="G62" s="8">
        <f>IF(ISNUMBER(B62),IF(B62&lt;12,"",INT(B62/12)&amp;" ft ")&amp;IF(ROUND(((B62-12*INT(B62/12))-INT((B62-12*INT(B62/12))))*$C$1,0)=0,INT((B62-12*INT(B62/12)))&amp;"",IF(INT((B62-12*INT(B62/12)))=0,"",INT((B62-12*INT(B62/12)))&amp;" ")&amp;ROUND(((B62-12*INT(B62/12))-INT((B62-12*INT(B62/12))))*$C$1,0)/GCD(ROUND(((B62-12*INT(B62/12))-INT((B62-12*INT(B62/12))))*$C$1,0),$C$1)&amp;"/"&amp;$C$1/GCD(ROUND(((B62-12*INT(B62/12))-INT((B62-12*INT(B62/12))))*$C$1,0),$C$1))&amp;" in","")</f>
        <v/>
      </c>
      <c r="H62" s="9">
        <f>IF(ISNUMBER(B62),ROUND(B62-A62,8),"")</f>
        <v/>
      </c>
    </row>
    <row r="63">
      <c r="A63" s="6" t="n"/>
      <c r="B63" s="7">
        <f>IF(A63="","",IF($C$2&lt;&gt;"OK","Check precision",IF(ISNUMBER(A63),IF(A63&lt;0,"Check number",MROUND(A63,1/$C$1)),"Check number")))</f>
        <v/>
      </c>
      <c r="C63" s="8">
        <f>IF(ISNUMBER(B63),IF(B63=0,"0",TRIM(TEXT(B63,"# ?/"&amp;$C$1))),"")</f>
        <v/>
      </c>
      <c r="D63" s="8">
        <f>IF(ISNUMBER(B63),INT(B63),"")</f>
        <v/>
      </c>
      <c r="E63" s="8">
        <f>IF(ISNUMBER(B63),ROUND((B63-D63)*$C$1,0),"")</f>
        <v/>
      </c>
      <c r="F63" s="8">
        <f>IF(ISNUMBER(B63),IF(E63=0,D63&amp;"",IF(D63=0,"",D63&amp;" ")&amp;E63/GCD(E63,$C$1)&amp;"/"&amp;$C$1/GCD(E63,$C$1)),"")</f>
        <v/>
      </c>
      <c r="G63" s="8">
        <f>IF(ISNUMBER(B63),IF(B63&lt;12,"",INT(B63/12)&amp;" ft ")&amp;IF(ROUND(((B63-12*INT(B63/12))-INT((B63-12*INT(B63/12))))*$C$1,0)=0,INT((B63-12*INT(B63/12)))&amp;"",IF(INT((B63-12*INT(B63/12)))=0,"",INT((B63-12*INT(B63/12)))&amp;" ")&amp;ROUND(((B63-12*INT(B63/12))-INT((B63-12*INT(B63/12))))*$C$1,0)/GCD(ROUND(((B63-12*INT(B63/12))-INT((B63-12*INT(B63/12))))*$C$1,0),$C$1)&amp;"/"&amp;$C$1/GCD(ROUND(((B63-12*INT(B63/12))-INT((B63-12*INT(B63/12))))*$C$1,0),$C$1))&amp;" in","")</f>
        <v/>
      </c>
      <c r="H63" s="9">
        <f>IF(ISNUMBER(B63),ROUND(B63-A63,8),"")</f>
        <v/>
      </c>
    </row>
    <row r="64">
      <c r="A64" s="6" t="n"/>
      <c r="B64" s="7">
        <f>IF(A64="","",IF($C$2&lt;&gt;"OK","Check precision",IF(ISNUMBER(A64),IF(A64&lt;0,"Check number",MROUND(A64,1/$C$1)),"Check number")))</f>
        <v/>
      </c>
      <c r="C64" s="8">
        <f>IF(ISNUMBER(B64),IF(B64=0,"0",TRIM(TEXT(B64,"# ?/"&amp;$C$1))),"")</f>
        <v/>
      </c>
      <c r="D64" s="8">
        <f>IF(ISNUMBER(B64),INT(B64),"")</f>
        <v/>
      </c>
      <c r="E64" s="8">
        <f>IF(ISNUMBER(B64),ROUND((B64-D64)*$C$1,0),"")</f>
        <v/>
      </c>
      <c r="F64" s="8">
        <f>IF(ISNUMBER(B64),IF(E64=0,D64&amp;"",IF(D64=0,"",D64&amp;" ")&amp;E64/GCD(E64,$C$1)&amp;"/"&amp;$C$1/GCD(E64,$C$1)),"")</f>
        <v/>
      </c>
      <c r="G64" s="8">
        <f>IF(ISNUMBER(B64),IF(B64&lt;12,"",INT(B64/12)&amp;" ft ")&amp;IF(ROUND(((B64-12*INT(B64/12))-INT((B64-12*INT(B64/12))))*$C$1,0)=0,INT((B64-12*INT(B64/12)))&amp;"",IF(INT((B64-12*INT(B64/12)))=0,"",INT((B64-12*INT(B64/12)))&amp;" ")&amp;ROUND(((B64-12*INT(B64/12))-INT((B64-12*INT(B64/12))))*$C$1,0)/GCD(ROUND(((B64-12*INT(B64/12))-INT((B64-12*INT(B64/12))))*$C$1,0),$C$1)&amp;"/"&amp;$C$1/GCD(ROUND(((B64-12*INT(B64/12))-INT((B64-12*INT(B64/12))))*$C$1,0),$C$1))&amp;" in","")</f>
        <v/>
      </c>
      <c r="H64" s="9">
        <f>IF(ISNUMBER(B64),ROUND(B64-A64,8),"")</f>
        <v/>
      </c>
    </row>
    <row r="65">
      <c r="A65" s="6" t="n"/>
      <c r="B65" s="7">
        <f>IF(A65="","",IF($C$2&lt;&gt;"OK","Check precision",IF(ISNUMBER(A65),IF(A65&lt;0,"Check number",MROUND(A65,1/$C$1)),"Check number")))</f>
        <v/>
      </c>
      <c r="C65" s="8">
        <f>IF(ISNUMBER(B65),IF(B65=0,"0",TRIM(TEXT(B65,"# ?/"&amp;$C$1))),"")</f>
        <v/>
      </c>
      <c r="D65" s="8">
        <f>IF(ISNUMBER(B65),INT(B65),"")</f>
        <v/>
      </c>
      <c r="E65" s="8">
        <f>IF(ISNUMBER(B65),ROUND((B65-D65)*$C$1,0),"")</f>
        <v/>
      </c>
      <c r="F65" s="8">
        <f>IF(ISNUMBER(B65),IF(E65=0,D65&amp;"",IF(D65=0,"",D65&amp;" ")&amp;E65/GCD(E65,$C$1)&amp;"/"&amp;$C$1/GCD(E65,$C$1)),"")</f>
        <v/>
      </c>
      <c r="G65" s="8">
        <f>IF(ISNUMBER(B65),IF(B65&lt;12,"",INT(B65/12)&amp;" ft ")&amp;IF(ROUND(((B65-12*INT(B65/12))-INT((B65-12*INT(B65/12))))*$C$1,0)=0,INT((B65-12*INT(B65/12)))&amp;"",IF(INT((B65-12*INT(B65/12)))=0,"",INT((B65-12*INT(B65/12)))&amp;" ")&amp;ROUND(((B65-12*INT(B65/12))-INT((B65-12*INT(B65/12))))*$C$1,0)/GCD(ROUND(((B65-12*INT(B65/12))-INT((B65-12*INT(B65/12))))*$C$1,0),$C$1)&amp;"/"&amp;$C$1/GCD(ROUND(((B65-12*INT(B65/12))-INT((B65-12*INT(B65/12))))*$C$1,0),$C$1))&amp;" in","")</f>
        <v/>
      </c>
      <c r="H65" s="9">
        <f>IF(ISNUMBER(B65),ROUND(B65-A65,8),"")</f>
        <v/>
      </c>
    </row>
    <row r="66">
      <c r="A66" s="6" t="n"/>
      <c r="B66" s="7">
        <f>IF(A66="","",IF($C$2&lt;&gt;"OK","Check precision",IF(ISNUMBER(A66),IF(A66&lt;0,"Check number",MROUND(A66,1/$C$1)),"Check number")))</f>
        <v/>
      </c>
      <c r="C66" s="8">
        <f>IF(ISNUMBER(B66),IF(B66=0,"0",TRIM(TEXT(B66,"# ?/"&amp;$C$1))),"")</f>
        <v/>
      </c>
      <c r="D66" s="8">
        <f>IF(ISNUMBER(B66),INT(B66),"")</f>
        <v/>
      </c>
      <c r="E66" s="8">
        <f>IF(ISNUMBER(B66),ROUND((B66-D66)*$C$1,0),"")</f>
        <v/>
      </c>
      <c r="F66" s="8">
        <f>IF(ISNUMBER(B66),IF(E66=0,D66&amp;"",IF(D66=0,"",D66&amp;" ")&amp;E66/GCD(E66,$C$1)&amp;"/"&amp;$C$1/GCD(E66,$C$1)),"")</f>
        <v/>
      </c>
      <c r="G66" s="8">
        <f>IF(ISNUMBER(B66),IF(B66&lt;12,"",INT(B66/12)&amp;" ft ")&amp;IF(ROUND(((B66-12*INT(B66/12))-INT((B66-12*INT(B66/12))))*$C$1,0)=0,INT((B66-12*INT(B66/12)))&amp;"",IF(INT((B66-12*INT(B66/12)))=0,"",INT((B66-12*INT(B66/12)))&amp;" ")&amp;ROUND(((B66-12*INT(B66/12))-INT((B66-12*INT(B66/12))))*$C$1,0)/GCD(ROUND(((B66-12*INT(B66/12))-INT((B66-12*INT(B66/12))))*$C$1,0),$C$1)&amp;"/"&amp;$C$1/GCD(ROUND(((B66-12*INT(B66/12))-INT((B66-12*INT(B66/12))))*$C$1,0),$C$1))&amp;" in","")</f>
        <v/>
      </c>
      <c r="H66" s="9">
        <f>IF(ISNUMBER(B66),ROUND(B66-A66,8),"")</f>
        <v/>
      </c>
    </row>
    <row r="67">
      <c r="A67" s="6" t="n"/>
      <c r="B67" s="7">
        <f>IF(A67="","",IF($C$2&lt;&gt;"OK","Check precision",IF(ISNUMBER(A67),IF(A67&lt;0,"Check number",MROUND(A67,1/$C$1)),"Check number")))</f>
        <v/>
      </c>
      <c r="C67" s="8">
        <f>IF(ISNUMBER(B67),IF(B67=0,"0",TRIM(TEXT(B67,"# ?/"&amp;$C$1))),"")</f>
        <v/>
      </c>
      <c r="D67" s="8">
        <f>IF(ISNUMBER(B67),INT(B67),"")</f>
        <v/>
      </c>
      <c r="E67" s="8">
        <f>IF(ISNUMBER(B67),ROUND((B67-D67)*$C$1,0),"")</f>
        <v/>
      </c>
      <c r="F67" s="8">
        <f>IF(ISNUMBER(B67),IF(E67=0,D67&amp;"",IF(D67=0,"",D67&amp;" ")&amp;E67/GCD(E67,$C$1)&amp;"/"&amp;$C$1/GCD(E67,$C$1)),"")</f>
        <v/>
      </c>
      <c r="G67" s="8">
        <f>IF(ISNUMBER(B67),IF(B67&lt;12,"",INT(B67/12)&amp;" ft ")&amp;IF(ROUND(((B67-12*INT(B67/12))-INT((B67-12*INT(B67/12))))*$C$1,0)=0,INT((B67-12*INT(B67/12)))&amp;"",IF(INT((B67-12*INT(B67/12)))=0,"",INT((B67-12*INT(B67/12)))&amp;" ")&amp;ROUND(((B67-12*INT(B67/12))-INT((B67-12*INT(B67/12))))*$C$1,0)/GCD(ROUND(((B67-12*INT(B67/12))-INT((B67-12*INT(B67/12))))*$C$1,0),$C$1)&amp;"/"&amp;$C$1/GCD(ROUND(((B67-12*INT(B67/12))-INT((B67-12*INT(B67/12))))*$C$1,0),$C$1))&amp;" in","")</f>
        <v/>
      </c>
      <c r="H67" s="9">
        <f>IF(ISNUMBER(B67),ROUND(B67-A67,8),"")</f>
        <v/>
      </c>
    </row>
    <row r="68">
      <c r="A68" s="6" t="n"/>
      <c r="B68" s="7">
        <f>IF(A68="","",IF($C$2&lt;&gt;"OK","Check precision",IF(ISNUMBER(A68),IF(A68&lt;0,"Check number",MROUND(A68,1/$C$1)),"Check number")))</f>
        <v/>
      </c>
      <c r="C68" s="8">
        <f>IF(ISNUMBER(B68),IF(B68=0,"0",TRIM(TEXT(B68,"# ?/"&amp;$C$1))),"")</f>
        <v/>
      </c>
      <c r="D68" s="8">
        <f>IF(ISNUMBER(B68),INT(B68),"")</f>
        <v/>
      </c>
      <c r="E68" s="8">
        <f>IF(ISNUMBER(B68),ROUND((B68-D68)*$C$1,0),"")</f>
        <v/>
      </c>
      <c r="F68" s="8">
        <f>IF(ISNUMBER(B68),IF(E68=0,D68&amp;"",IF(D68=0,"",D68&amp;" ")&amp;E68/GCD(E68,$C$1)&amp;"/"&amp;$C$1/GCD(E68,$C$1)),"")</f>
        <v/>
      </c>
      <c r="G68" s="8">
        <f>IF(ISNUMBER(B68),IF(B68&lt;12,"",INT(B68/12)&amp;" ft ")&amp;IF(ROUND(((B68-12*INT(B68/12))-INT((B68-12*INT(B68/12))))*$C$1,0)=0,INT((B68-12*INT(B68/12)))&amp;"",IF(INT((B68-12*INT(B68/12)))=0,"",INT((B68-12*INT(B68/12)))&amp;" ")&amp;ROUND(((B68-12*INT(B68/12))-INT((B68-12*INT(B68/12))))*$C$1,0)/GCD(ROUND(((B68-12*INT(B68/12))-INT((B68-12*INT(B68/12))))*$C$1,0),$C$1)&amp;"/"&amp;$C$1/GCD(ROUND(((B68-12*INT(B68/12))-INT((B68-12*INT(B68/12))))*$C$1,0),$C$1))&amp;" in","")</f>
        <v/>
      </c>
      <c r="H68" s="9">
        <f>IF(ISNUMBER(B68),ROUND(B68-A68,8),"")</f>
        <v/>
      </c>
    </row>
    <row r="69">
      <c r="A69" s="6" t="n"/>
      <c r="B69" s="7">
        <f>IF(A69="","",IF($C$2&lt;&gt;"OK","Check precision",IF(ISNUMBER(A69),IF(A69&lt;0,"Check number",MROUND(A69,1/$C$1)),"Check number")))</f>
        <v/>
      </c>
      <c r="C69" s="8">
        <f>IF(ISNUMBER(B69),IF(B69=0,"0",TRIM(TEXT(B69,"# ?/"&amp;$C$1))),"")</f>
        <v/>
      </c>
      <c r="D69" s="8">
        <f>IF(ISNUMBER(B69),INT(B69),"")</f>
        <v/>
      </c>
      <c r="E69" s="8">
        <f>IF(ISNUMBER(B69),ROUND((B69-D69)*$C$1,0),"")</f>
        <v/>
      </c>
      <c r="F69" s="8">
        <f>IF(ISNUMBER(B69),IF(E69=0,D69&amp;"",IF(D69=0,"",D69&amp;" ")&amp;E69/GCD(E69,$C$1)&amp;"/"&amp;$C$1/GCD(E69,$C$1)),"")</f>
        <v/>
      </c>
      <c r="G69" s="8">
        <f>IF(ISNUMBER(B69),IF(B69&lt;12,"",INT(B69/12)&amp;" ft ")&amp;IF(ROUND(((B69-12*INT(B69/12))-INT((B69-12*INT(B69/12))))*$C$1,0)=0,INT((B69-12*INT(B69/12)))&amp;"",IF(INT((B69-12*INT(B69/12)))=0,"",INT((B69-12*INT(B69/12)))&amp;" ")&amp;ROUND(((B69-12*INT(B69/12))-INT((B69-12*INT(B69/12))))*$C$1,0)/GCD(ROUND(((B69-12*INT(B69/12))-INT((B69-12*INT(B69/12))))*$C$1,0),$C$1)&amp;"/"&amp;$C$1/GCD(ROUND(((B69-12*INT(B69/12))-INT((B69-12*INT(B69/12))))*$C$1,0),$C$1))&amp;" in","")</f>
        <v/>
      </c>
      <c r="H69" s="9">
        <f>IF(ISNUMBER(B69),ROUND(B69-A69,8),"")</f>
        <v/>
      </c>
    </row>
    <row r="70">
      <c r="A70" s="6" t="n"/>
      <c r="B70" s="7">
        <f>IF(A70="","",IF($C$2&lt;&gt;"OK","Check precision",IF(ISNUMBER(A70),IF(A70&lt;0,"Check number",MROUND(A70,1/$C$1)),"Check number")))</f>
        <v/>
      </c>
      <c r="C70" s="8">
        <f>IF(ISNUMBER(B70),IF(B70=0,"0",TRIM(TEXT(B70,"# ?/"&amp;$C$1))),"")</f>
        <v/>
      </c>
      <c r="D70" s="8">
        <f>IF(ISNUMBER(B70),INT(B70),"")</f>
        <v/>
      </c>
      <c r="E70" s="8">
        <f>IF(ISNUMBER(B70),ROUND((B70-D70)*$C$1,0),"")</f>
        <v/>
      </c>
      <c r="F70" s="8">
        <f>IF(ISNUMBER(B70),IF(E70=0,D70&amp;"",IF(D70=0,"",D70&amp;" ")&amp;E70/GCD(E70,$C$1)&amp;"/"&amp;$C$1/GCD(E70,$C$1)),"")</f>
        <v/>
      </c>
      <c r="G70" s="8">
        <f>IF(ISNUMBER(B70),IF(B70&lt;12,"",INT(B70/12)&amp;" ft ")&amp;IF(ROUND(((B70-12*INT(B70/12))-INT((B70-12*INT(B70/12))))*$C$1,0)=0,INT((B70-12*INT(B70/12)))&amp;"",IF(INT((B70-12*INT(B70/12)))=0,"",INT((B70-12*INT(B70/12)))&amp;" ")&amp;ROUND(((B70-12*INT(B70/12))-INT((B70-12*INT(B70/12))))*$C$1,0)/GCD(ROUND(((B70-12*INT(B70/12))-INT((B70-12*INT(B70/12))))*$C$1,0),$C$1)&amp;"/"&amp;$C$1/GCD(ROUND(((B70-12*INT(B70/12))-INT((B70-12*INT(B70/12))))*$C$1,0),$C$1))&amp;" in","")</f>
        <v/>
      </c>
      <c r="H70" s="9">
        <f>IF(ISNUMBER(B70),ROUND(B70-A70,8),"")</f>
        <v/>
      </c>
    </row>
    <row r="71">
      <c r="A71" s="6" t="n"/>
      <c r="B71" s="7">
        <f>IF(A71="","",IF($C$2&lt;&gt;"OK","Check precision",IF(ISNUMBER(A71),IF(A71&lt;0,"Check number",MROUND(A71,1/$C$1)),"Check number")))</f>
        <v/>
      </c>
      <c r="C71" s="8">
        <f>IF(ISNUMBER(B71),IF(B71=0,"0",TRIM(TEXT(B71,"# ?/"&amp;$C$1))),"")</f>
        <v/>
      </c>
      <c r="D71" s="8">
        <f>IF(ISNUMBER(B71),INT(B71),"")</f>
        <v/>
      </c>
      <c r="E71" s="8">
        <f>IF(ISNUMBER(B71),ROUND((B71-D71)*$C$1,0),"")</f>
        <v/>
      </c>
      <c r="F71" s="8">
        <f>IF(ISNUMBER(B71),IF(E71=0,D71&amp;"",IF(D71=0,"",D71&amp;" ")&amp;E71/GCD(E71,$C$1)&amp;"/"&amp;$C$1/GCD(E71,$C$1)),"")</f>
        <v/>
      </c>
      <c r="G71" s="8">
        <f>IF(ISNUMBER(B71),IF(B71&lt;12,"",INT(B71/12)&amp;" ft ")&amp;IF(ROUND(((B71-12*INT(B71/12))-INT((B71-12*INT(B71/12))))*$C$1,0)=0,INT((B71-12*INT(B71/12)))&amp;"",IF(INT((B71-12*INT(B71/12)))=0,"",INT((B71-12*INT(B71/12)))&amp;" ")&amp;ROUND(((B71-12*INT(B71/12))-INT((B71-12*INT(B71/12))))*$C$1,0)/GCD(ROUND(((B71-12*INT(B71/12))-INT((B71-12*INT(B71/12))))*$C$1,0),$C$1)&amp;"/"&amp;$C$1/GCD(ROUND(((B71-12*INT(B71/12))-INT((B71-12*INT(B71/12))))*$C$1,0),$C$1))&amp;" in","")</f>
        <v/>
      </c>
      <c r="H71" s="9">
        <f>IF(ISNUMBER(B71),ROUND(B71-A71,8),"")</f>
        <v/>
      </c>
    </row>
    <row r="72">
      <c r="A72" s="6" t="n"/>
      <c r="B72" s="7">
        <f>IF(A72="","",IF($C$2&lt;&gt;"OK","Check precision",IF(ISNUMBER(A72),IF(A72&lt;0,"Check number",MROUND(A72,1/$C$1)),"Check number")))</f>
        <v/>
      </c>
      <c r="C72" s="8">
        <f>IF(ISNUMBER(B72),IF(B72=0,"0",TRIM(TEXT(B72,"# ?/"&amp;$C$1))),"")</f>
        <v/>
      </c>
      <c r="D72" s="8">
        <f>IF(ISNUMBER(B72),INT(B72),"")</f>
        <v/>
      </c>
      <c r="E72" s="8">
        <f>IF(ISNUMBER(B72),ROUND((B72-D72)*$C$1,0),"")</f>
        <v/>
      </c>
      <c r="F72" s="8">
        <f>IF(ISNUMBER(B72),IF(E72=0,D72&amp;"",IF(D72=0,"",D72&amp;" ")&amp;E72/GCD(E72,$C$1)&amp;"/"&amp;$C$1/GCD(E72,$C$1)),"")</f>
        <v/>
      </c>
      <c r="G72" s="8">
        <f>IF(ISNUMBER(B72),IF(B72&lt;12,"",INT(B72/12)&amp;" ft ")&amp;IF(ROUND(((B72-12*INT(B72/12))-INT((B72-12*INT(B72/12))))*$C$1,0)=0,INT((B72-12*INT(B72/12)))&amp;"",IF(INT((B72-12*INT(B72/12)))=0,"",INT((B72-12*INT(B72/12)))&amp;" ")&amp;ROUND(((B72-12*INT(B72/12))-INT((B72-12*INT(B72/12))))*$C$1,0)/GCD(ROUND(((B72-12*INT(B72/12))-INT((B72-12*INT(B72/12))))*$C$1,0),$C$1)&amp;"/"&amp;$C$1/GCD(ROUND(((B72-12*INT(B72/12))-INT((B72-12*INT(B72/12))))*$C$1,0),$C$1))&amp;" in","")</f>
        <v/>
      </c>
      <c r="H72" s="9">
        <f>IF(ISNUMBER(B72),ROUND(B72-A72,8),"")</f>
        <v/>
      </c>
    </row>
    <row r="73">
      <c r="A73" s="6" t="n"/>
      <c r="B73" s="7">
        <f>IF(A73="","",IF($C$2&lt;&gt;"OK","Check precision",IF(ISNUMBER(A73),IF(A73&lt;0,"Check number",MROUND(A73,1/$C$1)),"Check number")))</f>
        <v/>
      </c>
      <c r="C73" s="8">
        <f>IF(ISNUMBER(B73),IF(B73=0,"0",TRIM(TEXT(B73,"# ?/"&amp;$C$1))),"")</f>
        <v/>
      </c>
      <c r="D73" s="8">
        <f>IF(ISNUMBER(B73),INT(B73),"")</f>
        <v/>
      </c>
      <c r="E73" s="8">
        <f>IF(ISNUMBER(B73),ROUND((B73-D73)*$C$1,0),"")</f>
        <v/>
      </c>
      <c r="F73" s="8">
        <f>IF(ISNUMBER(B73),IF(E73=0,D73&amp;"",IF(D73=0,"",D73&amp;" ")&amp;E73/GCD(E73,$C$1)&amp;"/"&amp;$C$1/GCD(E73,$C$1)),"")</f>
        <v/>
      </c>
      <c r="G73" s="8">
        <f>IF(ISNUMBER(B73),IF(B73&lt;12,"",INT(B73/12)&amp;" ft ")&amp;IF(ROUND(((B73-12*INT(B73/12))-INT((B73-12*INT(B73/12))))*$C$1,0)=0,INT((B73-12*INT(B73/12)))&amp;"",IF(INT((B73-12*INT(B73/12)))=0,"",INT((B73-12*INT(B73/12)))&amp;" ")&amp;ROUND(((B73-12*INT(B73/12))-INT((B73-12*INT(B73/12))))*$C$1,0)/GCD(ROUND(((B73-12*INT(B73/12))-INT((B73-12*INT(B73/12))))*$C$1,0),$C$1)&amp;"/"&amp;$C$1/GCD(ROUND(((B73-12*INT(B73/12))-INT((B73-12*INT(B73/12))))*$C$1,0),$C$1))&amp;" in","")</f>
        <v/>
      </c>
      <c r="H73" s="9">
        <f>IF(ISNUMBER(B73),ROUND(B73-A73,8),"")</f>
        <v/>
      </c>
    </row>
    <row r="74">
      <c r="A74" s="6" t="n"/>
      <c r="B74" s="7">
        <f>IF(A74="","",IF($C$2&lt;&gt;"OK","Check precision",IF(ISNUMBER(A74),IF(A74&lt;0,"Check number",MROUND(A74,1/$C$1)),"Check number")))</f>
        <v/>
      </c>
      <c r="C74" s="8">
        <f>IF(ISNUMBER(B74),IF(B74=0,"0",TRIM(TEXT(B74,"# ?/"&amp;$C$1))),"")</f>
        <v/>
      </c>
      <c r="D74" s="8">
        <f>IF(ISNUMBER(B74),INT(B74),"")</f>
        <v/>
      </c>
      <c r="E74" s="8">
        <f>IF(ISNUMBER(B74),ROUND((B74-D74)*$C$1,0),"")</f>
        <v/>
      </c>
      <c r="F74" s="8">
        <f>IF(ISNUMBER(B74),IF(E74=0,D74&amp;"",IF(D74=0,"",D74&amp;" ")&amp;E74/GCD(E74,$C$1)&amp;"/"&amp;$C$1/GCD(E74,$C$1)),"")</f>
        <v/>
      </c>
      <c r="G74" s="8">
        <f>IF(ISNUMBER(B74),IF(B74&lt;12,"",INT(B74/12)&amp;" ft ")&amp;IF(ROUND(((B74-12*INT(B74/12))-INT((B74-12*INT(B74/12))))*$C$1,0)=0,INT((B74-12*INT(B74/12)))&amp;"",IF(INT((B74-12*INT(B74/12)))=0,"",INT((B74-12*INT(B74/12)))&amp;" ")&amp;ROUND(((B74-12*INT(B74/12))-INT((B74-12*INT(B74/12))))*$C$1,0)/GCD(ROUND(((B74-12*INT(B74/12))-INT((B74-12*INT(B74/12))))*$C$1,0),$C$1)&amp;"/"&amp;$C$1/GCD(ROUND(((B74-12*INT(B74/12))-INT((B74-12*INT(B74/12))))*$C$1,0),$C$1))&amp;" in","")</f>
        <v/>
      </c>
      <c r="H74" s="9">
        <f>IF(ISNUMBER(B74),ROUND(B74-A74,8),"")</f>
        <v/>
      </c>
    </row>
    <row r="75">
      <c r="A75" s="6" t="n"/>
      <c r="B75" s="7">
        <f>IF(A75="","",IF($C$2&lt;&gt;"OK","Check precision",IF(ISNUMBER(A75),IF(A75&lt;0,"Check number",MROUND(A75,1/$C$1)),"Check number")))</f>
        <v/>
      </c>
      <c r="C75" s="8">
        <f>IF(ISNUMBER(B75),IF(B75=0,"0",TRIM(TEXT(B75,"# ?/"&amp;$C$1))),"")</f>
        <v/>
      </c>
      <c r="D75" s="8">
        <f>IF(ISNUMBER(B75),INT(B75),"")</f>
        <v/>
      </c>
      <c r="E75" s="8">
        <f>IF(ISNUMBER(B75),ROUND((B75-D75)*$C$1,0),"")</f>
        <v/>
      </c>
      <c r="F75" s="8">
        <f>IF(ISNUMBER(B75),IF(E75=0,D75&amp;"",IF(D75=0,"",D75&amp;" ")&amp;E75/GCD(E75,$C$1)&amp;"/"&amp;$C$1/GCD(E75,$C$1)),"")</f>
        <v/>
      </c>
      <c r="G75" s="8">
        <f>IF(ISNUMBER(B75),IF(B75&lt;12,"",INT(B75/12)&amp;" ft ")&amp;IF(ROUND(((B75-12*INT(B75/12))-INT((B75-12*INT(B75/12))))*$C$1,0)=0,INT((B75-12*INT(B75/12)))&amp;"",IF(INT((B75-12*INT(B75/12)))=0,"",INT((B75-12*INT(B75/12)))&amp;" ")&amp;ROUND(((B75-12*INT(B75/12))-INT((B75-12*INT(B75/12))))*$C$1,0)/GCD(ROUND(((B75-12*INT(B75/12))-INT((B75-12*INT(B75/12))))*$C$1,0),$C$1)&amp;"/"&amp;$C$1/GCD(ROUND(((B75-12*INT(B75/12))-INT((B75-12*INT(B75/12))))*$C$1,0),$C$1))&amp;" in","")</f>
        <v/>
      </c>
      <c r="H75" s="9">
        <f>IF(ISNUMBER(B75),ROUND(B75-A75,8),"")</f>
        <v/>
      </c>
    </row>
    <row r="76">
      <c r="A76" s="6" t="n"/>
      <c r="B76" s="7">
        <f>IF(A76="","",IF($C$2&lt;&gt;"OK","Check precision",IF(ISNUMBER(A76),IF(A76&lt;0,"Check number",MROUND(A76,1/$C$1)),"Check number")))</f>
        <v/>
      </c>
      <c r="C76" s="8">
        <f>IF(ISNUMBER(B76),IF(B76=0,"0",TRIM(TEXT(B76,"# ?/"&amp;$C$1))),"")</f>
        <v/>
      </c>
      <c r="D76" s="8">
        <f>IF(ISNUMBER(B76),INT(B76),"")</f>
        <v/>
      </c>
      <c r="E76" s="8">
        <f>IF(ISNUMBER(B76),ROUND((B76-D76)*$C$1,0),"")</f>
        <v/>
      </c>
      <c r="F76" s="8">
        <f>IF(ISNUMBER(B76),IF(E76=0,D76&amp;"",IF(D76=0,"",D76&amp;" ")&amp;E76/GCD(E76,$C$1)&amp;"/"&amp;$C$1/GCD(E76,$C$1)),"")</f>
        <v/>
      </c>
      <c r="G76" s="8">
        <f>IF(ISNUMBER(B76),IF(B76&lt;12,"",INT(B76/12)&amp;" ft ")&amp;IF(ROUND(((B76-12*INT(B76/12))-INT((B76-12*INT(B76/12))))*$C$1,0)=0,INT((B76-12*INT(B76/12)))&amp;"",IF(INT((B76-12*INT(B76/12)))=0,"",INT((B76-12*INT(B76/12)))&amp;" ")&amp;ROUND(((B76-12*INT(B76/12))-INT((B76-12*INT(B76/12))))*$C$1,0)/GCD(ROUND(((B76-12*INT(B76/12))-INT((B76-12*INT(B76/12))))*$C$1,0),$C$1)&amp;"/"&amp;$C$1/GCD(ROUND(((B76-12*INT(B76/12))-INT((B76-12*INT(B76/12))))*$C$1,0),$C$1))&amp;" in","")</f>
        <v/>
      </c>
      <c r="H76" s="9">
        <f>IF(ISNUMBER(B76),ROUND(B76-A76,8),"")</f>
        <v/>
      </c>
    </row>
    <row r="77">
      <c r="A77" s="6" t="n"/>
      <c r="B77" s="7">
        <f>IF(A77="","",IF($C$2&lt;&gt;"OK","Check precision",IF(ISNUMBER(A77),IF(A77&lt;0,"Check number",MROUND(A77,1/$C$1)),"Check number")))</f>
        <v/>
      </c>
      <c r="C77" s="8">
        <f>IF(ISNUMBER(B77),IF(B77=0,"0",TRIM(TEXT(B77,"# ?/"&amp;$C$1))),"")</f>
        <v/>
      </c>
      <c r="D77" s="8">
        <f>IF(ISNUMBER(B77),INT(B77),"")</f>
        <v/>
      </c>
      <c r="E77" s="8">
        <f>IF(ISNUMBER(B77),ROUND((B77-D77)*$C$1,0),"")</f>
        <v/>
      </c>
      <c r="F77" s="8">
        <f>IF(ISNUMBER(B77),IF(E77=0,D77&amp;"",IF(D77=0,"",D77&amp;" ")&amp;E77/GCD(E77,$C$1)&amp;"/"&amp;$C$1/GCD(E77,$C$1)),"")</f>
        <v/>
      </c>
      <c r="G77" s="8">
        <f>IF(ISNUMBER(B77),IF(B77&lt;12,"",INT(B77/12)&amp;" ft ")&amp;IF(ROUND(((B77-12*INT(B77/12))-INT((B77-12*INT(B77/12))))*$C$1,0)=0,INT((B77-12*INT(B77/12)))&amp;"",IF(INT((B77-12*INT(B77/12)))=0,"",INT((B77-12*INT(B77/12)))&amp;" ")&amp;ROUND(((B77-12*INT(B77/12))-INT((B77-12*INT(B77/12))))*$C$1,0)/GCD(ROUND(((B77-12*INT(B77/12))-INT((B77-12*INT(B77/12))))*$C$1,0),$C$1)&amp;"/"&amp;$C$1/GCD(ROUND(((B77-12*INT(B77/12))-INT((B77-12*INT(B77/12))))*$C$1,0),$C$1))&amp;" in","")</f>
        <v/>
      </c>
      <c r="H77" s="9">
        <f>IF(ISNUMBER(B77),ROUND(B77-A77,8),"")</f>
        <v/>
      </c>
    </row>
    <row r="78">
      <c r="A78" s="6" t="n"/>
      <c r="B78" s="7">
        <f>IF(A78="","",IF($C$2&lt;&gt;"OK","Check precision",IF(ISNUMBER(A78),IF(A78&lt;0,"Check number",MROUND(A78,1/$C$1)),"Check number")))</f>
        <v/>
      </c>
      <c r="C78" s="8">
        <f>IF(ISNUMBER(B78),IF(B78=0,"0",TRIM(TEXT(B78,"# ?/"&amp;$C$1))),"")</f>
        <v/>
      </c>
      <c r="D78" s="8">
        <f>IF(ISNUMBER(B78),INT(B78),"")</f>
        <v/>
      </c>
      <c r="E78" s="8">
        <f>IF(ISNUMBER(B78),ROUND((B78-D78)*$C$1,0),"")</f>
        <v/>
      </c>
      <c r="F78" s="8">
        <f>IF(ISNUMBER(B78),IF(E78=0,D78&amp;"",IF(D78=0,"",D78&amp;" ")&amp;E78/GCD(E78,$C$1)&amp;"/"&amp;$C$1/GCD(E78,$C$1)),"")</f>
        <v/>
      </c>
      <c r="G78" s="8">
        <f>IF(ISNUMBER(B78),IF(B78&lt;12,"",INT(B78/12)&amp;" ft ")&amp;IF(ROUND(((B78-12*INT(B78/12))-INT((B78-12*INT(B78/12))))*$C$1,0)=0,INT((B78-12*INT(B78/12)))&amp;"",IF(INT((B78-12*INT(B78/12)))=0,"",INT((B78-12*INT(B78/12)))&amp;" ")&amp;ROUND(((B78-12*INT(B78/12))-INT((B78-12*INT(B78/12))))*$C$1,0)/GCD(ROUND(((B78-12*INT(B78/12))-INT((B78-12*INT(B78/12))))*$C$1,0),$C$1)&amp;"/"&amp;$C$1/GCD(ROUND(((B78-12*INT(B78/12))-INT((B78-12*INT(B78/12))))*$C$1,0),$C$1))&amp;" in","")</f>
        <v/>
      </c>
      <c r="H78" s="9">
        <f>IF(ISNUMBER(B78),ROUND(B78-A78,8),"")</f>
        <v/>
      </c>
    </row>
    <row r="79">
      <c r="A79" s="6" t="n"/>
      <c r="B79" s="7">
        <f>IF(A79="","",IF($C$2&lt;&gt;"OK","Check precision",IF(ISNUMBER(A79),IF(A79&lt;0,"Check number",MROUND(A79,1/$C$1)),"Check number")))</f>
        <v/>
      </c>
      <c r="C79" s="8">
        <f>IF(ISNUMBER(B79),IF(B79=0,"0",TRIM(TEXT(B79,"# ?/"&amp;$C$1))),"")</f>
        <v/>
      </c>
      <c r="D79" s="8">
        <f>IF(ISNUMBER(B79),INT(B79),"")</f>
        <v/>
      </c>
      <c r="E79" s="8">
        <f>IF(ISNUMBER(B79),ROUND((B79-D79)*$C$1,0),"")</f>
        <v/>
      </c>
      <c r="F79" s="8">
        <f>IF(ISNUMBER(B79),IF(E79=0,D79&amp;"",IF(D79=0,"",D79&amp;" ")&amp;E79/GCD(E79,$C$1)&amp;"/"&amp;$C$1/GCD(E79,$C$1)),"")</f>
        <v/>
      </c>
      <c r="G79" s="8">
        <f>IF(ISNUMBER(B79),IF(B79&lt;12,"",INT(B79/12)&amp;" ft ")&amp;IF(ROUND(((B79-12*INT(B79/12))-INT((B79-12*INT(B79/12))))*$C$1,0)=0,INT((B79-12*INT(B79/12)))&amp;"",IF(INT((B79-12*INT(B79/12)))=0,"",INT((B79-12*INT(B79/12)))&amp;" ")&amp;ROUND(((B79-12*INT(B79/12))-INT((B79-12*INT(B79/12))))*$C$1,0)/GCD(ROUND(((B79-12*INT(B79/12))-INT((B79-12*INT(B79/12))))*$C$1,0),$C$1)&amp;"/"&amp;$C$1/GCD(ROUND(((B79-12*INT(B79/12))-INT((B79-12*INT(B79/12))))*$C$1,0),$C$1))&amp;" in","")</f>
        <v/>
      </c>
      <c r="H79" s="9">
        <f>IF(ISNUMBER(B79),ROUND(B79-A79,8),"")</f>
        <v/>
      </c>
    </row>
    <row r="80">
      <c r="A80" s="6" t="n"/>
      <c r="B80" s="7">
        <f>IF(A80="","",IF($C$2&lt;&gt;"OK","Check precision",IF(ISNUMBER(A80),IF(A80&lt;0,"Check number",MROUND(A80,1/$C$1)),"Check number")))</f>
        <v/>
      </c>
      <c r="C80" s="8">
        <f>IF(ISNUMBER(B80),IF(B80=0,"0",TRIM(TEXT(B80,"# ?/"&amp;$C$1))),"")</f>
        <v/>
      </c>
      <c r="D80" s="8">
        <f>IF(ISNUMBER(B80),INT(B80),"")</f>
        <v/>
      </c>
      <c r="E80" s="8">
        <f>IF(ISNUMBER(B80),ROUND((B80-D80)*$C$1,0),"")</f>
        <v/>
      </c>
      <c r="F80" s="8">
        <f>IF(ISNUMBER(B80),IF(E80=0,D80&amp;"",IF(D80=0,"",D80&amp;" ")&amp;E80/GCD(E80,$C$1)&amp;"/"&amp;$C$1/GCD(E80,$C$1)),"")</f>
        <v/>
      </c>
      <c r="G80" s="8">
        <f>IF(ISNUMBER(B80),IF(B80&lt;12,"",INT(B80/12)&amp;" ft ")&amp;IF(ROUND(((B80-12*INT(B80/12))-INT((B80-12*INT(B80/12))))*$C$1,0)=0,INT((B80-12*INT(B80/12)))&amp;"",IF(INT((B80-12*INT(B80/12)))=0,"",INT((B80-12*INT(B80/12)))&amp;" ")&amp;ROUND(((B80-12*INT(B80/12))-INT((B80-12*INT(B80/12))))*$C$1,0)/GCD(ROUND(((B80-12*INT(B80/12))-INT((B80-12*INT(B80/12))))*$C$1,0),$C$1)&amp;"/"&amp;$C$1/GCD(ROUND(((B80-12*INT(B80/12))-INT((B80-12*INT(B80/12))))*$C$1,0),$C$1))&amp;" in","")</f>
        <v/>
      </c>
      <c r="H80" s="9">
        <f>IF(ISNUMBER(B80),ROUND(B80-A80,8),"")</f>
        <v/>
      </c>
    </row>
    <row r="81">
      <c r="A81" s="6" t="n"/>
      <c r="B81" s="7">
        <f>IF(A81="","",IF($C$2&lt;&gt;"OK","Check precision",IF(ISNUMBER(A81),IF(A81&lt;0,"Check number",MROUND(A81,1/$C$1)),"Check number")))</f>
        <v/>
      </c>
      <c r="C81" s="8">
        <f>IF(ISNUMBER(B81),IF(B81=0,"0",TRIM(TEXT(B81,"# ?/"&amp;$C$1))),"")</f>
        <v/>
      </c>
      <c r="D81" s="8">
        <f>IF(ISNUMBER(B81),INT(B81),"")</f>
        <v/>
      </c>
      <c r="E81" s="8">
        <f>IF(ISNUMBER(B81),ROUND((B81-D81)*$C$1,0),"")</f>
        <v/>
      </c>
      <c r="F81" s="8">
        <f>IF(ISNUMBER(B81),IF(E81=0,D81&amp;"",IF(D81=0,"",D81&amp;" ")&amp;E81/GCD(E81,$C$1)&amp;"/"&amp;$C$1/GCD(E81,$C$1)),"")</f>
        <v/>
      </c>
      <c r="G81" s="8">
        <f>IF(ISNUMBER(B81),IF(B81&lt;12,"",INT(B81/12)&amp;" ft ")&amp;IF(ROUND(((B81-12*INT(B81/12))-INT((B81-12*INT(B81/12))))*$C$1,0)=0,INT((B81-12*INT(B81/12)))&amp;"",IF(INT((B81-12*INT(B81/12)))=0,"",INT((B81-12*INT(B81/12)))&amp;" ")&amp;ROUND(((B81-12*INT(B81/12))-INT((B81-12*INT(B81/12))))*$C$1,0)/GCD(ROUND(((B81-12*INT(B81/12))-INT((B81-12*INT(B81/12))))*$C$1,0),$C$1)&amp;"/"&amp;$C$1/GCD(ROUND(((B81-12*INT(B81/12))-INT((B81-12*INT(B81/12))))*$C$1,0),$C$1))&amp;" in","")</f>
        <v/>
      </c>
      <c r="H81" s="9">
        <f>IF(ISNUMBER(B81),ROUND(B81-A81,8),"")</f>
        <v/>
      </c>
    </row>
    <row r="82">
      <c r="A82" s="6" t="n"/>
      <c r="B82" s="7">
        <f>IF(A82="","",IF($C$2&lt;&gt;"OK","Check precision",IF(ISNUMBER(A82),IF(A82&lt;0,"Check number",MROUND(A82,1/$C$1)),"Check number")))</f>
        <v/>
      </c>
      <c r="C82" s="8">
        <f>IF(ISNUMBER(B82),IF(B82=0,"0",TRIM(TEXT(B82,"# ?/"&amp;$C$1))),"")</f>
        <v/>
      </c>
      <c r="D82" s="8">
        <f>IF(ISNUMBER(B82),INT(B82),"")</f>
        <v/>
      </c>
      <c r="E82" s="8">
        <f>IF(ISNUMBER(B82),ROUND((B82-D82)*$C$1,0),"")</f>
        <v/>
      </c>
      <c r="F82" s="8">
        <f>IF(ISNUMBER(B82),IF(E82=0,D82&amp;"",IF(D82=0,"",D82&amp;" ")&amp;E82/GCD(E82,$C$1)&amp;"/"&amp;$C$1/GCD(E82,$C$1)),"")</f>
        <v/>
      </c>
      <c r="G82" s="8">
        <f>IF(ISNUMBER(B82),IF(B82&lt;12,"",INT(B82/12)&amp;" ft ")&amp;IF(ROUND(((B82-12*INT(B82/12))-INT((B82-12*INT(B82/12))))*$C$1,0)=0,INT((B82-12*INT(B82/12)))&amp;"",IF(INT((B82-12*INT(B82/12)))=0,"",INT((B82-12*INT(B82/12)))&amp;" ")&amp;ROUND(((B82-12*INT(B82/12))-INT((B82-12*INT(B82/12))))*$C$1,0)/GCD(ROUND(((B82-12*INT(B82/12))-INT((B82-12*INT(B82/12))))*$C$1,0),$C$1)&amp;"/"&amp;$C$1/GCD(ROUND(((B82-12*INT(B82/12))-INT((B82-12*INT(B82/12))))*$C$1,0),$C$1))&amp;" in","")</f>
        <v/>
      </c>
      <c r="H82" s="9">
        <f>IF(ISNUMBER(B82),ROUND(B82-A82,8),"")</f>
        <v/>
      </c>
    </row>
    <row r="83">
      <c r="A83" s="6" t="n"/>
      <c r="B83" s="7">
        <f>IF(A83="","",IF($C$2&lt;&gt;"OK","Check precision",IF(ISNUMBER(A83),IF(A83&lt;0,"Check number",MROUND(A83,1/$C$1)),"Check number")))</f>
        <v/>
      </c>
      <c r="C83" s="8">
        <f>IF(ISNUMBER(B83),IF(B83=0,"0",TRIM(TEXT(B83,"# ?/"&amp;$C$1))),"")</f>
        <v/>
      </c>
      <c r="D83" s="8">
        <f>IF(ISNUMBER(B83),INT(B83),"")</f>
        <v/>
      </c>
      <c r="E83" s="8">
        <f>IF(ISNUMBER(B83),ROUND((B83-D83)*$C$1,0),"")</f>
        <v/>
      </c>
      <c r="F83" s="8">
        <f>IF(ISNUMBER(B83),IF(E83=0,D83&amp;"",IF(D83=0,"",D83&amp;" ")&amp;E83/GCD(E83,$C$1)&amp;"/"&amp;$C$1/GCD(E83,$C$1)),"")</f>
        <v/>
      </c>
      <c r="G83" s="8">
        <f>IF(ISNUMBER(B83),IF(B83&lt;12,"",INT(B83/12)&amp;" ft ")&amp;IF(ROUND(((B83-12*INT(B83/12))-INT((B83-12*INT(B83/12))))*$C$1,0)=0,INT((B83-12*INT(B83/12)))&amp;"",IF(INT((B83-12*INT(B83/12)))=0,"",INT((B83-12*INT(B83/12)))&amp;" ")&amp;ROUND(((B83-12*INT(B83/12))-INT((B83-12*INT(B83/12))))*$C$1,0)/GCD(ROUND(((B83-12*INT(B83/12))-INT((B83-12*INT(B83/12))))*$C$1,0),$C$1)&amp;"/"&amp;$C$1/GCD(ROUND(((B83-12*INT(B83/12))-INT((B83-12*INT(B83/12))))*$C$1,0),$C$1))&amp;" in","")</f>
        <v/>
      </c>
      <c r="H83" s="9">
        <f>IF(ISNUMBER(B83),ROUND(B83-A83,8),"")</f>
        <v/>
      </c>
    </row>
    <row r="84">
      <c r="A84" s="6" t="n"/>
      <c r="B84" s="7">
        <f>IF(A84="","",IF($C$2&lt;&gt;"OK","Check precision",IF(ISNUMBER(A84),IF(A84&lt;0,"Check number",MROUND(A84,1/$C$1)),"Check number")))</f>
        <v/>
      </c>
      <c r="C84" s="8">
        <f>IF(ISNUMBER(B84),IF(B84=0,"0",TRIM(TEXT(B84,"# ?/"&amp;$C$1))),"")</f>
        <v/>
      </c>
      <c r="D84" s="8">
        <f>IF(ISNUMBER(B84),INT(B84),"")</f>
        <v/>
      </c>
      <c r="E84" s="8">
        <f>IF(ISNUMBER(B84),ROUND((B84-D84)*$C$1,0),"")</f>
        <v/>
      </c>
      <c r="F84" s="8">
        <f>IF(ISNUMBER(B84),IF(E84=0,D84&amp;"",IF(D84=0,"",D84&amp;" ")&amp;E84/GCD(E84,$C$1)&amp;"/"&amp;$C$1/GCD(E84,$C$1)),"")</f>
        <v/>
      </c>
      <c r="G84" s="8">
        <f>IF(ISNUMBER(B84),IF(B84&lt;12,"",INT(B84/12)&amp;" ft ")&amp;IF(ROUND(((B84-12*INT(B84/12))-INT((B84-12*INT(B84/12))))*$C$1,0)=0,INT((B84-12*INT(B84/12)))&amp;"",IF(INT((B84-12*INT(B84/12)))=0,"",INT((B84-12*INT(B84/12)))&amp;" ")&amp;ROUND(((B84-12*INT(B84/12))-INT((B84-12*INT(B84/12))))*$C$1,0)/GCD(ROUND(((B84-12*INT(B84/12))-INT((B84-12*INT(B84/12))))*$C$1,0),$C$1)&amp;"/"&amp;$C$1/GCD(ROUND(((B84-12*INT(B84/12))-INT((B84-12*INT(B84/12))))*$C$1,0),$C$1))&amp;" in","")</f>
        <v/>
      </c>
      <c r="H84" s="9">
        <f>IF(ISNUMBER(B84),ROUND(B84-A84,8),"")</f>
        <v/>
      </c>
    </row>
    <row r="85">
      <c r="A85" s="6" t="n"/>
      <c r="B85" s="7">
        <f>IF(A85="","",IF($C$2&lt;&gt;"OK","Check precision",IF(ISNUMBER(A85),IF(A85&lt;0,"Check number",MROUND(A85,1/$C$1)),"Check number")))</f>
        <v/>
      </c>
      <c r="C85" s="8">
        <f>IF(ISNUMBER(B85),IF(B85=0,"0",TRIM(TEXT(B85,"# ?/"&amp;$C$1))),"")</f>
        <v/>
      </c>
      <c r="D85" s="8">
        <f>IF(ISNUMBER(B85),INT(B85),"")</f>
        <v/>
      </c>
      <c r="E85" s="8">
        <f>IF(ISNUMBER(B85),ROUND((B85-D85)*$C$1,0),"")</f>
        <v/>
      </c>
      <c r="F85" s="8">
        <f>IF(ISNUMBER(B85),IF(E85=0,D85&amp;"",IF(D85=0,"",D85&amp;" ")&amp;E85/GCD(E85,$C$1)&amp;"/"&amp;$C$1/GCD(E85,$C$1)),"")</f>
        <v/>
      </c>
      <c r="G85" s="8">
        <f>IF(ISNUMBER(B85),IF(B85&lt;12,"",INT(B85/12)&amp;" ft ")&amp;IF(ROUND(((B85-12*INT(B85/12))-INT((B85-12*INT(B85/12))))*$C$1,0)=0,INT((B85-12*INT(B85/12)))&amp;"",IF(INT((B85-12*INT(B85/12)))=0,"",INT((B85-12*INT(B85/12)))&amp;" ")&amp;ROUND(((B85-12*INT(B85/12))-INT((B85-12*INT(B85/12))))*$C$1,0)/GCD(ROUND(((B85-12*INT(B85/12))-INT((B85-12*INT(B85/12))))*$C$1,0),$C$1)&amp;"/"&amp;$C$1/GCD(ROUND(((B85-12*INT(B85/12))-INT((B85-12*INT(B85/12))))*$C$1,0),$C$1))&amp;" in","")</f>
        <v/>
      </c>
      <c r="H85" s="9">
        <f>IF(ISNUMBER(B85),ROUND(B85-A85,8),"")</f>
        <v/>
      </c>
    </row>
    <row r="86">
      <c r="A86" s="6" t="n"/>
      <c r="B86" s="7">
        <f>IF(A86="","",IF($C$2&lt;&gt;"OK","Check precision",IF(ISNUMBER(A86),IF(A86&lt;0,"Check number",MROUND(A86,1/$C$1)),"Check number")))</f>
        <v/>
      </c>
      <c r="C86" s="8">
        <f>IF(ISNUMBER(B86),IF(B86=0,"0",TRIM(TEXT(B86,"# ?/"&amp;$C$1))),"")</f>
        <v/>
      </c>
      <c r="D86" s="8">
        <f>IF(ISNUMBER(B86),INT(B86),"")</f>
        <v/>
      </c>
      <c r="E86" s="8">
        <f>IF(ISNUMBER(B86),ROUND((B86-D86)*$C$1,0),"")</f>
        <v/>
      </c>
      <c r="F86" s="8">
        <f>IF(ISNUMBER(B86),IF(E86=0,D86&amp;"",IF(D86=0,"",D86&amp;" ")&amp;E86/GCD(E86,$C$1)&amp;"/"&amp;$C$1/GCD(E86,$C$1)),"")</f>
        <v/>
      </c>
      <c r="G86" s="8">
        <f>IF(ISNUMBER(B86),IF(B86&lt;12,"",INT(B86/12)&amp;" ft ")&amp;IF(ROUND(((B86-12*INT(B86/12))-INT((B86-12*INT(B86/12))))*$C$1,0)=0,INT((B86-12*INT(B86/12)))&amp;"",IF(INT((B86-12*INT(B86/12)))=0,"",INT((B86-12*INT(B86/12)))&amp;" ")&amp;ROUND(((B86-12*INT(B86/12))-INT((B86-12*INT(B86/12))))*$C$1,0)/GCD(ROUND(((B86-12*INT(B86/12))-INT((B86-12*INT(B86/12))))*$C$1,0),$C$1)&amp;"/"&amp;$C$1/GCD(ROUND(((B86-12*INT(B86/12))-INT((B86-12*INT(B86/12))))*$C$1,0),$C$1))&amp;" in","")</f>
        <v/>
      </c>
      <c r="H86" s="9">
        <f>IF(ISNUMBER(B86),ROUND(B86-A86,8),"")</f>
        <v/>
      </c>
    </row>
    <row r="87">
      <c r="A87" s="6" t="n"/>
      <c r="B87" s="7">
        <f>IF(A87="","",IF($C$2&lt;&gt;"OK","Check precision",IF(ISNUMBER(A87),IF(A87&lt;0,"Check number",MROUND(A87,1/$C$1)),"Check number")))</f>
        <v/>
      </c>
      <c r="C87" s="8">
        <f>IF(ISNUMBER(B87),IF(B87=0,"0",TRIM(TEXT(B87,"# ?/"&amp;$C$1))),"")</f>
        <v/>
      </c>
      <c r="D87" s="8">
        <f>IF(ISNUMBER(B87),INT(B87),"")</f>
        <v/>
      </c>
      <c r="E87" s="8">
        <f>IF(ISNUMBER(B87),ROUND((B87-D87)*$C$1,0),"")</f>
        <v/>
      </c>
      <c r="F87" s="8">
        <f>IF(ISNUMBER(B87),IF(E87=0,D87&amp;"",IF(D87=0,"",D87&amp;" ")&amp;E87/GCD(E87,$C$1)&amp;"/"&amp;$C$1/GCD(E87,$C$1)),"")</f>
        <v/>
      </c>
      <c r="G87" s="8">
        <f>IF(ISNUMBER(B87),IF(B87&lt;12,"",INT(B87/12)&amp;" ft ")&amp;IF(ROUND(((B87-12*INT(B87/12))-INT((B87-12*INT(B87/12))))*$C$1,0)=0,INT((B87-12*INT(B87/12)))&amp;"",IF(INT((B87-12*INT(B87/12)))=0,"",INT((B87-12*INT(B87/12)))&amp;" ")&amp;ROUND(((B87-12*INT(B87/12))-INT((B87-12*INT(B87/12))))*$C$1,0)/GCD(ROUND(((B87-12*INT(B87/12))-INT((B87-12*INT(B87/12))))*$C$1,0),$C$1)&amp;"/"&amp;$C$1/GCD(ROUND(((B87-12*INT(B87/12))-INT((B87-12*INT(B87/12))))*$C$1,0),$C$1))&amp;" in","")</f>
        <v/>
      </c>
      <c r="H87" s="9">
        <f>IF(ISNUMBER(B87),ROUND(B87-A87,8),"")</f>
        <v/>
      </c>
    </row>
    <row r="88">
      <c r="A88" s="6" t="n"/>
      <c r="B88" s="7">
        <f>IF(A88="","",IF($C$2&lt;&gt;"OK","Check precision",IF(ISNUMBER(A88),IF(A88&lt;0,"Check number",MROUND(A88,1/$C$1)),"Check number")))</f>
        <v/>
      </c>
      <c r="C88" s="8">
        <f>IF(ISNUMBER(B88),IF(B88=0,"0",TRIM(TEXT(B88,"# ?/"&amp;$C$1))),"")</f>
        <v/>
      </c>
      <c r="D88" s="8">
        <f>IF(ISNUMBER(B88),INT(B88),"")</f>
        <v/>
      </c>
      <c r="E88" s="8">
        <f>IF(ISNUMBER(B88),ROUND((B88-D88)*$C$1,0),"")</f>
        <v/>
      </c>
      <c r="F88" s="8">
        <f>IF(ISNUMBER(B88),IF(E88=0,D88&amp;"",IF(D88=0,"",D88&amp;" ")&amp;E88/GCD(E88,$C$1)&amp;"/"&amp;$C$1/GCD(E88,$C$1)),"")</f>
        <v/>
      </c>
      <c r="G88" s="8">
        <f>IF(ISNUMBER(B88),IF(B88&lt;12,"",INT(B88/12)&amp;" ft ")&amp;IF(ROUND(((B88-12*INT(B88/12))-INT((B88-12*INT(B88/12))))*$C$1,0)=0,INT((B88-12*INT(B88/12)))&amp;"",IF(INT((B88-12*INT(B88/12)))=0,"",INT((B88-12*INT(B88/12)))&amp;" ")&amp;ROUND(((B88-12*INT(B88/12))-INT((B88-12*INT(B88/12))))*$C$1,0)/GCD(ROUND(((B88-12*INT(B88/12))-INT((B88-12*INT(B88/12))))*$C$1,0),$C$1)&amp;"/"&amp;$C$1/GCD(ROUND(((B88-12*INT(B88/12))-INT((B88-12*INT(B88/12))))*$C$1,0),$C$1))&amp;" in","")</f>
        <v/>
      </c>
      <c r="H88" s="9">
        <f>IF(ISNUMBER(B88),ROUND(B88-A88,8),"")</f>
        <v/>
      </c>
    </row>
    <row r="89">
      <c r="A89" s="6" t="n"/>
      <c r="B89" s="7">
        <f>IF(A89="","",IF($C$2&lt;&gt;"OK","Check precision",IF(ISNUMBER(A89),IF(A89&lt;0,"Check number",MROUND(A89,1/$C$1)),"Check number")))</f>
        <v/>
      </c>
      <c r="C89" s="8">
        <f>IF(ISNUMBER(B89),IF(B89=0,"0",TRIM(TEXT(B89,"# ?/"&amp;$C$1))),"")</f>
        <v/>
      </c>
      <c r="D89" s="8">
        <f>IF(ISNUMBER(B89),INT(B89),"")</f>
        <v/>
      </c>
      <c r="E89" s="8">
        <f>IF(ISNUMBER(B89),ROUND((B89-D89)*$C$1,0),"")</f>
        <v/>
      </c>
      <c r="F89" s="8">
        <f>IF(ISNUMBER(B89),IF(E89=0,D89&amp;"",IF(D89=0,"",D89&amp;" ")&amp;E89/GCD(E89,$C$1)&amp;"/"&amp;$C$1/GCD(E89,$C$1)),"")</f>
        <v/>
      </c>
      <c r="G89" s="8">
        <f>IF(ISNUMBER(B89),IF(B89&lt;12,"",INT(B89/12)&amp;" ft ")&amp;IF(ROUND(((B89-12*INT(B89/12))-INT((B89-12*INT(B89/12))))*$C$1,0)=0,INT((B89-12*INT(B89/12)))&amp;"",IF(INT((B89-12*INT(B89/12)))=0,"",INT((B89-12*INT(B89/12)))&amp;" ")&amp;ROUND(((B89-12*INT(B89/12))-INT((B89-12*INT(B89/12))))*$C$1,0)/GCD(ROUND(((B89-12*INT(B89/12))-INT((B89-12*INT(B89/12))))*$C$1,0),$C$1)&amp;"/"&amp;$C$1/GCD(ROUND(((B89-12*INT(B89/12))-INT((B89-12*INT(B89/12))))*$C$1,0),$C$1))&amp;" in","")</f>
        <v/>
      </c>
      <c r="H89" s="9">
        <f>IF(ISNUMBER(B89),ROUND(B89-A89,8),"")</f>
        <v/>
      </c>
    </row>
    <row r="90">
      <c r="A90" s="6" t="n"/>
      <c r="B90" s="7">
        <f>IF(A90="","",IF($C$2&lt;&gt;"OK","Check precision",IF(ISNUMBER(A90),IF(A90&lt;0,"Check number",MROUND(A90,1/$C$1)),"Check number")))</f>
        <v/>
      </c>
      <c r="C90" s="8">
        <f>IF(ISNUMBER(B90),IF(B90=0,"0",TRIM(TEXT(B90,"# ?/"&amp;$C$1))),"")</f>
        <v/>
      </c>
      <c r="D90" s="8">
        <f>IF(ISNUMBER(B90),INT(B90),"")</f>
        <v/>
      </c>
      <c r="E90" s="8">
        <f>IF(ISNUMBER(B90),ROUND((B90-D90)*$C$1,0),"")</f>
        <v/>
      </c>
      <c r="F90" s="8">
        <f>IF(ISNUMBER(B90),IF(E90=0,D90&amp;"",IF(D90=0,"",D90&amp;" ")&amp;E90/GCD(E90,$C$1)&amp;"/"&amp;$C$1/GCD(E90,$C$1)),"")</f>
        <v/>
      </c>
      <c r="G90" s="8">
        <f>IF(ISNUMBER(B90),IF(B90&lt;12,"",INT(B90/12)&amp;" ft ")&amp;IF(ROUND(((B90-12*INT(B90/12))-INT((B90-12*INT(B90/12))))*$C$1,0)=0,INT((B90-12*INT(B90/12)))&amp;"",IF(INT((B90-12*INT(B90/12)))=0,"",INT((B90-12*INT(B90/12)))&amp;" ")&amp;ROUND(((B90-12*INT(B90/12))-INT((B90-12*INT(B90/12))))*$C$1,0)/GCD(ROUND(((B90-12*INT(B90/12))-INT((B90-12*INT(B90/12))))*$C$1,0),$C$1)&amp;"/"&amp;$C$1/GCD(ROUND(((B90-12*INT(B90/12))-INT((B90-12*INT(B90/12))))*$C$1,0),$C$1))&amp;" in","")</f>
        <v/>
      </c>
      <c r="H90" s="9">
        <f>IF(ISNUMBER(B90),ROUND(B90-A90,8),"")</f>
        <v/>
      </c>
    </row>
    <row r="91">
      <c r="A91" s="6" t="n"/>
      <c r="B91" s="7">
        <f>IF(A91="","",IF($C$2&lt;&gt;"OK","Check precision",IF(ISNUMBER(A91),IF(A91&lt;0,"Check number",MROUND(A91,1/$C$1)),"Check number")))</f>
        <v/>
      </c>
      <c r="C91" s="8">
        <f>IF(ISNUMBER(B91),IF(B91=0,"0",TRIM(TEXT(B91,"# ?/"&amp;$C$1))),"")</f>
        <v/>
      </c>
      <c r="D91" s="8">
        <f>IF(ISNUMBER(B91),INT(B91),"")</f>
        <v/>
      </c>
      <c r="E91" s="8">
        <f>IF(ISNUMBER(B91),ROUND((B91-D91)*$C$1,0),"")</f>
        <v/>
      </c>
      <c r="F91" s="8">
        <f>IF(ISNUMBER(B91),IF(E91=0,D91&amp;"",IF(D91=0,"",D91&amp;" ")&amp;E91/GCD(E91,$C$1)&amp;"/"&amp;$C$1/GCD(E91,$C$1)),"")</f>
        <v/>
      </c>
      <c r="G91" s="8">
        <f>IF(ISNUMBER(B91),IF(B91&lt;12,"",INT(B91/12)&amp;" ft ")&amp;IF(ROUND(((B91-12*INT(B91/12))-INT((B91-12*INT(B91/12))))*$C$1,0)=0,INT((B91-12*INT(B91/12)))&amp;"",IF(INT((B91-12*INT(B91/12)))=0,"",INT((B91-12*INT(B91/12)))&amp;" ")&amp;ROUND(((B91-12*INT(B91/12))-INT((B91-12*INT(B91/12))))*$C$1,0)/GCD(ROUND(((B91-12*INT(B91/12))-INT((B91-12*INT(B91/12))))*$C$1,0),$C$1)&amp;"/"&amp;$C$1/GCD(ROUND(((B91-12*INT(B91/12))-INT((B91-12*INT(B91/12))))*$C$1,0),$C$1))&amp;" in","")</f>
        <v/>
      </c>
      <c r="H91" s="9">
        <f>IF(ISNUMBER(B91),ROUND(B91-A91,8),"")</f>
        <v/>
      </c>
    </row>
    <row r="92">
      <c r="A92" s="6" t="n"/>
      <c r="B92" s="7">
        <f>IF(A92="","",IF($C$2&lt;&gt;"OK","Check precision",IF(ISNUMBER(A92),IF(A92&lt;0,"Check number",MROUND(A92,1/$C$1)),"Check number")))</f>
        <v/>
      </c>
      <c r="C92" s="8">
        <f>IF(ISNUMBER(B92),IF(B92=0,"0",TRIM(TEXT(B92,"# ?/"&amp;$C$1))),"")</f>
        <v/>
      </c>
      <c r="D92" s="8">
        <f>IF(ISNUMBER(B92),INT(B92),"")</f>
        <v/>
      </c>
      <c r="E92" s="8">
        <f>IF(ISNUMBER(B92),ROUND((B92-D92)*$C$1,0),"")</f>
        <v/>
      </c>
      <c r="F92" s="8">
        <f>IF(ISNUMBER(B92),IF(E92=0,D92&amp;"",IF(D92=0,"",D92&amp;" ")&amp;E92/GCD(E92,$C$1)&amp;"/"&amp;$C$1/GCD(E92,$C$1)),"")</f>
        <v/>
      </c>
      <c r="G92" s="8">
        <f>IF(ISNUMBER(B92),IF(B92&lt;12,"",INT(B92/12)&amp;" ft ")&amp;IF(ROUND(((B92-12*INT(B92/12))-INT((B92-12*INT(B92/12))))*$C$1,0)=0,INT((B92-12*INT(B92/12)))&amp;"",IF(INT((B92-12*INT(B92/12)))=0,"",INT((B92-12*INT(B92/12)))&amp;" ")&amp;ROUND(((B92-12*INT(B92/12))-INT((B92-12*INT(B92/12))))*$C$1,0)/GCD(ROUND(((B92-12*INT(B92/12))-INT((B92-12*INT(B92/12))))*$C$1,0),$C$1)&amp;"/"&amp;$C$1/GCD(ROUND(((B92-12*INT(B92/12))-INT((B92-12*INT(B92/12))))*$C$1,0),$C$1))&amp;" in","")</f>
        <v/>
      </c>
      <c r="H92" s="9">
        <f>IF(ISNUMBER(B92),ROUND(B92-A92,8),"")</f>
        <v/>
      </c>
    </row>
    <row r="93">
      <c r="A93" s="6" t="n"/>
      <c r="B93" s="7">
        <f>IF(A93="","",IF($C$2&lt;&gt;"OK","Check precision",IF(ISNUMBER(A93),IF(A93&lt;0,"Check number",MROUND(A93,1/$C$1)),"Check number")))</f>
        <v/>
      </c>
      <c r="C93" s="8">
        <f>IF(ISNUMBER(B93),IF(B93=0,"0",TRIM(TEXT(B93,"# ?/"&amp;$C$1))),"")</f>
        <v/>
      </c>
      <c r="D93" s="8">
        <f>IF(ISNUMBER(B93),INT(B93),"")</f>
        <v/>
      </c>
      <c r="E93" s="8">
        <f>IF(ISNUMBER(B93),ROUND((B93-D93)*$C$1,0),"")</f>
        <v/>
      </c>
      <c r="F93" s="8">
        <f>IF(ISNUMBER(B93),IF(E93=0,D93&amp;"",IF(D93=0,"",D93&amp;" ")&amp;E93/GCD(E93,$C$1)&amp;"/"&amp;$C$1/GCD(E93,$C$1)),"")</f>
        <v/>
      </c>
      <c r="G93" s="8">
        <f>IF(ISNUMBER(B93),IF(B93&lt;12,"",INT(B93/12)&amp;" ft ")&amp;IF(ROUND(((B93-12*INT(B93/12))-INT((B93-12*INT(B93/12))))*$C$1,0)=0,INT((B93-12*INT(B93/12)))&amp;"",IF(INT((B93-12*INT(B93/12)))=0,"",INT((B93-12*INT(B93/12)))&amp;" ")&amp;ROUND(((B93-12*INT(B93/12))-INT((B93-12*INT(B93/12))))*$C$1,0)/GCD(ROUND(((B93-12*INT(B93/12))-INT((B93-12*INT(B93/12))))*$C$1,0),$C$1)&amp;"/"&amp;$C$1/GCD(ROUND(((B93-12*INT(B93/12))-INT((B93-12*INT(B93/12))))*$C$1,0),$C$1))&amp;" in","")</f>
        <v/>
      </c>
      <c r="H93" s="9">
        <f>IF(ISNUMBER(B93),ROUND(B93-A93,8),"")</f>
        <v/>
      </c>
    </row>
    <row r="94">
      <c r="A94" s="6" t="n"/>
      <c r="B94" s="7">
        <f>IF(A94="","",IF($C$2&lt;&gt;"OK","Check precision",IF(ISNUMBER(A94),IF(A94&lt;0,"Check number",MROUND(A94,1/$C$1)),"Check number")))</f>
        <v/>
      </c>
      <c r="C94" s="8">
        <f>IF(ISNUMBER(B94),IF(B94=0,"0",TRIM(TEXT(B94,"# ?/"&amp;$C$1))),"")</f>
        <v/>
      </c>
      <c r="D94" s="8">
        <f>IF(ISNUMBER(B94),INT(B94),"")</f>
        <v/>
      </c>
      <c r="E94" s="8">
        <f>IF(ISNUMBER(B94),ROUND((B94-D94)*$C$1,0),"")</f>
        <v/>
      </c>
      <c r="F94" s="8">
        <f>IF(ISNUMBER(B94),IF(E94=0,D94&amp;"",IF(D94=0,"",D94&amp;" ")&amp;E94/GCD(E94,$C$1)&amp;"/"&amp;$C$1/GCD(E94,$C$1)),"")</f>
        <v/>
      </c>
      <c r="G94" s="8">
        <f>IF(ISNUMBER(B94),IF(B94&lt;12,"",INT(B94/12)&amp;" ft ")&amp;IF(ROUND(((B94-12*INT(B94/12))-INT((B94-12*INT(B94/12))))*$C$1,0)=0,INT((B94-12*INT(B94/12)))&amp;"",IF(INT((B94-12*INT(B94/12)))=0,"",INT((B94-12*INT(B94/12)))&amp;" ")&amp;ROUND(((B94-12*INT(B94/12))-INT((B94-12*INT(B94/12))))*$C$1,0)/GCD(ROUND(((B94-12*INT(B94/12))-INT((B94-12*INT(B94/12))))*$C$1,0),$C$1)&amp;"/"&amp;$C$1/GCD(ROUND(((B94-12*INT(B94/12))-INT((B94-12*INT(B94/12))))*$C$1,0),$C$1))&amp;" in","")</f>
        <v/>
      </c>
      <c r="H94" s="9">
        <f>IF(ISNUMBER(B94),ROUND(B94-A94,8),"")</f>
        <v/>
      </c>
    </row>
    <row r="95">
      <c r="A95" s="6" t="n"/>
      <c r="B95" s="7">
        <f>IF(A95="","",IF($C$2&lt;&gt;"OK","Check precision",IF(ISNUMBER(A95),IF(A95&lt;0,"Check number",MROUND(A95,1/$C$1)),"Check number")))</f>
        <v/>
      </c>
      <c r="C95" s="8">
        <f>IF(ISNUMBER(B95),IF(B95=0,"0",TRIM(TEXT(B95,"# ?/"&amp;$C$1))),"")</f>
        <v/>
      </c>
      <c r="D95" s="8">
        <f>IF(ISNUMBER(B95),INT(B95),"")</f>
        <v/>
      </c>
      <c r="E95" s="8">
        <f>IF(ISNUMBER(B95),ROUND((B95-D95)*$C$1,0),"")</f>
        <v/>
      </c>
      <c r="F95" s="8">
        <f>IF(ISNUMBER(B95),IF(E95=0,D95&amp;"",IF(D95=0,"",D95&amp;" ")&amp;E95/GCD(E95,$C$1)&amp;"/"&amp;$C$1/GCD(E95,$C$1)),"")</f>
        <v/>
      </c>
      <c r="G95" s="8">
        <f>IF(ISNUMBER(B95),IF(B95&lt;12,"",INT(B95/12)&amp;" ft ")&amp;IF(ROUND(((B95-12*INT(B95/12))-INT((B95-12*INT(B95/12))))*$C$1,0)=0,INT((B95-12*INT(B95/12)))&amp;"",IF(INT((B95-12*INT(B95/12)))=0,"",INT((B95-12*INT(B95/12)))&amp;" ")&amp;ROUND(((B95-12*INT(B95/12))-INT((B95-12*INT(B95/12))))*$C$1,0)/GCD(ROUND(((B95-12*INT(B95/12))-INT((B95-12*INT(B95/12))))*$C$1,0),$C$1)&amp;"/"&amp;$C$1/GCD(ROUND(((B95-12*INT(B95/12))-INT((B95-12*INT(B95/12))))*$C$1,0),$C$1))&amp;" in","")</f>
        <v/>
      </c>
      <c r="H95" s="9">
        <f>IF(ISNUMBER(B95),ROUND(B95-A95,8),"")</f>
        <v/>
      </c>
    </row>
    <row r="96">
      <c r="A96" s="6" t="n"/>
      <c r="B96" s="7">
        <f>IF(A96="","",IF($C$2&lt;&gt;"OK","Check precision",IF(ISNUMBER(A96),IF(A96&lt;0,"Check number",MROUND(A96,1/$C$1)),"Check number")))</f>
        <v/>
      </c>
      <c r="C96" s="8">
        <f>IF(ISNUMBER(B96),IF(B96=0,"0",TRIM(TEXT(B96,"# ?/"&amp;$C$1))),"")</f>
        <v/>
      </c>
      <c r="D96" s="8">
        <f>IF(ISNUMBER(B96),INT(B96),"")</f>
        <v/>
      </c>
      <c r="E96" s="8">
        <f>IF(ISNUMBER(B96),ROUND((B96-D96)*$C$1,0),"")</f>
        <v/>
      </c>
      <c r="F96" s="8">
        <f>IF(ISNUMBER(B96),IF(E96=0,D96&amp;"",IF(D96=0,"",D96&amp;" ")&amp;E96/GCD(E96,$C$1)&amp;"/"&amp;$C$1/GCD(E96,$C$1)),"")</f>
        <v/>
      </c>
      <c r="G96" s="8">
        <f>IF(ISNUMBER(B96),IF(B96&lt;12,"",INT(B96/12)&amp;" ft ")&amp;IF(ROUND(((B96-12*INT(B96/12))-INT((B96-12*INT(B96/12))))*$C$1,0)=0,INT((B96-12*INT(B96/12)))&amp;"",IF(INT((B96-12*INT(B96/12)))=0,"",INT((B96-12*INT(B96/12)))&amp;" ")&amp;ROUND(((B96-12*INT(B96/12))-INT((B96-12*INT(B96/12))))*$C$1,0)/GCD(ROUND(((B96-12*INT(B96/12))-INT((B96-12*INT(B96/12))))*$C$1,0),$C$1)&amp;"/"&amp;$C$1/GCD(ROUND(((B96-12*INT(B96/12))-INT((B96-12*INT(B96/12))))*$C$1,0),$C$1))&amp;" in","")</f>
        <v/>
      </c>
      <c r="H96" s="9">
        <f>IF(ISNUMBER(B96),ROUND(B96-A96,8),"")</f>
        <v/>
      </c>
    </row>
    <row r="97">
      <c r="A97" s="6" t="n"/>
      <c r="B97" s="7">
        <f>IF(A97="","",IF($C$2&lt;&gt;"OK","Check precision",IF(ISNUMBER(A97),IF(A97&lt;0,"Check number",MROUND(A97,1/$C$1)),"Check number")))</f>
        <v/>
      </c>
      <c r="C97" s="8">
        <f>IF(ISNUMBER(B97),IF(B97=0,"0",TRIM(TEXT(B97,"# ?/"&amp;$C$1))),"")</f>
        <v/>
      </c>
      <c r="D97" s="8">
        <f>IF(ISNUMBER(B97),INT(B97),"")</f>
        <v/>
      </c>
      <c r="E97" s="8">
        <f>IF(ISNUMBER(B97),ROUND((B97-D97)*$C$1,0),"")</f>
        <v/>
      </c>
      <c r="F97" s="8">
        <f>IF(ISNUMBER(B97),IF(E97=0,D97&amp;"",IF(D97=0,"",D97&amp;" ")&amp;E97/GCD(E97,$C$1)&amp;"/"&amp;$C$1/GCD(E97,$C$1)),"")</f>
        <v/>
      </c>
      <c r="G97" s="8">
        <f>IF(ISNUMBER(B97),IF(B97&lt;12,"",INT(B97/12)&amp;" ft ")&amp;IF(ROUND(((B97-12*INT(B97/12))-INT((B97-12*INT(B97/12))))*$C$1,0)=0,INT((B97-12*INT(B97/12)))&amp;"",IF(INT((B97-12*INT(B97/12)))=0,"",INT((B97-12*INT(B97/12)))&amp;" ")&amp;ROUND(((B97-12*INT(B97/12))-INT((B97-12*INT(B97/12))))*$C$1,0)/GCD(ROUND(((B97-12*INT(B97/12))-INT((B97-12*INT(B97/12))))*$C$1,0),$C$1)&amp;"/"&amp;$C$1/GCD(ROUND(((B97-12*INT(B97/12))-INT((B97-12*INT(B97/12))))*$C$1,0),$C$1))&amp;" in","")</f>
        <v/>
      </c>
      <c r="H97" s="9">
        <f>IF(ISNUMBER(B97),ROUND(B97-A97,8),"")</f>
        <v/>
      </c>
    </row>
    <row r="98">
      <c r="A98" s="6" t="n"/>
      <c r="B98" s="7">
        <f>IF(A98="","",IF($C$2&lt;&gt;"OK","Check precision",IF(ISNUMBER(A98),IF(A98&lt;0,"Check number",MROUND(A98,1/$C$1)),"Check number")))</f>
        <v/>
      </c>
      <c r="C98" s="8">
        <f>IF(ISNUMBER(B98),IF(B98=0,"0",TRIM(TEXT(B98,"# ?/"&amp;$C$1))),"")</f>
        <v/>
      </c>
      <c r="D98" s="8">
        <f>IF(ISNUMBER(B98),INT(B98),"")</f>
        <v/>
      </c>
      <c r="E98" s="8">
        <f>IF(ISNUMBER(B98),ROUND((B98-D98)*$C$1,0),"")</f>
        <v/>
      </c>
      <c r="F98" s="8">
        <f>IF(ISNUMBER(B98),IF(E98=0,D98&amp;"",IF(D98=0,"",D98&amp;" ")&amp;E98/GCD(E98,$C$1)&amp;"/"&amp;$C$1/GCD(E98,$C$1)),"")</f>
        <v/>
      </c>
      <c r="G98" s="8">
        <f>IF(ISNUMBER(B98),IF(B98&lt;12,"",INT(B98/12)&amp;" ft ")&amp;IF(ROUND(((B98-12*INT(B98/12))-INT((B98-12*INT(B98/12))))*$C$1,0)=0,INT((B98-12*INT(B98/12)))&amp;"",IF(INT((B98-12*INT(B98/12)))=0,"",INT((B98-12*INT(B98/12)))&amp;" ")&amp;ROUND(((B98-12*INT(B98/12))-INT((B98-12*INT(B98/12))))*$C$1,0)/GCD(ROUND(((B98-12*INT(B98/12))-INT((B98-12*INT(B98/12))))*$C$1,0),$C$1)&amp;"/"&amp;$C$1/GCD(ROUND(((B98-12*INT(B98/12))-INT((B98-12*INT(B98/12))))*$C$1,0),$C$1))&amp;" in","")</f>
        <v/>
      </c>
      <c r="H98" s="9">
        <f>IF(ISNUMBER(B98),ROUND(B98-A98,8),"")</f>
        <v/>
      </c>
    </row>
    <row r="99">
      <c r="A99" s="6" t="n"/>
      <c r="B99" s="7">
        <f>IF(A99="","",IF($C$2&lt;&gt;"OK","Check precision",IF(ISNUMBER(A99),IF(A99&lt;0,"Check number",MROUND(A99,1/$C$1)),"Check number")))</f>
        <v/>
      </c>
      <c r="C99" s="8">
        <f>IF(ISNUMBER(B99),IF(B99=0,"0",TRIM(TEXT(B99,"# ?/"&amp;$C$1))),"")</f>
        <v/>
      </c>
      <c r="D99" s="8">
        <f>IF(ISNUMBER(B99),INT(B99),"")</f>
        <v/>
      </c>
      <c r="E99" s="8">
        <f>IF(ISNUMBER(B99),ROUND((B99-D99)*$C$1,0),"")</f>
        <v/>
      </c>
      <c r="F99" s="8">
        <f>IF(ISNUMBER(B99),IF(E99=0,D99&amp;"",IF(D99=0,"",D99&amp;" ")&amp;E99/GCD(E99,$C$1)&amp;"/"&amp;$C$1/GCD(E99,$C$1)),"")</f>
        <v/>
      </c>
      <c r="G99" s="8">
        <f>IF(ISNUMBER(B99),IF(B99&lt;12,"",INT(B99/12)&amp;" ft ")&amp;IF(ROUND(((B99-12*INT(B99/12))-INT((B99-12*INT(B99/12))))*$C$1,0)=0,INT((B99-12*INT(B99/12)))&amp;"",IF(INT((B99-12*INT(B99/12)))=0,"",INT((B99-12*INT(B99/12)))&amp;" ")&amp;ROUND(((B99-12*INT(B99/12))-INT((B99-12*INT(B99/12))))*$C$1,0)/GCD(ROUND(((B99-12*INT(B99/12))-INT((B99-12*INT(B99/12))))*$C$1,0),$C$1)&amp;"/"&amp;$C$1/GCD(ROUND(((B99-12*INT(B99/12))-INT((B99-12*INT(B99/12))))*$C$1,0),$C$1))&amp;" in","")</f>
        <v/>
      </c>
      <c r="H99" s="9">
        <f>IF(ISNUMBER(B99),ROUND(B99-A99,8),"")</f>
        <v/>
      </c>
    </row>
    <row r="100">
      <c r="A100" s="6" t="n"/>
      <c r="B100" s="7">
        <f>IF(A100="","",IF($C$2&lt;&gt;"OK","Check precision",IF(ISNUMBER(A100),IF(A100&lt;0,"Check number",MROUND(A100,1/$C$1)),"Check number")))</f>
        <v/>
      </c>
      <c r="C100" s="8">
        <f>IF(ISNUMBER(B100),IF(B100=0,"0",TRIM(TEXT(B100,"# ?/"&amp;$C$1))),"")</f>
        <v/>
      </c>
      <c r="D100" s="8">
        <f>IF(ISNUMBER(B100),INT(B100),"")</f>
        <v/>
      </c>
      <c r="E100" s="8">
        <f>IF(ISNUMBER(B100),ROUND((B100-D100)*$C$1,0),"")</f>
        <v/>
      </c>
      <c r="F100" s="8">
        <f>IF(ISNUMBER(B100),IF(E100=0,D100&amp;"",IF(D100=0,"",D100&amp;" ")&amp;E100/GCD(E100,$C$1)&amp;"/"&amp;$C$1/GCD(E100,$C$1)),"")</f>
        <v/>
      </c>
      <c r="G100" s="8">
        <f>IF(ISNUMBER(B100),IF(B100&lt;12,"",INT(B100/12)&amp;" ft ")&amp;IF(ROUND(((B100-12*INT(B100/12))-INT((B100-12*INT(B100/12))))*$C$1,0)=0,INT((B100-12*INT(B100/12)))&amp;"",IF(INT((B100-12*INT(B100/12)))=0,"",INT((B100-12*INT(B100/12)))&amp;" ")&amp;ROUND(((B100-12*INT(B100/12))-INT((B100-12*INT(B100/12))))*$C$1,0)/GCD(ROUND(((B100-12*INT(B100/12))-INT((B100-12*INT(B100/12))))*$C$1,0),$C$1)&amp;"/"&amp;$C$1/GCD(ROUND(((B100-12*INT(B100/12))-INT((B100-12*INT(B100/12))))*$C$1,0),$C$1))&amp;" in","")</f>
        <v/>
      </c>
      <c r="H100" s="9">
        <f>IF(ISNUMBER(B100),ROUND(B100-A100,8),"")</f>
        <v/>
      </c>
    </row>
    <row r="101">
      <c r="A101" s="6" t="n"/>
      <c r="B101" s="7">
        <f>IF(A101="","",IF($C$2&lt;&gt;"OK","Check precision",IF(ISNUMBER(A101),IF(A101&lt;0,"Check number",MROUND(A101,1/$C$1)),"Check number")))</f>
        <v/>
      </c>
      <c r="C101" s="8">
        <f>IF(ISNUMBER(B101),IF(B101=0,"0",TRIM(TEXT(B101,"# ?/"&amp;$C$1))),"")</f>
        <v/>
      </c>
      <c r="D101" s="8">
        <f>IF(ISNUMBER(B101),INT(B101),"")</f>
        <v/>
      </c>
      <c r="E101" s="8">
        <f>IF(ISNUMBER(B101),ROUND((B101-D101)*$C$1,0),"")</f>
        <v/>
      </c>
      <c r="F101" s="8">
        <f>IF(ISNUMBER(B101),IF(E101=0,D101&amp;"",IF(D101=0,"",D101&amp;" ")&amp;E101/GCD(E101,$C$1)&amp;"/"&amp;$C$1/GCD(E101,$C$1)),"")</f>
        <v/>
      </c>
      <c r="G101" s="8">
        <f>IF(ISNUMBER(B101),IF(B101&lt;12,"",INT(B101/12)&amp;" ft ")&amp;IF(ROUND(((B101-12*INT(B101/12))-INT((B101-12*INT(B101/12))))*$C$1,0)=0,INT((B101-12*INT(B101/12)))&amp;"",IF(INT((B101-12*INT(B101/12)))=0,"",INT((B101-12*INT(B101/12)))&amp;" ")&amp;ROUND(((B101-12*INT(B101/12))-INT((B101-12*INT(B101/12))))*$C$1,0)/GCD(ROUND(((B101-12*INT(B101/12))-INT((B101-12*INT(B101/12))))*$C$1,0),$C$1)&amp;"/"&amp;$C$1/GCD(ROUND(((B101-12*INT(B101/12))-INT((B101-12*INT(B101/12))))*$C$1,0),$C$1))&amp;" in","")</f>
        <v/>
      </c>
      <c r="H101" s="9">
        <f>IF(ISNUMBER(B101),ROUND(B101-A101,8),"")</f>
        <v/>
      </c>
    </row>
    <row r="102">
      <c r="A102" s="6" t="n"/>
      <c r="B102" s="7">
        <f>IF(A102="","",IF($C$2&lt;&gt;"OK","Check precision",IF(ISNUMBER(A102),IF(A102&lt;0,"Check number",MROUND(A102,1/$C$1)),"Check number")))</f>
        <v/>
      </c>
      <c r="C102" s="8">
        <f>IF(ISNUMBER(B102),IF(B102=0,"0",TRIM(TEXT(B102,"# ?/"&amp;$C$1))),"")</f>
        <v/>
      </c>
      <c r="D102" s="8">
        <f>IF(ISNUMBER(B102),INT(B102),"")</f>
        <v/>
      </c>
      <c r="E102" s="8">
        <f>IF(ISNUMBER(B102),ROUND((B102-D102)*$C$1,0),"")</f>
        <v/>
      </c>
      <c r="F102" s="8">
        <f>IF(ISNUMBER(B102),IF(E102=0,D102&amp;"",IF(D102=0,"",D102&amp;" ")&amp;E102/GCD(E102,$C$1)&amp;"/"&amp;$C$1/GCD(E102,$C$1)),"")</f>
        <v/>
      </c>
      <c r="G102" s="8">
        <f>IF(ISNUMBER(B102),IF(B102&lt;12,"",INT(B102/12)&amp;" ft ")&amp;IF(ROUND(((B102-12*INT(B102/12))-INT((B102-12*INT(B102/12))))*$C$1,0)=0,INT((B102-12*INT(B102/12)))&amp;"",IF(INT((B102-12*INT(B102/12)))=0,"",INT((B102-12*INT(B102/12)))&amp;" ")&amp;ROUND(((B102-12*INT(B102/12))-INT((B102-12*INT(B102/12))))*$C$1,0)/GCD(ROUND(((B102-12*INT(B102/12))-INT((B102-12*INT(B102/12))))*$C$1,0),$C$1)&amp;"/"&amp;$C$1/GCD(ROUND(((B102-12*INT(B102/12))-INT((B102-12*INT(B102/12))))*$C$1,0),$C$1))&amp;" in","")</f>
        <v/>
      </c>
      <c r="H102" s="9">
        <f>IF(ISNUMBER(B102),ROUND(B102-A102,8),"")</f>
        <v/>
      </c>
    </row>
    <row r="103">
      <c r="A103" s="6" t="n"/>
      <c r="B103" s="7">
        <f>IF(A103="","",IF($C$2&lt;&gt;"OK","Check precision",IF(ISNUMBER(A103),IF(A103&lt;0,"Check number",MROUND(A103,1/$C$1)),"Check number")))</f>
        <v/>
      </c>
      <c r="C103" s="8">
        <f>IF(ISNUMBER(B103),IF(B103=0,"0",TRIM(TEXT(B103,"# ?/"&amp;$C$1))),"")</f>
        <v/>
      </c>
      <c r="D103" s="8">
        <f>IF(ISNUMBER(B103),INT(B103),"")</f>
        <v/>
      </c>
      <c r="E103" s="8">
        <f>IF(ISNUMBER(B103),ROUND((B103-D103)*$C$1,0),"")</f>
        <v/>
      </c>
      <c r="F103" s="8">
        <f>IF(ISNUMBER(B103),IF(E103=0,D103&amp;"",IF(D103=0,"",D103&amp;" ")&amp;E103/GCD(E103,$C$1)&amp;"/"&amp;$C$1/GCD(E103,$C$1)),"")</f>
        <v/>
      </c>
      <c r="G103" s="8">
        <f>IF(ISNUMBER(B103),IF(B103&lt;12,"",INT(B103/12)&amp;" ft ")&amp;IF(ROUND(((B103-12*INT(B103/12))-INT((B103-12*INT(B103/12))))*$C$1,0)=0,INT((B103-12*INT(B103/12)))&amp;"",IF(INT((B103-12*INT(B103/12)))=0,"",INT((B103-12*INT(B103/12)))&amp;" ")&amp;ROUND(((B103-12*INT(B103/12))-INT((B103-12*INT(B103/12))))*$C$1,0)/GCD(ROUND(((B103-12*INT(B103/12))-INT((B103-12*INT(B103/12))))*$C$1,0),$C$1)&amp;"/"&amp;$C$1/GCD(ROUND(((B103-12*INT(B103/12))-INT((B103-12*INT(B103/12))))*$C$1,0),$C$1))&amp;" in","")</f>
        <v/>
      </c>
      <c r="H103" s="9">
        <f>IF(ISNUMBER(B103),ROUND(B103-A103,8),"")</f>
        <v/>
      </c>
    </row>
    <row r="104">
      <c r="A104" s="6" t="n"/>
      <c r="B104" s="7">
        <f>IF(A104="","",IF($C$2&lt;&gt;"OK","Check precision",IF(ISNUMBER(A104),IF(A104&lt;0,"Check number",MROUND(A104,1/$C$1)),"Check number")))</f>
        <v/>
      </c>
      <c r="C104" s="8">
        <f>IF(ISNUMBER(B104),IF(B104=0,"0",TRIM(TEXT(B104,"# ?/"&amp;$C$1))),"")</f>
        <v/>
      </c>
      <c r="D104" s="8">
        <f>IF(ISNUMBER(B104),INT(B104),"")</f>
        <v/>
      </c>
      <c r="E104" s="8">
        <f>IF(ISNUMBER(B104),ROUND((B104-D104)*$C$1,0),"")</f>
        <v/>
      </c>
      <c r="F104" s="8">
        <f>IF(ISNUMBER(B104),IF(E104=0,D104&amp;"",IF(D104=0,"",D104&amp;" ")&amp;E104/GCD(E104,$C$1)&amp;"/"&amp;$C$1/GCD(E104,$C$1)),"")</f>
        <v/>
      </c>
      <c r="G104" s="8">
        <f>IF(ISNUMBER(B104),IF(B104&lt;12,"",INT(B104/12)&amp;" ft ")&amp;IF(ROUND(((B104-12*INT(B104/12))-INT((B104-12*INT(B104/12))))*$C$1,0)=0,INT((B104-12*INT(B104/12)))&amp;"",IF(INT((B104-12*INT(B104/12)))=0,"",INT((B104-12*INT(B104/12)))&amp;" ")&amp;ROUND(((B104-12*INT(B104/12))-INT((B104-12*INT(B104/12))))*$C$1,0)/GCD(ROUND(((B104-12*INT(B104/12))-INT((B104-12*INT(B104/12))))*$C$1,0),$C$1)&amp;"/"&amp;$C$1/GCD(ROUND(((B104-12*INT(B104/12))-INT((B104-12*INT(B104/12))))*$C$1,0),$C$1))&amp;" in","")</f>
        <v/>
      </c>
      <c r="H104" s="9">
        <f>IF(ISNUMBER(B104),ROUND(B104-A104,8),"")</f>
        <v/>
      </c>
    </row>
  </sheetData>
  <conditionalFormatting sqref="B5:B104">
    <cfRule type="expression" priority="1" dxfId="0">
      <formula>ISTEXT($B5)*(LEFT($B5,5)="Check")</formula>
    </cfRule>
  </conditionalFormatting>
  <conditionalFormatting sqref="K9">
    <cfRule type="expression" priority="2" dxfId="0">
      <formula>AND(K9&lt;&gt;"OK",K9&lt;&gt;"")</formula>
    </cfRule>
  </conditionalFormatting>
  <dataValidations count="1">
    <dataValidation sqref="C1" showDropDown="0" showInputMessage="0" showErrorMessage="0" allowBlank="0" type="list">
      <formula1>"8,16,32"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Decimal Inches to Fractions (1/8, 1/16, 1/32)</t>
        </is>
      </c>
    </row>
    <row r="2">
      <c r="A2" s="12" t="inlineStr"/>
    </row>
    <row r="3">
      <c r="A3" s="12" t="inlineStr">
        <is>
          <t>1. Inches tab: pick 8, 16 or 32 in C1 (the nearest 1/8, 1/16 or 1/32 inch), then type decimal inches in A5:A104. Yellow. The sample is 20 fictional sign, frame and fabric cuts.</t>
        </is>
      </c>
    </row>
    <row r="4">
      <c r="A4" s="12" t="inlineStr">
        <is>
          <t>2. Rounded (number), B5: =MROUND(A5,1/$C$1). MROUND rounds to the nearest multiple of 1/16 (or 1/8, 1/32). A value exactly halfway goes up (0.09375 at 1/16 becomes 0.125). MROUND cannot take a negative number in this layout, so negative numbers show Check number.</t>
        </is>
      </c>
    </row>
    <row r="5">
      <c r="A5" s="12" t="inlineStr">
        <is>
          <t>3. Fraction (TEXT), C5: =IF(B5=0,"0",TRIM(TEXT(B5,"# ?/"&amp;$C$1))). The format "# ?/16" writes a whole number, a space and a fraction over 16. TEXT leaves spaces at the start or end (" 5/16", "5   "), so TRIM removes them. The denominator stays 16, so a half shows as 8/16. A whole number shows without a fraction. Zero is written as 0 by the IF, because TEXT gives blank spaces for 0.</t>
        </is>
      </c>
    </row>
    <row r="6">
      <c r="A6" s="12" t="inlineStr">
        <is>
          <t>4. Whole inches, D5: =INT(B5). Parts of an inch, E5: =ROUND((B5-D5)*$C$1,0), the number of 1/16 (or 1/8, 1/32) steps past the whole inch. Reduced fraction, F5: the same fraction divided by GCD, ruler style (8/16 becomes 1/2). It is built from D and E, not from TEXT.</t>
        </is>
      </c>
    </row>
    <row r="7">
      <c r="A7" s="12" t="inlineStr">
        <is>
          <t>5. Feet and inches, G5: feet from INT(B5/12), then the inches left over with the same reduced fraction. Under 12 inches the feet are left out.</t>
        </is>
      </c>
    </row>
    <row r="8">
      <c r="A8" s="12" t="inlineStr">
        <is>
          <t>6. Rounded minus typed, H5: =ROUND(B5-A5,8). Positive means rounded up. It is never more than half a step.</t>
        </is>
      </c>
    </row>
    <row r="9">
      <c r="A9" s="12" t="inlineStr">
        <is>
          <t>7. Summary, J5:K9: how many numbers were rounded, how many up and down, the largest difference. K9 shows OK when every typed value is a number of 0 or more, every number rounded and the largest difference is no more than half a step.</t>
        </is>
      </c>
    </row>
    <row r="10">
      <c r="A10" s="12" t="inlineStr">
        <is>
          <t>8. A number typed as text, a negative number, or a letter shows Check number and K9 shows CHECK. A blank row stays blank. A value that rounds up to the next whole inch (12.999 becomes 13) shows as that whole number.</t>
        </is>
      </c>
    </row>
    <row r="11">
      <c r="A11" s="12" t="inlineStr">
        <is>
          <t>9. This rounds for display and cut lists. It says nothing about tolerances or whether a part fits.</t>
        </is>
      </c>
    </row>
    <row r="12">
      <c r="A12" s="12" t="inlineStr"/>
    </row>
    <row r="13">
      <c r="A13" s="12" t="inlineStr">
        <is>
          <t>Measurements are fictional. Checked in LibreOffice Calc only; the way Excel and Google Sheets write a TEXT fraction was not tested.</t>
        </is>
      </c>
    </row>
    <row r="14">
      <c r="A14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2026-10-27T07:37:10Z</dcterms:created>
  <dcterms:modified xmlns:dcterms="http://purl.org/dc/terms/" xmlns:xsi="http://www.w3.org/2001/XMLSchema-instance" xsi:type="dcterms:W3CDTF">2026-10-27T07:37:10Z</dcterms:modified>
</cp:coreProperties>
</file>