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Steadiness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'Income'!$1:$1</definedName>
    <definedName name="_xlnm.Print_Area" localSheetId="0">'Income'!$A$1:$B$13</definedName>
    <definedName name="_xlnm.Print_Titles" localSheetId="1">'Steadiness'!$1:$1</definedName>
    <definedName name="_xlnm.Print_Area" localSheetId="1">'Steadiness'!$A$1:$C$10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yyyy"/>
    <numFmt numFmtId="166" formatCode="&quot;$&quot;#,##0.0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3" borderId="0" pivotButton="0" quotePrefix="0" xfId="0"/>
    <xf numFmtId="166" fontId="0" fillId="3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6" fontId="0" fillId="4" borderId="0" applyAlignment="1" pivotButton="0" quotePrefix="0" xfId="0">
      <alignment horizontal="right"/>
    </xf>
    <xf numFmtId="167" fontId="0" fillId="4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</cols>
  <sheetData>
    <row r="1" ht="30" customHeight="1">
      <c r="A1" s="1" t="inlineStr">
        <is>
          <t>Month</t>
        </is>
      </c>
      <c r="B1" s="1" t="inlineStr">
        <is>
          <t>Income</t>
        </is>
      </c>
    </row>
    <row r="2">
      <c r="A2" s="2" t="n">
        <v>45931</v>
      </c>
      <c r="B2" s="3" t="n">
        <v>2400</v>
      </c>
    </row>
    <row r="3">
      <c r="A3" s="2" t="n">
        <v>45962</v>
      </c>
      <c r="B3" s="3" t="n">
        <v>3100</v>
      </c>
    </row>
    <row r="4">
      <c r="A4" s="2" t="n">
        <v>45992</v>
      </c>
      <c r="B4" s="3" t="n">
        <v>1800</v>
      </c>
    </row>
    <row r="5">
      <c r="A5" s="2" t="n">
        <v>46023</v>
      </c>
      <c r="B5" s="3" t="n">
        <v>2900</v>
      </c>
    </row>
    <row r="6">
      <c r="A6" s="2" t="n">
        <v>46054</v>
      </c>
      <c r="B6" s="3" t="n">
        <v>3500</v>
      </c>
    </row>
    <row r="7">
      <c r="A7" s="2" t="n">
        <v>46082</v>
      </c>
      <c r="B7" s="3" t="n">
        <v>2200</v>
      </c>
    </row>
    <row r="8">
      <c r="A8" s="2" t="n">
        <v>46113</v>
      </c>
      <c r="B8" s="3" t="n">
        <v>2700</v>
      </c>
    </row>
    <row r="9">
      <c r="A9" s="2" t="n">
        <v>46143</v>
      </c>
      <c r="B9" s="3" t="n">
        <v>3000</v>
      </c>
    </row>
    <row r="10">
      <c r="A10" s="2" t="n">
        <v>46174</v>
      </c>
      <c r="B10" s="3" t="n">
        <v>1600</v>
      </c>
    </row>
    <row r="11">
      <c r="A11" s="2" t="n">
        <v>46204</v>
      </c>
      <c r="B11" s="3" t="n">
        <v>2800</v>
      </c>
    </row>
    <row r="12">
      <c r="A12" s="2" t="n">
        <v>46235</v>
      </c>
      <c r="B12" s="3" t="n">
        <v>3300</v>
      </c>
    </row>
    <row r="13">
      <c r="A13" s="2" t="n">
        <v>46266</v>
      </c>
      <c r="B13" s="3" t="n">
        <v>2500</v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64" customWidth="1" min="3" max="3"/>
  </cols>
  <sheetData>
    <row r="1" ht="24" customHeight="1">
      <c r="A1" s="4" t="inlineStr">
        <is>
          <t>Measure</t>
        </is>
      </c>
      <c r="B1" s="4" t="inlineStr">
        <is>
          <t>Value</t>
        </is>
      </c>
      <c r="C1" s="4" t="inlineStr">
        <is>
          <t>What it is</t>
        </is>
      </c>
    </row>
    <row r="2">
      <c r="A2" s="5" t="inlineStr">
        <is>
          <t>Average month</t>
        </is>
      </c>
      <c r="B2" s="6">
        <f>IF(COUNT(Income!$B$2:$B$13)=0,"Type income",AVERAGE(Income!$B$2:$B$13))</f>
        <v/>
      </c>
      <c r="C2" t="inlineStr">
        <is>
          <t>The mean of the months with a number.</t>
        </is>
      </c>
    </row>
    <row r="3">
      <c r="A3" s="5" t="inlineStr">
        <is>
          <t>Standard deviation</t>
        </is>
      </c>
      <c r="B3" s="6">
        <f>IF(COUNT(Income!$B$2:$B$13)&lt;2,"Need 2 or more months",STDEV(Income!$B$2:$B$13))</f>
        <v/>
      </c>
      <c r="C3" t="inlineStr">
        <is>
          <t>How far a typical month sits from the average (STDEV, the sample version).</t>
        </is>
      </c>
    </row>
    <row r="4">
      <c r="A4" s="5" t="inlineStr">
        <is>
          <t>Variation (standard deviation / average)</t>
        </is>
      </c>
      <c r="B4" s="7">
        <f>IF(AND(ISNUMBER(B2),ISNUMBER(B3)),IF(B2&lt;=0,"Average is 0 or below",B3/B2),"")</f>
        <v/>
      </c>
      <c r="C4" t="inlineStr">
        <is>
          <t>A lower percent means steadier months.</t>
        </is>
      </c>
    </row>
    <row r="5">
      <c r="A5" s="5" t="inlineStr">
        <is>
          <t>Lowest month</t>
        </is>
      </c>
      <c r="B5" s="6">
        <f>IF(COUNT(Income!$B$2:$B$13)=0,"",MIN(Income!$B$2:$B$13))</f>
        <v/>
      </c>
      <c r="C5" t="inlineStr">
        <is>
          <t>The smallest income typed.</t>
        </is>
      </c>
    </row>
    <row r="6">
      <c r="A6" s="5" t="inlineStr">
        <is>
          <t>Average of the 3 lowest months</t>
        </is>
      </c>
      <c r="B6" s="6">
        <f>IF(COUNT(Income!$B$2:$B$13)&lt;3,"Need 3 or more months",(SMALL(Income!$B$2:$B$13,1)+SMALL(Income!$B$2:$B$13,2)+SMALL(Income!$B$2:$B$13,3))/3)</f>
        <v/>
      </c>
      <c r="C6" t="inlineStr">
        <is>
          <t>Add the three smallest and divide by 3.</t>
        </is>
      </c>
    </row>
    <row r="7">
      <c r="A7" s="5" t="inlineStr">
        <is>
          <t>Months below average minus one standard deviation</t>
        </is>
      </c>
      <c r="B7" s="8">
        <f>IF(AND(ISNUMBER(B2),ISNUMBER(B3)),COUNTIF(Income!$B$2:$B$13,"&lt;"&amp;(B2-B3)),"")</f>
        <v/>
      </c>
      <c r="C7" t="inlineStr">
        <is>
          <t>A count of unusually low months.</t>
        </is>
      </c>
    </row>
    <row r="8">
      <c r="A8" s="5" t="inlineStr">
        <is>
          <t>Months with income entered</t>
        </is>
      </c>
      <c r="B8" s="8">
        <f>COUNT(Income!$B$2:$B$13)</f>
        <v/>
      </c>
      <c r="C8" t="inlineStr">
        <is>
          <t>Blank months are skipped.</t>
        </is>
      </c>
    </row>
    <row r="9">
      <c r="A9" s="5" t="inlineStr">
        <is>
          <t>Highest month</t>
        </is>
      </c>
      <c r="B9" s="6">
        <f>IF(COUNT(Income!$B$2:$B$13)=0,"",MAX(Income!$B$2:$B$13))</f>
        <v/>
      </c>
      <c r="C9" t="inlineStr">
        <is>
          <t>The largest income typed.</t>
        </is>
      </c>
    </row>
    <row r="10">
      <c r="A10" s="5" t="inlineStr">
        <is>
          <t>Check: all entries are numbers, at least 3 months</t>
        </is>
      </c>
      <c r="B10" s="9">
        <f>IF(AND(COUNTA(Income!$B$2:$B$13)=COUNT(Income!$B$2:$B$13),COUNT(Income!$B$2:$B$13)&gt;=3),"OK","CHECK")</f>
        <v/>
      </c>
      <c r="C10" t="inlineStr">
        <is>
          <t>CHECK means an entry is text or fewer than 3 months are filled.</t>
        </is>
      </c>
    </row>
  </sheetData>
  <conditionalFormatting sqref="B10">
    <cfRule type="expression" priority="1" dxfId="0">
      <formula>AND(B10&lt;&gt;"OK",B10&lt;&gt;"")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How Steady Is Your Monthly Income</t>
        </is>
      </c>
    </row>
    <row r="2">
      <c r="A2" s="11" t="inlineStr"/>
    </row>
    <row r="3">
      <c r="A3" s="11" t="inlineStr">
        <is>
          <t>1. Income tab, rows 2 to 13: a month (A) and that month's income (B). Yellow. Up to 12 months. A blank income cell is skipped, not counted as $0.00. Type a month with no income as 0.</t>
        </is>
      </c>
    </row>
    <row r="4">
      <c r="A4" s="11" t="inlineStr">
        <is>
          <t>2. Steadiness, B2: =AVERAGE(Income!B2:B13). B3: =STDEV(Income!B2:B13), the sample standard deviation (STDEV, not STDEV.S, so the file opens the same in older Excel).</t>
        </is>
      </c>
    </row>
    <row r="5">
      <c r="A5" s="11" t="inlineStr">
        <is>
          <t>3. Variation, B4: =B3/B2, shown as a percent. In the sample it is 0.2180, or 21.8%: a typical month is about 22% above or below the average. Identical months give 0.0%. It describes the spread of the numbers you typed. It does not say how much to save or spend.</t>
        </is>
      </c>
    </row>
    <row r="6">
      <c r="A6" s="11" t="inlineStr">
        <is>
          <t>4. B5 is the lowest month. B6 is the average of the 3 lowest months, =(SMALL(r,1)+SMALL(r,2)+SMALL(r,3))/3 with r the 12 income cells; with fewer than 3 numbers it shows Need 3 or more months. B7 counts the months below the average minus one standard deviation, =COUNTIF(r,"&lt;"&amp;(B2-B3)).</t>
        </is>
      </c>
    </row>
    <row r="7">
      <c r="A7" s="11" t="inlineStr">
        <is>
          <t>5. Messages replace errors: Type income when nothing is typed, Need 2 or more months for the standard deviation with one number, Average is 0 or below instead of #DIV/0!.</t>
        </is>
      </c>
    </row>
    <row r="8">
      <c r="A8" s="11" t="inlineStr">
        <is>
          <t>6. B10 shows OK when every entry is a number and at least 3 months are filled. Income typed as text, such as $2,400 with a dollar sign typed as text or n/a, is skipped by AVERAGE and STDEV and gives CHECK.</t>
        </is>
      </c>
    </row>
    <row r="9">
      <c r="A9" s="11" t="inlineStr">
        <is>
          <t>7. Only the 12 rows are read. For more months, change B13 in every formula.</t>
        </is>
      </c>
    </row>
    <row r="10">
      <c r="A10" s="11" t="inlineStr">
        <is>
          <t>8. Arithmetic on past income only. Not tax, loan or financial planning advice.</t>
        </is>
      </c>
    </row>
    <row r="11">
      <c r="A11" s="11" t="inlineStr"/>
    </row>
    <row r="12">
      <c r="A12" s="11" t="inlineStr">
        <is>
          <t>Months and income are fictional. Checked in LibreOffice Calc only; not opened in Excel or Google Sheets.</t>
        </is>
      </c>
    </row>
    <row r="13">
      <c r="A13" s="11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2026-10-22T07:39:05Z</dcterms:created>
  <dcterms:modified xmlns:dcterms="http://purl.org/dc/terms/" xmlns:xsi="http://www.w3.org/2001/XMLSchema-instance" xsi:type="dcterms:W3CDTF">2026-10-22T07:39:05Z</dcterms:modified>
</cp:coreProperties>
</file>