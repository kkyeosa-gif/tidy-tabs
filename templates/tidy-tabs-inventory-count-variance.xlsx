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'Count'!$1:$1</definedName>
    <definedName name="_xlnm.Print_Area" localSheetId="0">'Count'!$A$1:$K$30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2" fillId="0" borderId="0" pivotButton="0" quotePrefix="0" xfId="0"/>
    <xf numFmtId="1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2" customWidth="1" min="5" max="5"/>
    <col width="14" customWidth="1" min="6" max="6"/>
    <col width="13" customWidth="1" min="7" max="7"/>
    <col width="10" customWidth="1" min="8" max="8"/>
    <col width="3" customWidth="1" min="9" max="9"/>
    <col width="54" customWidth="1" min="10" max="10"/>
    <col width="14" customWidth="1" min="11" max="11"/>
  </cols>
  <sheetData>
    <row r="1" ht="32" customHeight="1">
      <c r="A1" s="1" t="inlineStr">
        <is>
          <t>Item</t>
        </is>
      </c>
      <c r="B1" s="1" t="inlineStr">
        <is>
          <t>Expected quantity</t>
        </is>
      </c>
      <c r="C1" s="1" t="inlineStr">
        <is>
          <t>Counted quantity</t>
        </is>
      </c>
      <c r="D1" s="1" t="inlineStr">
        <is>
          <t>Unit cost</t>
        </is>
      </c>
      <c r="E1" s="1" t="inlineStr">
        <is>
          <t>Difference</t>
        </is>
      </c>
      <c r="F1" s="1" t="inlineStr">
        <is>
          <t>Value of difference</t>
        </is>
      </c>
      <c r="G1" s="1" t="inlineStr">
        <is>
          <t>Status</t>
        </is>
      </c>
      <c r="H1" s="1" t="inlineStr">
        <is>
          <t>Units off</t>
        </is>
      </c>
    </row>
    <row r="2">
      <c r="A2" s="2" t="inlineStr">
        <is>
          <t>Ceramic mug</t>
        </is>
      </c>
      <c r="B2" s="2" t="n">
        <v>48</v>
      </c>
      <c r="C2" s="2" t="n">
        <v>45</v>
      </c>
      <c r="D2" s="3" t="n">
        <v>6.5</v>
      </c>
      <c r="E2" s="4">
        <f>IF(C2="","",IF(AND(ISNUMBER(B2),ISNUMBER(C2)),C2-B2,"Check count"))</f>
        <v/>
      </c>
      <c r="F2" s="5">
        <f>IF(ISNUMBER(E2),IF(ISNUMBER(D2),ROUND(E2*D2,2),"Check cost"),"")</f>
        <v/>
      </c>
      <c r="G2" s="4">
        <f>IF(A2="","",IF(E2="","Not counted",IF(NOT(ISNUMBER(E2)),"Check count",IF(E2=0,"Match",IF(E2&lt;0,"Short","Over")))))</f>
        <v/>
      </c>
      <c r="H2" s="4">
        <f>IF(ISNUMBER(E2),ABS(E2),"")</f>
        <v/>
      </c>
      <c r="J2" s="6" t="inlineStr">
        <is>
          <t>Items counted</t>
        </is>
      </c>
      <c r="K2" s="7">
        <f>COUNT(C2:C100)</f>
        <v/>
      </c>
    </row>
    <row r="3">
      <c r="A3" s="2" t="inlineStr">
        <is>
          <t>Soy candle 8 oz</t>
        </is>
      </c>
      <c r="B3" s="2" t="n">
        <v>30</v>
      </c>
      <c r="C3" s="2" t="n">
        <v>30</v>
      </c>
      <c r="D3" s="3" t="n">
        <v>4.25</v>
      </c>
      <c r="E3" s="4">
        <f>IF(C3="","",IF(AND(ISNUMBER(B3),ISNUMBER(C3)),C3-B3,"Check count"))</f>
        <v/>
      </c>
      <c r="F3" s="5">
        <f>IF(ISNUMBER(E3),IF(ISNUMBER(D3),ROUND(E3*D3,2),"Check cost"),"")</f>
        <v/>
      </c>
      <c r="G3" s="4">
        <f>IF(A3="","",IF(E3="","Not counted",IF(NOT(ISNUMBER(E3)),"Check count",IF(E3=0,"Match",IF(E3&lt;0,"Short","Over")))))</f>
        <v/>
      </c>
      <c r="H3" s="4">
        <f>IF(ISNUMBER(E3),ABS(E3),"")</f>
        <v/>
      </c>
      <c r="J3" s="6" t="inlineStr">
        <is>
          <t>Items not counted yet</t>
        </is>
      </c>
      <c r="K3" s="7">
        <f>COUNTIF(G2:G100,"Not counted")</f>
        <v/>
      </c>
    </row>
    <row r="4">
      <c r="A4" s="2" t="inlineStr">
        <is>
          <t>Canvas tote bag</t>
        </is>
      </c>
      <c r="B4" s="2" t="n">
        <v>12</v>
      </c>
      <c r="C4" s="2" t="n">
        <v>14</v>
      </c>
      <c r="D4" s="3" t="n">
        <v>5.25</v>
      </c>
      <c r="E4" s="4">
        <f>IF(C4="","",IF(AND(ISNUMBER(B4),ISNUMBER(C4)),C4-B4,"Check count"))</f>
        <v/>
      </c>
      <c r="F4" s="5">
        <f>IF(ISNUMBER(E4),IF(ISNUMBER(D4),ROUND(E4*D4,2),"Check cost"),"")</f>
        <v/>
      </c>
      <c r="G4" s="4">
        <f>IF(A4="","",IF(E4="","Not counted",IF(NOT(ISNUMBER(E4)),"Check count",IF(E4=0,"Match",IF(E4&lt;0,"Short","Over")))))</f>
        <v/>
      </c>
      <c r="H4" s="4">
        <f>IF(ISNUMBER(E4),ABS(E4),"")</f>
        <v/>
      </c>
      <c r="J4" s="6" t="inlineStr">
        <is>
          <t>Items off (over or short)</t>
        </is>
      </c>
      <c r="K4" s="7">
        <f>COUNTIF(E2:E100,"&gt;0")+COUNTIF(E2:E100,"&lt;0")</f>
        <v/>
      </c>
    </row>
    <row r="5">
      <c r="A5" s="2" t="inlineStr">
        <is>
          <t>Sticker sheet</t>
        </is>
      </c>
      <c r="B5" s="2" t="n">
        <v>200</v>
      </c>
      <c r="C5" s="2" t="n">
        <v>190</v>
      </c>
      <c r="D5" s="3" t="n">
        <v>0.2</v>
      </c>
      <c r="E5" s="4">
        <f>IF(C5="","",IF(AND(ISNUMBER(B5),ISNUMBER(C5)),C5-B5,"Check count"))</f>
        <v/>
      </c>
      <c r="F5" s="5">
        <f>IF(ISNUMBER(E5),IF(ISNUMBER(D5),ROUND(E5*D5,2),"Check cost"),"")</f>
        <v/>
      </c>
      <c r="G5" s="4">
        <f>IF(A5="","",IF(E5="","Not counted",IF(NOT(ISNUMBER(E5)),"Check count",IF(E5=0,"Match",IF(E5&lt;0,"Short","Over")))))</f>
        <v/>
      </c>
      <c r="H5" s="4">
        <f>IF(ISNUMBER(E5),ABS(E5),"")</f>
        <v/>
      </c>
      <c r="J5" s="6" t="inlineStr">
        <is>
          <t>Units off (over and short added together)</t>
        </is>
      </c>
      <c r="K5" s="7">
        <f>SUM(H2:H100)</f>
        <v/>
      </c>
    </row>
    <row r="6">
      <c r="A6" s="2" t="inlineStr">
        <is>
          <t>Oatmeal soap bar</t>
        </is>
      </c>
      <c r="B6" s="2" t="n">
        <v>60</v>
      </c>
      <c r="C6" s="2" t="n">
        <v>58</v>
      </c>
      <c r="D6" s="3" t="n">
        <v>1.85</v>
      </c>
      <c r="E6" s="4">
        <f>IF(C6="","",IF(AND(ISNUMBER(B6),ISNUMBER(C6)),C6-B6,"Check count"))</f>
        <v/>
      </c>
      <c r="F6" s="5">
        <f>IF(ISNUMBER(E6),IF(ISNUMBER(D6),ROUND(E6*D6,2),"Check cost"),"")</f>
        <v/>
      </c>
      <c r="G6" s="4">
        <f>IF(A6="","",IF(E6="","Not counted",IF(NOT(ISNUMBER(E6)),"Check count",IF(E6=0,"Match",IF(E6&lt;0,"Short","Over")))))</f>
        <v/>
      </c>
      <c r="H6" s="4">
        <f>IF(ISNUMBER(E6),ABS(E6),"")</f>
        <v/>
      </c>
      <c r="J6" s="6" t="inlineStr">
        <is>
          <t>Net value of differences</t>
        </is>
      </c>
      <c r="K6" s="5">
        <f>SUM(F2:F100)</f>
        <v/>
      </c>
    </row>
    <row r="7">
      <c r="A7" s="2" t="inlineStr">
        <is>
          <t>Greeting card</t>
        </is>
      </c>
      <c r="B7" s="2" t="n">
        <v>80</v>
      </c>
      <c r="C7" s="2" t="n">
        <v>80</v>
      </c>
      <c r="D7" s="3" t="n">
        <v>0.95</v>
      </c>
      <c r="E7" s="4">
        <f>IF(C7="","",IF(AND(ISNUMBER(B7),ISNUMBER(C7)),C7-B7,"Check count"))</f>
        <v/>
      </c>
      <c r="F7" s="5">
        <f>IF(ISNUMBER(E7),IF(ISNUMBER(D7),ROUND(E7*D7,2),"Check cost"),"")</f>
        <v/>
      </c>
      <c r="G7" s="4">
        <f>IF(A7="","",IF(E7="","Not counted",IF(NOT(ISNUMBER(E7)),"Check count",IF(E7=0,"Match",IF(E7&lt;0,"Short","Over")))))</f>
        <v/>
      </c>
      <c r="H7" s="4">
        <f>IF(ISNUMBER(E7),ABS(E7),"")</f>
        <v/>
      </c>
      <c r="J7" s="6" t="inlineStr">
        <is>
          <t>Value of shortages</t>
        </is>
      </c>
      <c r="K7" s="5">
        <f>SUMIF(F2:F100,"&lt;0")</f>
        <v/>
      </c>
    </row>
    <row r="8">
      <c r="A8" s="2" t="inlineStr">
        <is>
          <t>Brass hoop earrings</t>
        </is>
      </c>
      <c r="B8" s="2" t="n">
        <v>15</v>
      </c>
      <c r="C8" s="2" t="n">
        <v>12</v>
      </c>
      <c r="D8" s="3" t="n">
        <v>3.4</v>
      </c>
      <c r="E8" s="4">
        <f>IF(C8="","",IF(AND(ISNUMBER(B8),ISNUMBER(C8)),C8-B8,"Check count"))</f>
        <v/>
      </c>
      <c r="F8" s="5">
        <f>IF(ISNUMBER(E8),IF(ISNUMBER(D8),ROUND(E8*D8,2),"Check cost"),"")</f>
        <v/>
      </c>
      <c r="G8" s="4">
        <f>IF(A8="","",IF(E8="","Not counted",IF(NOT(ISNUMBER(E8)),"Check count",IF(E8=0,"Match",IF(E8&lt;0,"Short","Over")))))</f>
        <v/>
      </c>
      <c r="H8" s="4">
        <f>IF(ISNUMBER(E8),ABS(E8),"")</f>
        <v/>
      </c>
      <c r="J8" s="6" t="inlineStr">
        <is>
          <t>Value of overages</t>
        </is>
      </c>
      <c r="K8" s="5">
        <f>SUMIF(F2:F100,"&gt;0")</f>
        <v/>
      </c>
    </row>
    <row r="9">
      <c r="A9" s="2" t="inlineStr">
        <is>
          <t>Pocket notebook</t>
        </is>
      </c>
      <c r="B9" s="2" t="n">
        <v>24</v>
      </c>
      <c r="C9" s="2" t="n">
        <v>26</v>
      </c>
      <c r="D9" s="3" t="n">
        <v>3.1</v>
      </c>
      <c r="E9" s="4">
        <f>IF(C9="","",IF(AND(ISNUMBER(B9),ISNUMBER(C9)),C9-B9,"Check count"))</f>
        <v/>
      </c>
      <c r="F9" s="5">
        <f>IF(ISNUMBER(E9),IF(ISNUMBER(D9),ROUND(E9*D9,2),"Check cost"),"")</f>
        <v/>
      </c>
      <c r="G9" s="4">
        <f>IF(A9="","",IF(E9="","Not counted",IF(NOT(ISNUMBER(E9)),"Check count",IF(E9=0,"Match",IF(E9&lt;0,"Short","Over")))))</f>
        <v/>
      </c>
      <c r="H9" s="4">
        <f>IF(ISNUMBER(E9),ABS(E9),"")</f>
        <v/>
      </c>
      <c r="J9" s="6" t="inlineStr">
        <is>
          <t>Check: all counts and costs are numbers, none below 0</t>
        </is>
      </c>
      <c r="K9" s="4">
        <f>IF(AND(COUNTA(B2:B100)=COUNT(B2:B100),COUNTA(C2:C100)=COUNT(C2:C100),COUNTA(D2:D100)=COUNT(D2:D100),COUNTIF(B2:B100,"&lt;0")+COUNTIF(C2:C100,"&lt;0")+COUNTIF(D2:D100,"&lt;0")=0,SUMPRODUCT((A2:A100&lt;&gt;"")*(1-ISNUMBER(B2:B100)))=0,SUMPRODUCT((A2:A100&lt;&gt;"")*(1-ISNUMBER(D2:D100)))=0,SUMPRODUCT((A2:A100="")*((B2:B100&lt;&gt;"")+(C2:C100&lt;&gt;"")+(D2:D100&lt;&gt;"")))=0),"OK","CHECK")</f>
        <v/>
      </c>
    </row>
    <row r="10">
      <c r="A10" s="2" t="inlineStr">
        <is>
          <t>Tea tin</t>
        </is>
      </c>
      <c r="B10" s="2" t="n">
        <v>36</v>
      </c>
      <c r="C10" s="2" t="n">
        <v>33</v>
      </c>
      <c r="D10" s="3" t="n">
        <v>4.8</v>
      </c>
      <c r="E10" s="4">
        <f>IF(C10="","",IF(AND(ISNUMBER(B10),ISNUMBER(C10)),C10-B10,"Check count"))</f>
        <v/>
      </c>
      <c r="F10" s="5">
        <f>IF(ISNUMBER(E10),IF(ISNUMBER(D10),ROUND(E10*D10,2),"Check cost"),"")</f>
        <v/>
      </c>
      <c r="G10" s="4">
        <f>IF(A10="","",IF(E10="","Not counted",IF(NOT(ISNUMBER(E10)),"Check count",IF(E10=0,"Match",IF(E10&lt;0,"Short","Over")))))</f>
        <v/>
      </c>
      <c r="H10" s="4">
        <f>IF(ISNUMBER(E10),ABS(E10),"")</f>
        <v/>
      </c>
    </row>
    <row r="11">
      <c r="A11" s="2" t="inlineStr">
        <is>
          <t>Wooden keychain</t>
        </is>
      </c>
      <c r="B11" s="2" t="n">
        <v>50</v>
      </c>
      <c r="C11" s="2" t="n">
        <v>50</v>
      </c>
      <c r="D11" s="3" t="n">
        <v>1.1</v>
      </c>
      <c r="E11" s="4">
        <f>IF(C11="","",IF(AND(ISNUMBER(B11),ISNUMBER(C11)),C11-B11,"Check count"))</f>
        <v/>
      </c>
      <c r="F11" s="5">
        <f>IF(ISNUMBER(E11),IF(ISNUMBER(D11),ROUND(E11*D11,2),"Check cost"),"")</f>
        <v/>
      </c>
      <c r="G11" s="4">
        <f>IF(A11="","",IF(E11="","Not counted",IF(NOT(ISNUMBER(E11)),"Check count",IF(E11=0,"Match",IF(E11&lt;0,"Short","Over")))))</f>
        <v/>
      </c>
      <c r="H11" s="4">
        <f>IF(ISNUMBER(E11),ABS(E11),"")</f>
        <v/>
      </c>
    </row>
    <row r="12">
      <c r="A12" s="2" t="inlineStr">
        <is>
          <t>Ceramic trinket dish</t>
        </is>
      </c>
      <c r="B12" s="2" t="n">
        <v>6</v>
      </c>
      <c r="C12" s="2" t="n">
        <v>0</v>
      </c>
      <c r="D12" s="3" t="n">
        <v>8.75</v>
      </c>
      <c r="E12" s="4">
        <f>IF(C12="","",IF(AND(ISNUMBER(B12),ISNUMBER(C12)),C12-B12,"Check count"))</f>
        <v/>
      </c>
      <c r="F12" s="5">
        <f>IF(ISNUMBER(E12),IF(ISNUMBER(D12),ROUND(E12*D12,2),"Check cost"),"")</f>
        <v/>
      </c>
      <c r="G12" s="4">
        <f>IF(A12="","",IF(E12="","Not counted",IF(NOT(ISNUMBER(E12)),"Check count",IF(E12=0,"Match",IF(E12&lt;0,"Short","Over")))))</f>
        <v/>
      </c>
      <c r="H12" s="4">
        <f>IF(ISNUMBER(E12),ABS(E12),"")</f>
        <v/>
      </c>
    </row>
    <row r="13">
      <c r="A13" s="2" t="inlineStr">
        <is>
          <t>Gift wrap roll</t>
        </is>
      </c>
      <c r="B13" s="2" t="n">
        <v>25</v>
      </c>
      <c r="C13" s="2" t="n">
        <v>27</v>
      </c>
      <c r="D13" s="3" t="n">
        <v>0.6</v>
      </c>
      <c r="E13" s="4">
        <f>IF(C13="","",IF(AND(ISNUMBER(B13),ISNUMBER(C13)),C13-B13,"Check count"))</f>
        <v/>
      </c>
      <c r="F13" s="5">
        <f>IF(ISNUMBER(E13),IF(ISNUMBER(D13),ROUND(E13*D13,2),"Check cost"),"")</f>
        <v/>
      </c>
      <c r="G13" s="4">
        <f>IF(A13="","",IF(E13="","Not counted",IF(NOT(ISNUMBER(E13)),"Check count",IF(E13=0,"Match",IF(E13&lt;0,"Short","Over")))))</f>
        <v/>
      </c>
      <c r="H13" s="4">
        <f>IF(ISNUMBER(E13),ABS(E13),"")</f>
        <v/>
      </c>
    </row>
    <row r="14">
      <c r="A14" s="2" t="inlineStr">
        <is>
          <t>Enamel pin</t>
        </is>
      </c>
      <c r="B14" s="2" t="n">
        <v>40</v>
      </c>
      <c r="C14" s="2" t="n">
        <v>41</v>
      </c>
      <c r="D14" s="3" t="n">
        <v>2.25</v>
      </c>
      <c r="E14" s="4">
        <f>IF(C14="","",IF(AND(ISNUMBER(B14),ISNUMBER(C14)),C14-B14,"Check count"))</f>
        <v/>
      </c>
      <c r="F14" s="5">
        <f>IF(ISNUMBER(E14),IF(ISNUMBER(D14),ROUND(E14*D14,2),"Check cost"),"")</f>
        <v/>
      </c>
      <c r="G14" s="4">
        <f>IF(A14="","",IF(E14="","Not counted",IF(NOT(ISNUMBER(E14)),"Check count",IF(E14=0,"Match",IF(E14&lt;0,"Short","Over")))))</f>
        <v/>
      </c>
      <c r="H14" s="4">
        <f>IF(ISNUMBER(E14),ABS(E14),"")</f>
        <v/>
      </c>
    </row>
    <row r="15">
      <c r="A15" s="2" t="inlineStr">
        <is>
          <t>Postcard set</t>
        </is>
      </c>
      <c r="B15" s="2" t="n">
        <v>100</v>
      </c>
      <c r="C15" s="2" t="n"/>
      <c r="D15" s="3" t="n">
        <v>0.3</v>
      </c>
      <c r="E15" s="4">
        <f>IF(C15="","",IF(AND(ISNUMBER(B15),ISNUMBER(C15)),C15-B15,"Check count"))</f>
        <v/>
      </c>
      <c r="F15" s="5">
        <f>IF(ISNUMBER(E15),IF(ISNUMBER(D15),ROUND(E15*D15,2),"Check cost"),"")</f>
        <v/>
      </c>
      <c r="G15" s="4">
        <f>IF(A15="","",IF(E15="","Not counted",IF(NOT(ISNUMBER(E15)),"Check count",IF(E15=0,"Match",IF(E15&lt;0,"Short","Over")))))</f>
        <v/>
      </c>
      <c r="H15" s="4">
        <f>IF(ISNUMBER(E15),ABS(E15),"")</f>
        <v/>
      </c>
    </row>
    <row r="16">
      <c r="A16" s="2" t="n"/>
      <c r="B16" s="2" t="n"/>
      <c r="C16" s="2" t="n"/>
      <c r="D16" s="3" t="n"/>
      <c r="E16" s="4">
        <f>IF(C16="","",IF(AND(ISNUMBER(B16),ISNUMBER(C16)),C16-B16,"Check count"))</f>
        <v/>
      </c>
      <c r="F16" s="5">
        <f>IF(ISNUMBER(E16),IF(ISNUMBER(D16),ROUND(E16*D16,2),"Check cost"),"")</f>
        <v/>
      </c>
      <c r="G16" s="4">
        <f>IF(A16="","",IF(E16="","Not counted",IF(NOT(ISNUMBER(E16)),"Check count",IF(E16=0,"Match",IF(E16&lt;0,"Short","Over")))))</f>
        <v/>
      </c>
      <c r="H16" s="4">
        <f>IF(ISNUMBER(E16),ABS(E16),"")</f>
        <v/>
      </c>
    </row>
    <row r="17">
      <c r="A17" s="2" t="n"/>
      <c r="B17" s="2" t="n"/>
      <c r="C17" s="2" t="n"/>
      <c r="D17" s="3" t="n"/>
      <c r="E17" s="4">
        <f>IF(C17="","",IF(AND(ISNUMBER(B17),ISNUMBER(C17)),C17-B17,"Check count"))</f>
        <v/>
      </c>
      <c r="F17" s="5">
        <f>IF(ISNUMBER(E17),IF(ISNUMBER(D17),ROUND(E17*D17,2),"Check cost"),"")</f>
        <v/>
      </c>
      <c r="G17" s="4">
        <f>IF(A17="","",IF(E17="","Not counted",IF(NOT(ISNUMBER(E17)),"Check count",IF(E17=0,"Match",IF(E17&lt;0,"Short","Over")))))</f>
        <v/>
      </c>
      <c r="H17" s="4">
        <f>IF(ISNUMBER(E17),ABS(E17),"")</f>
        <v/>
      </c>
    </row>
    <row r="18">
      <c r="A18" s="2" t="n"/>
      <c r="B18" s="2" t="n"/>
      <c r="C18" s="2" t="n"/>
      <c r="D18" s="3" t="n"/>
      <c r="E18" s="4">
        <f>IF(C18="","",IF(AND(ISNUMBER(B18),ISNUMBER(C18)),C18-B18,"Check count"))</f>
        <v/>
      </c>
      <c r="F18" s="5">
        <f>IF(ISNUMBER(E18),IF(ISNUMBER(D18),ROUND(E18*D18,2),"Check cost"),"")</f>
        <v/>
      </c>
      <c r="G18" s="4">
        <f>IF(A18="","",IF(E18="","Not counted",IF(NOT(ISNUMBER(E18)),"Check count",IF(E18=0,"Match",IF(E18&lt;0,"Short","Over")))))</f>
        <v/>
      </c>
      <c r="H18" s="4">
        <f>IF(ISNUMBER(E18),ABS(E18),"")</f>
        <v/>
      </c>
    </row>
    <row r="19">
      <c r="A19" s="2" t="n"/>
      <c r="B19" s="2" t="n"/>
      <c r="C19" s="2" t="n"/>
      <c r="D19" s="3" t="n"/>
      <c r="E19" s="4">
        <f>IF(C19="","",IF(AND(ISNUMBER(B19),ISNUMBER(C19)),C19-B19,"Check count"))</f>
        <v/>
      </c>
      <c r="F19" s="5">
        <f>IF(ISNUMBER(E19),IF(ISNUMBER(D19),ROUND(E19*D19,2),"Check cost"),"")</f>
        <v/>
      </c>
      <c r="G19" s="4">
        <f>IF(A19="","",IF(E19="","Not counted",IF(NOT(ISNUMBER(E19)),"Check count",IF(E19=0,"Match",IF(E19&lt;0,"Short","Over")))))</f>
        <v/>
      </c>
      <c r="H19" s="4">
        <f>IF(ISNUMBER(E19),ABS(E19),"")</f>
        <v/>
      </c>
    </row>
    <row r="20">
      <c r="A20" s="2" t="n"/>
      <c r="B20" s="2" t="n"/>
      <c r="C20" s="2" t="n"/>
      <c r="D20" s="3" t="n"/>
      <c r="E20" s="4">
        <f>IF(C20="","",IF(AND(ISNUMBER(B20),ISNUMBER(C20)),C20-B20,"Check count"))</f>
        <v/>
      </c>
      <c r="F20" s="5">
        <f>IF(ISNUMBER(E20),IF(ISNUMBER(D20),ROUND(E20*D20,2),"Check cost"),"")</f>
        <v/>
      </c>
      <c r="G20" s="4">
        <f>IF(A20="","",IF(E20="","Not counted",IF(NOT(ISNUMBER(E20)),"Check count",IF(E20=0,"Match",IF(E20&lt;0,"Short","Over")))))</f>
        <v/>
      </c>
      <c r="H20" s="4">
        <f>IF(ISNUMBER(E20),ABS(E20),"")</f>
        <v/>
      </c>
    </row>
    <row r="21">
      <c r="A21" s="2" t="n"/>
      <c r="B21" s="2" t="n"/>
      <c r="C21" s="2" t="n"/>
      <c r="D21" s="3" t="n"/>
      <c r="E21" s="4">
        <f>IF(C21="","",IF(AND(ISNUMBER(B21),ISNUMBER(C21)),C21-B21,"Check count"))</f>
        <v/>
      </c>
      <c r="F21" s="5">
        <f>IF(ISNUMBER(E21),IF(ISNUMBER(D21),ROUND(E21*D21,2),"Check cost"),"")</f>
        <v/>
      </c>
      <c r="G21" s="4">
        <f>IF(A21="","",IF(E21="","Not counted",IF(NOT(ISNUMBER(E21)),"Check count",IF(E21=0,"Match",IF(E21&lt;0,"Short","Over")))))</f>
        <v/>
      </c>
      <c r="H21" s="4">
        <f>IF(ISNUMBER(E21),ABS(E21),"")</f>
        <v/>
      </c>
    </row>
    <row r="22">
      <c r="A22" s="2" t="n"/>
      <c r="B22" s="2" t="n"/>
      <c r="C22" s="2" t="n"/>
      <c r="D22" s="3" t="n"/>
      <c r="E22" s="4">
        <f>IF(C22="","",IF(AND(ISNUMBER(B22),ISNUMBER(C22)),C22-B22,"Check count"))</f>
        <v/>
      </c>
      <c r="F22" s="5">
        <f>IF(ISNUMBER(E22),IF(ISNUMBER(D22),ROUND(E22*D22,2),"Check cost"),"")</f>
        <v/>
      </c>
      <c r="G22" s="4">
        <f>IF(A22="","",IF(E22="","Not counted",IF(NOT(ISNUMBER(E22)),"Check count",IF(E22=0,"Match",IF(E22&lt;0,"Short","Over")))))</f>
        <v/>
      </c>
      <c r="H22" s="4">
        <f>IF(ISNUMBER(E22),ABS(E22),"")</f>
        <v/>
      </c>
    </row>
    <row r="23">
      <c r="A23" s="2" t="n"/>
      <c r="B23" s="2" t="n"/>
      <c r="C23" s="2" t="n"/>
      <c r="D23" s="3" t="n"/>
      <c r="E23" s="4">
        <f>IF(C23="","",IF(AND(ISNUMBER(B23),ISNUMBER(C23)),C23-B23,"Check count"))</f>
        <v/>
      </c>
      <c r="F23" s="5">
        <f>IF(ISNUMBER(E23),IF(ISNUMBER(D23),ROUND(E23*D23,2),"Check cost"),"")</f>
        <v/>
      </c>
      <c r="G23" s="4">
        <f>IF(A23="","",IF(E23="","Not counted",IF(NOT(ISNUMBER(E23)),"Check count",IF(E23=0,"Match",IF(E23&lt;0,"Short","Over")))))</f>
        <v/>
      </c>
      <c r="H23" s="4">
        <f>IF(ISNUMBER(E23),ABS(E23),"")</f>
        <v/>
      </c>
    </row>
    <row r="24">
      <c r="A24" s="2" t="n"/>
      <c r="B24" s="2" t="n"/>
      <c r="C24" s="2" t="n"/>
      <c r="D24" s="3" t="n"/>
      <c r="E24" s="4">
        <f>IF(C24="","",IF(AND(ISNUMBER(B24),ISNUMBER(C24)),C24-B24,"Check count"))</f>
        <v/>
      </c>
      <c r="F24" s="5">
        <f>IF(ISNUMBER(E24),IF(ISNUMBER(D24),ROUND(E24*D24,2),"Check cost"),"")</f>
        <v/>
      </c>
      <c r="G24" s="4">
        <f>IF(A24="","",IF(E24="","Not counted",IF(NOT(ISNUMBER(E24)),"Check count",IF(E24=0,"Match",IF(E24&lt;0,"Short","Over")))))</f>
        <v/>
      </c>
      <c r="H24" s="4">
        <f>IF(ISNUMBER(E24),ABS(E24),"")</f>
        <v/>
      </c>
    </row>
    <row r="25">
      <c r="A25" s="2" t="n"/>
      <c r="B25" s="2" t="n"/>
      <c r="C25" s="2" t="n"/>
      <c r="D25" s="3" t="n"/>
      <c r="E25" s="4">
        <f>IF(C25="","",IF(AND(ISNUMBER(B25),ISNUMBER(C25)),C25-B25,"Check count"))</f>
        <v/>
      </c>
      <c r="F25" s="5">
        <f>IF(ISNUMBER(E25),IF(ISNUMBER(D25),ROUND(E25*D25,2),"Check cost"),"")</f>
        <v/>
      </c>
      <c r="G25" s="4">
        <f>IF(A25="","",IF(E25="","Not counted",IF(NOT(ISNUMBER(E25)),"Check count",IF(E25=0,"Match",IF(E25&lt;0,"Short","Over")))))</f>
        <v/>
      </c>
      <c r="H25" s="4">
        <f>IF(ISNUMBER(E25),ABS(E25),"")</f>
        <v/>
      </c>
    </row>
    <row r="26">
      <c r="A26" s="2" t="n"/>
      <c r="B26" s="2" t="n"/>
      <c r="C26" s="2" t="n"/>
      <c r="D26" s="3" t="n"/>
      <c r="E26" s="4">
        <f>IF(C26="","",IF(AND(ISNUMBER(B26),ISNUMBER(C26)),C26-B26,"Check count"))</f>
        <v/>
      </c>
      <c r="F26" s="5">
        <f>IF(ISNUMBER(E26),IF(ISNUMBER(D26),ROUND(E26*D26,2),"Check cost"),"")</f>
        <v/>
      </c>
      <c r="G26" s="4">
        <f>IF(A26="","",IF(E26="","Not counted",IF(NOT(ISNUMBER(E26)),"Check count",IF(E26=0,"Match",IF(E26&lt;0,"Short","Over")))))</f>
        <v/>
      </c>
      <c r="H26" s="4">
        <f>IF(ISNUMBER(E26),ABS(E26),"")</f>
        <v/>
      </c>
    </row>
    <row r="27">
      <c r="A27" s="2" t="n"/>
      <c r="B27" s="2" t="n"/>
      <c r="C27" s="2" t="n"/>
      <c r="D27" s="3" t="n"/>
      <c r="E27" s="4">
        <f>IF(C27="","",IF(AND(ISNUMBER(B27),ISNUMBER(C27)),C27-B27,"Check count"))</f>
        <v/>
      </c>
      <c r="F27" s="5">
        <f>IF(ISNUMBER(E27),IF(ISNUMBER(D27),ROUND(E27*D27,2),"Check cost"),"")</f>
        <v/>
      </c>
      <c r="G27" s="4">
        <f>IF(A27="","",IF(E27="","Not counted",IF(NOT(ISNUMBER(E27)),"Check count",IF(E27=0,"Match",IF(E27&lt;0,"Short","Over")))))</f>
        <v/>
      </c>
      <c r="H27" s="4">
        <f>IF(ISNUMBER(E27),ABS(E27),"")</f>
        <v/>
      </c>
    </row>
    <row r="28">
      <c r="A28" s="2" t="n"/>
      <c r="B28" s="2" t="n"/>
      <c r="C28" s="2" t="n"/>
      <c r="D28" s="3" t="n"/>
      <c r="E28" s="4">
        <f>IF(C28="","",IF(AND(ISNUMBER(B28),ISNUMBER(C28)),C28-B28,"Check count"))</f>
        <v/>
      </c>
      <c r="F28" s="5">
        <f>IF(ISNUMBER(E28),IF(ISNUMBER(D28),ROUND(E28*D28,2),"Check cost"),"")</f>
        <v/>
      </c>
      <c r="G28" s="4">
        <f>IF(A28="","",IF(E28="","Not counted",IF(NOT(ISNUMBER(E28)),"Check count",IF(E28=0,"Match",IF(E28&lt;0,"Short","Over")))))</f>
        <v/>
      </c>
      <c r="H28" s="4">
        <f>IF(ISNUMBER(E28),ABS(E28),"")</f>
        <v/>
      </c>
    </row>
    <row r="29">
      <c r="A29" s="2" t="n"/>
      <c r="B29" s="2" t="n"/>
      <c r="C29" s="2" t="n"/>
      <c r="D29" s="3" t="n"/>
      <c r="E29" s="4">
        <f>IF(C29="","",IF(AND(ISNUMBER(B29),ISNUMBER(C29)),C29-B29,"Check count"))</f>
        <v/>
      </c>
      <c r="F29" s="5">
        <f>IF(ISNUMBER(E29),IF(ISNUMBER(D29),ROUND(E29*D29,2),"Check cost"),"")</f>
        <v/>
      </c>
      <c r="G29" s="4">
        <f>IF(A29="","",IF(E29="","Not counted",IF(NOT(ISNUMBER(E29)),"Check count",IF(E29=0,"Match",IF(E29&lt;0,"Short","Over")))))</f>
        <v/>
      </c>
      <c r="H29" s="4">
        <f>IF(ISNUMBER(E29),ABS(E29),"")</f>
        <v/>
      </c>
    </row>
    <row r="30">
      <c r="A30" s="2" t="n"/>
      <c r="B30" s="2" t="n"/>
      <c r="C30" s="2" t="n"/>
      <c r="D30" s="3" t="n"/>
      <c r="E30" s="4">
        <f>IF(C30="","",IF(AND(ISNUMBER(B30),ISNUMBER(C30)),C30-B30,"Check count"))</f>
        <v/>
      </c>
      <c r="F30" s="5">
        <f>IF(ISNUMBER(E30),IF(ISNUMBER(D30),ROUND(E30*D30,2),"Check cost"),"")</f>
        <v/>
      </c>
      <c r="G30" s="4">
        <f>IF(A30="","",IF(E30="","Not counted",IF(NOT(ISNUMBER(E30)),"Check count",IF(E30=0,"Match",IF(E30&lt;0,"Short","Over")))))</f>
        <v/>
      </c>
      <c r="H30" s="4">
        <f>IF(ISNUMBER(E30),ABS(E30),"")</f>
        <v/>
      </c>
    </row>
    <row r="31">
      <c r="A31" s="2" t="n"/>
      <c r="B31" s="2" t="n"/>
      <c r="C31" s="2" t="n"/>
      <c r="D31" s="3" t="n"/>
      <c r="E31" s="4">
        <f>IF(C31="","",IF(AND(ISNUMBER(B31),ISNUMBER(C31)),C31-B31,"Check count"))</f>
        <v/>
      </c>
      <c r="F31" s="5">
        <f>IF(ISNUMBER(E31),IF(ISNUMBER(D31),ROUND(E31*D31,2),"Check cost"),"")</f>
        <v/>
      </c>
      <c r="G31" s="4">
        <f>IF(A31="","",IF(E31="","Not counted",IF(NOT(ISNUMBER(E31)),"Check count",IF(E31=0,"Match",IF(E31&lt;0,"Short","Over")))))</f>
        <v/>
      </c>
      <c r="H31" s="4">
        <f>IF(ISNUMBER(E31),ABS(E31),"")</f>
        <v/>
      </c>
    </row>
    <row r="32">
      <c r="A32" s="2" t="n"/>
      <c r="B32" s="2" t="n"/>
      <c r="C32" s="2" t="n"/>
      <c r="D32" s="3" t="n"/>
      <c r="E32" s="4">
        <f>IF(C32="","",IF(AND(ISNUMBER(B32),ISNUMBER(C32)),C32-B32,"Check count"))</f>
        <v/>
      </c>
      <c r="F32" s="5">
        <f>IF(ISNUMBER(E32),IF(ISNUMBER(D32),ROUND(E32*D32,2),"Check cost"),"")</f>
        <v/>
      </c>
      <c r="G32" s="4">
        <f>IF(A32="","",IF(E32="","Not counted",IF(NOT(ISNUMBER(E32)),"Check count",IF(E32=0,"Match",IF(E32&lt;0,"Short","Over")))))</f>
        <v/>
      </c>
      <c r="H32" s="4">
        <f>IF(ISNUMBER(E32),ABS(E32),"")</f>
        <v/>
      </c>
    </row>
    <row r="33">
      <c r="A33" s="2" t="n"/>
      <c r="B33" s="2" t="n"/>
      <c r="C33" s="2" t="n"/>
      <c r="D33" s="3" t="n"/>
      <c r="E33" s="4">
        <f>IF(C33="","",IF(AND(ISNUMBER(B33),ISNUMBER(C33)),C33-B33,"Check count"))</f>
        <v/>
      </c>
      <c r="F33" s="5">
        <f>IF(ISNUMBER(E33),IF(ISNUMBER(D33),ROUND(E33*D33,2),"Check cost"),"")</f>
        <v/>
      </c>
      <c r="G33" s="4">
        <f>IF(A33="","",IF(E33="","Not counted",IF(NOT(ISNUMBER(E33)),"Check count",IF(E33=0,"Match",IF(E33&lt;0,"Short","Over")))))</f>
        <v/>
      </c>
      <c r="H33" s="4">
        <f>IF(ISNUMBER(E33),ABS(E33),"")</f>
        <v/>
      </c>
    </row>
    <row r="34">
      <c r="A34" s="2" t="n"/>
      <c r="B34" s="2" t="n"/>
      <c r="C34" s="2" t="n"/>
      <c r="D34" s="3" t="n"/>
      <c r="E34" s="4">
        <f>IF(C34="","",IF(AND(ISNUMBER(B34),ISNUMBER(C34)),C34-B34,"Check count"))</f>
        <v/>
      </c>
      <c r="F34" s="5">
        <f>IF(ISNUMBER(E34),IF(ISNUMBER(D34),ROUND(E34*D34,2),"Check cost"),"")</f>
        <v/>
      </c>
      <c r="G34" s="4">
        <f>IF(A34="","",IF(E34="","Not counted",IF(NOT(ISNUMBER(E34)),"Check count",IF(E34=0,"Match",IF(E34&lt;0,"Short","Over")))))</f>
        <v/>
      </c>
      <c r="H34" s="4">
        <f>IF(ISNUMBER(E34),ABS(E34),"")</f>
        <v/>
      </c>
    </row>
    <row r="35">
      <c r="A35" s="2" t="n"/>
      <c r="B35" s="2" t="n"/>
      <c r="C35" s="2" t="n"/>
      <c r="D35" s="3" t="n"/>
      <c r="E35" s="4">
        <f>IF(C35="","",IF(AND(ISNUMBER(B35),ISNUMBER(C35)),C35-B35,"Check count"))</f>
        <v/>
      </c>
      <c r="F35" s="5">
        <f>IF(ISNUMBER(E35),IF(ISNUMBER(D35),ROUND(E35*D35,2),"Check cost"),"")</f>
        <v/>
      </c>
      <c r="G35" s="4">
        <f>IF(A35="","",IF(E35="","Not counted",IF(NOT(ISNUMBER(E35)),"Check count",IF(E35=0,"Match",IF(E35&lt;0,"Short","Over")))))</f>
        <v/>
      </c>
      <c r="H35" s="4">
        <f>IF(ISNUMBER(E35),ABS(E35),"")</f>
        <v/>
      </c>
    </row>
    <row r="36">
      <c r="A36" s="2" t="n"/>
      <c r="B36" s="2" t="n"/>
      <c r="C36" s="2" t="n"/>
      <c r="D36" s="3" t="n"/>
      <c r="E36" s="4">
        <f>IF(C36="","",IF(AND(ISNUMBER(B36),ISNUMBER(C36)),C36-B36,"Check count"))</f>
        <v/>
      </c>
      <c r="F36" s="5">
        <f>IF(ISNUMBER(E36),IF(ISNUMBER(D36),ROUND(E36*D36,2),"Check cost"),"")</f>
        <v/>
      </c>
      <c r="G36" s="4">
        <f>IF(A36="","",IF(E36="","Not counted",IF(NOT(ISNUMBER(E36)),"Check count",IF(E36=0,"Match",IF(E36&lt;0,"Short","Over")))))</f>
        <v/>
      </c>
      <c r="H36" s="4">
        <f>IF(ISNUMBER(E36),ABS(E36),"")</f>
        <v/>
      </c>
    </row>
    <row r="37">
      <c r="A37" s="2" t="n"/>
      <c r="B37" s="2" t="n"/>
      <c r="C37" s="2" t="n"/>
      <c r="D37" s="3" t="n"/>
      <c r="E37" s="4">
        <f>IF(C37="","",IF(AND(ISNUMBER(B37),ISNUMBER(C37)),C37-B37,"Check count"))</f>
        <v/>
      </c>
      <c r="F37" s="5">
        <f>IF(ISNUMBER(E37),IF(ISNUMBER(D37),ROUND(E37*D37,2),"Check cost"),"")</f>
        <v/>
      </c>
      <c r="G37" s="4">
        <f>IF(A37="","",IF(E37="","Not counted",IF(NOT(ISNUMBER(E37)),"Check count",IF(E37=0,"Match",IF(E37&lt;0,"Short","Over")))))</f>
        <v/>
      </c>
      <c r="H37" s="4">
        <f>IF(ISNUMBER(E37),ABS(E37),"")</f>
        <v/>
      </c>
    </row>
    <row r="38">
      <c r="A38" s="2" t="n"/>
      <c r="B38" s="2" t="n"/>
      <c r="C38" s="2" t="n"/>
      <c r="D38" s="3" t="n"/>
      <c r="E38" s="4">
        <f>IF(C38="","",IF(AND(ISNUMBER(B38),ISNUMBER(C38)),C38-B38,"Check count"))</f>
        <v/>
      </c>
      <c r="F38" s="5">
        <f>IF(ISNUMBER(E38),IF(ISNUMBER(D38),ROUND(E38*D38,2),"Check cost"),"")</f>
        <v/>
      </c>
      <c r="G38" s="4">
        <f>IF(A38="","",IF(E38="","Not counted",IF(NOT(ISNUMBER(E38)),"Check count",IF(E38=0,"Match",IF(E38&lt;0,"Short","Over")))))</f>
        <v/>
      </c>
      <c r="H38" s="4">
        <f>IF(ISNUMBER(E38),ABS(E38),"")</f>
        <v/>
      </c>
    </row>
    <row r="39">
      <c r="A39" s="2" t="n"/>
      <c r="B39" s="2" t="n"/>
      <c r="C39" s="2" t="n"/>
      <c r="D39" s="3" t="n"/>
      <c r="E39" s="4">
        <f>IF(C39="","",IF(AND(ISNUMBER(B39),ISNUMBER(C39)),C39-B39,"Check count"))</f>
        <v/>
      </c>
      <c r="F39" s="5">
        <f>IF(ISNUMBER(E39),IF(ISNUMBER(D39),ROUND(E39*D39,2),"Check cost"),"")</f>
        <v/>
      </c>
      <c r="G39" s="4">
        <f>IF(A39="","",IF(E39="","Not counted",IF(NOT(ISNUMBER(E39)),"Check count",IF(E39=0,"Match",IF(E39&lt;0,"Short","Over")))))</f>
        <v/>
      </c>
      <c r="H39" s="4">
        <f>IF(ISNUMBER(E39),ABS(E39),"")</f>
        <v/>
      </c>
    </row>
    <row r="40">
      <c r="A40" s="2" t="n"/>
      <c r="B40" s="2" t="n"/>
      <c r="C40" s="2" t="n"/>
      <c r="D40" s="3" t="n"/>
      <c r="E40" s="4">
        <f>IF(C40="","",IF(AND(ISNUMBER(B40),ISNUMBER(C40)),C40-B40,"Check count"))</f>
        <v/>
      </c>
      <c r="F40" s="5">
        <f>IF(ISNUMBER(E40),IF(ISNUMBER(D40),ROUND(E40*D40,2),"Check cost"),"")</f>
        <v/>
      </c>
      <c r="G40" s="4">
        <f>IF(A40="","",IF(E40="","Not counted",IF(NOT(ISNUMBER(E40)),"Check count",IF(E40=0,"Match",IF(E40&lt;0,"Short","Over")))))</f>
        <v/>
      </c>
      <c r="H40" s="4">
        <f>IF(ISNUMBER(E40),ABS(E40),"")</f>
        <v/>
      </c>
    </row>
    <row r="41">
      <c r="A41" s="2" t="n"/>
      <c r="B41" s="2" t="n"/>
      <c r="C41" s="2" t="n"/>
      <c r="D41" s="3" t="n"/>
      <c r="E41" s="4">
        <f>IF(C41="","",IF(AND(ISNUMBER(B41),ISNUMBER(C41)),C41-B41,"Check count"))</f>
        <v/>
      </c>
      <c r="F41" s="5">
        <f>IF(ISNUMBER(E41),IF(ISNUMBER(D41),ROUND(E41*D41,2),"Check cost"),"")</f>
        <v/>
      </c>
      <c r="G41" s="4">
        <f>IF(A41="","",IF(E41="","Not counted",IF(NOT(ISNUMBER(E41)),"Check count",IF(E41=0,"Match",IF(E41&lt;0,"Short","Over")))))</f>
        <v/>
      </c>
      <c r="H41" s="4">
        <f>IF(ISNUMBER(E41),ABS(E41),"")</f>
        <v/>
      </c>
    </row>
    <row r="42">
      <c r="A42" s="2" t="n"/>
      <c r="B42" s="2" t="n"/>
      <c r="C42" s="2" t="n"/>
      <c r="D42" s="3" t="n"/>
      <c r="E42" s="4">
        <f>IF(C42="","",IF(AND(ISNUMBER(B42),ISNUMBER(C42)),C42-B42,"Check count"))</f>
        <v/>
      </c>
      <c r="F42" s="5">
        <f>IF(ISNUMBER(E42),IF(ISNUMBER(D42),ROUND(E42*D42,2),"Check cost"),"")</f>
        <v/>
      </c>
      <c r="G42" s="4">
        <f>IF(A42="","",IF(E42="","Not counted",IF(NOT(ISNUMBER(E42)),"Check count",IF(E42=0,"Match",IF(E42&lt;0,"Short","Over")))))</f>
        <v/>
      </c>
      <c r="H42" s="4">
        <f>IF(ISNUMBER(E42),ABS(E42),"")</f>
        <v/>
      </c>
    </row>
    <row r="43">
      <c r="A43" s="2" t="n"/>
      <c r="B43" s="2" t="n"/>
      <c r="C43" s="2" t="n"/>
      <c r="D43" s="3" t="n"/>
      <c r="E43" s="4">
        <f>IF(C43="","",IF(AND(ISNUMBER(B43),ISNUMBER(C43)),C43-B43,"Check count"))</f>
        <v/>
      </c>
      <c r="F43" s="5">
        <f>IF(ISNUMBER(E43),IF(ISNUMBER(D43),ROUND(E43*D43,2),"Check cost"),"")</f>
        <v/>
      </c>
      <c r="G43" s="4">
        <f>IF(A43="","",IF(E43="","Not counted",IF(NOT(ISNUMBER(E43)),"Check count",IF(E43=0,"Match",IF(E43&lt;0,"Short","Over")))))</f>
        <v/>
      </c>
      <c r="H43" s="4">
        <f>IF(ISNUMBER(E43),ABS(E43),"")</f>
        <v/>
      </c>
    </row>
    <row r="44">
      <c r="A44" s="2" t="n"/>
      <c r="B44" s="2" t="n"/>
      <c r="C44" s="2" t="n"/>
      <c r="D44" s="3" t="n"/>
      <c r="E44" s="4">
        <f>IF(C44="","",IF(AND(ISNUMBER(B44),ISNUMBER(C44)),C44-B44,"Check count"))</f>
        <v/>
      </c>
      <c r="F44" s="5">
        <f>IF(ISNUMBER(E44),IF(ISNUMBER(D44),ROUND(E44*D44,2),"Check cost"),"")</f>
        <v/>
      </c>
      <c r="G44" s="4">
        <f>IF(A44="","",IF(E44="","Not counted",IF(NOT(ISNUMBER(E44)),"Check count",IF(E44=0,"Match",IF(E44&lt;0,"Short","Over")))))</f>
        <v/>
      </c>
      <c r="H44" s="4">
        <f>IF(ISNUMBER(E44),ABS(E44),"")</f>
        <v/>
      </c>
    </row>
    <row r="45">
      <c r="A45" s="2" t="n"/>
      <c r="B45" s="2" t="n"/>
      <c r="C45" s="2" t="n"/>
      <c r="D45" s="3" t="n"/>
      <c r="E45" s="4">
        <f>IF(C45="","",IF(AND(ISNUMBER(B45),ISNUMBER(C45)),C45-B45,"Check count"))</f>
        <v/>
      </c>
      <c r="F45" s="5">
        <f>IF(ISNUMBER(E45),IF(ISNUMBER(D45),ROUND(E45*D45,2),"Check cost"),"")</f>
        <v/>
      </c>
      <c r="G45" s="4">
        <f>IF(A45="","",IF(E45="","Not counted",IF(NOT(ISNUMBER(E45)),"Check count",IF(E45=0,"Match",IF(E45&lt;0,"Short","Over")))))</f>
        <v/>
      </c>
      <c r="H45" s="4">
        <f>IF(ISNUMBER(E45),ABS(E45),"")</f>
        <v/>
      </c>
    </row>
    <row r="46">
      <c r="A46" s="2" t="n"/>
      <c r="B46" s="2" t="n"/>
      <c r="C46" s="2" t="n"/>
      <c r="D46" s="3" t="n"/>
      <c r="E46" s="4">
        <f>IF(C46="","",IF(AND(ISNUMBER(B46),ISNUMBER(C46)),C46-B46,"Check count"))</f>
        <v/>
      </c>
      <c r="F46" s="5">
        <f>IF(ISNUMBER(E46),IF(ISNUMBER(D46),ROUND(E46*D46,2),"Check cost"),"")</f>
        <v/>
      </c>
      <c r="G46" s="4">
        <f>IF(A46="","",IF(E46="","Not counted",IF(NOT(ISNUMBER(E46)),"Check count",IF(E46=0,"Match",IF(E46&lt;0,"Short","Over")))))</f>
        <v/>
      </c>
      <c r="H46" s="4">
        <f>IF(ISNUMBER(E46),ABS(E46),"")</f>
        <v/>
      </c>
    </row>
    <row r="47">
      <c r="A47" s="2" t="n"/>
      <c r="B47" s="2" t="n"/>
      <c r="C47" s="2" t="n"/>
      <c r="D47" s="3" t="n"/>
      <c r="E47" s="4">
        <f>IF(C47="","",IF(AND(ISNUMBER(B47),ISNUMBER(C47)),C47-B47,"Check count"))</f>
        <v/>
      </c>
      <c r="F47" s="5">
        <f>IF(ISNUMBER(E47),IF(ISNUMBER(D47),ROUND(E47*D47,2),"Check cost"),"")</f>
        <v/>
      </c>
      <c r="G47" s="4">
        <f>IF(A47="","",IF(E47="","Not counted",IF(NOT(ISNUMBER(E47)),"Check count",IF(E47=0,"Match",IF(E47&lt;0,"Short","Over")))))</f>
        <v/>
      </c>
      <c r="H47" s="4">
        <f>IF(ISNUMBER(E47),ABS(E47),"")</f>
        <v/>
      </c>
    </row>
    <row r="48">
      <c r="A48" s="2" t="n"/>
      <c r="B48" s="2" t="n"/>
      <c r="C48" s="2" t="n"/>
      <c r="D48" s="3" t="n"/>
      <c r="E48" s="4">
        <f>IF(C48="","",IF(AND(ISNUMBER(B48),ISNUMBER(C48)),C48-B48,"Check count"))</f>
        <v/>
      </c>
      <c r="F48" s="5">
        <f>IF(ISNUMBER(E48),IF(ISNUMBER(D48),ROUND(E48*D48,2),"Check cost"),"")</f>
        <v/>
      </c>
      <c r="G48" s="4">
        <f>IF(A48="","",IF(E48="","Not counted",IF(NOT(ISNUMBER(E48)),"Check count",IF(E48=0,"Match",IF(E48&lt;0,"Short","Over")))))</f>
        <v/>
      </c>
      <c r="H48" s="4">
        <f>IF(ISNUMBER(E48),ABS(E48),"")</f>
        <v/>
      </c>
    </row>
    <row r="49">
      <c r="A49" s="2" t="n"/>
      <c r="B49" s="2" t="n"/>
      <c r="C49" s="2" t="n"/>
      <c r="D49" s="3" t="n"/>
      <c r="E49" s="4">
        <f>IF(C49="","",IF(AND(ISNUMBER(B49),ISNUMBER(C49)),C49-B49,"Check count"))</f>
        <v/>
      </c>
      <c r="F49" s="5">
        <f>IF(ISNUMBER(E49),IF(ISNUMBER(D49),ROUND(E49*D49,2),"Check cost"),"")</f>
        <v/>
      </c>
      <c r="G49" s="4">
        <f>IF(A49="","",IF(E49="","Not counted",IF(NOT(ISNUMBER(E49)),"Check count",IF(E49=0,"Match",IF(E49&lt;0,"Short","Over")))))</f>
        <v/>
      </c>
      <c r="H49" s="4">
        <f>IF(ISNUMBER(E49),ABS(E49),"")</f>
        <v/>
      </c>
    </row>
    <row r="50">
      <c r="A50" s="2" t="n"/>
      <c r="B50" s="2" t="n"/>
      <c r="C50" s="2" t="n"/>
      <c r="D50" s="3" t="n"/>
      <c r="E50" s="4">
        <f>IF(C50="","",IF(AND(ISNUMBER(B50),ISNUMBER(C50)),C50-B50,"Check count"))</f>
        <v/>
      </c>
      <c r="F50" s="5">
        <f>IF(ISNUMBER(E50),IF(ISNUMBER(D50),ROUND(E50*D50,2),"Check cost"),"")</f>
        <v/>
      </c>
      <c r="G50" s="4">
        <f>IF(A50="","",IF(E50="","Not counted",IF(NOT(ISNUMBER(E50)),"Check count",IF(E50=0,"Match",IF(E50&lt;0,"Short","Over")))))</f>
        <v/>
      </c>
      <c r="H50" s="4">
        <f>IF(ISNUMBER(E50),ABS(E50),"")</f>
        <v/>
      </c>
    </row>
    <row r="51">
      <c r="A51" s="2" t="n"/>
      <c r="B51" s="2" t="n"/>
      <c r="C51" s="2" t="n"/>
      <c r="D51" s="3" t="n"/>
      <c r="E51" s="4">
        <f>IF(C51="","",IF(AND(ISNUMBER(B51),ISNUMBER(C51)),C51-B51,"Check count"))</f>
        <v/>
      </c>
      <c r="F51" s="5">
        <f>IF(ISNUMBER(E51),IF(ISNUMBER(D51),ROUND(E51*D51,2),"Check cost"),"")</f>
        <v/>
      </c>
      <c r="G51" s="4">
        <f>IF(A51="","",IF(E51="","Not counted",IF(NOT(ISNUMBER(E51)),"Check count",IF(E51=0,"Match",IF(E51&lt;0,"Short","Over")))))</f>
        <v/>
      </c>
      <c r="H51" s="4">
        <f>IF(ISNUMBER(E51),ABS(E51),"")</f>
        <v/>
      </c>
    </row>
    <row r="52">
      <c r="A52" s="2" t="n"/>
      <c r="B52" s="2" t="n"/>
      <c r="C52" s="2" t="n"/>
      <c r="D52" s="3" t="n"/>
      <c r="E52" s="4">
        <f>IF(C52="","",IF(AND(ISNUMBER(B52),ISNUMBER(C52)),C52-B52,"Check count"))</f>
        <v/>
      </c>
      <c r="F52" s="5">
        <f>IF(ISNUMBER(E52),IF(ISNUMBER(D52),ROUND(E52*D52,2),"Check cost"),"")</f>
        <v/>
      </c>
      <c r="G52" s="4">
        <f>IF(A52="","",IF(E52="","Not counted",IF(NOT(ISNUMBER(E52)),"Check count",IF(E52=0,"Match",IF(E52&lt;0,"Short","Over")))))</f>
        <v/>
      </c>
      <c r="H52" s="4">
        <f>IF(ISNUMBER(E52),ABS(E52),"")</f>
        <v/>
      </c>
    </row>
    <row r="53">
      <c r="A53" s="2" t="n"/>
      <c r="B53" s="2" t="n"/>
      <c r="C53" s="2" t="n"/>
      <c r="D53" s="3" t="n"/>
      <c r="E53" s="4">
        <f>IF(C53="","",IF(AND(ISNUMBER(B53),ISNUMBER(C53)),C53-B53,"Check count"))</f>
        <v/>
      </c>
      <c r="F53" s="5">
        <f>IF(ISNUMBER(E53),IF(ISNUMBER(D53),ROUND(E53*D53,2),"Check cost"),"")</f>
        <v/>
      </c>
      <c r="G53" s="4">
        <f>IF(A53="","",IF(E53="","Not counted",IF(NOT(ISNUMBER(E53)),"Check count",IF(E53=0,"Match",IF(E53&lt;0,"Short","Over")))))</f>
        <v/>
      </c>
      <c r="H53" s="4">
        <f>IF(ISNUMBER(E53),ABS(E53),"")</f>
        <v/>
      </c>
    </row>
    <row r="54">
      <c r="A54" s="2" t="n"/>
      <c r="B54" s="2" t="n"/>
      <c r="C54" s="2" t="n"/>
      <c r="D54" s="3" t="n"/>
      <c r="E54" s="4">
        <f>IF(C54="","",IF(AND(ISNUMBER(B54),ISNUMBER(C54)),C54-B54,"Check count"))</f>
        <v/>
      </c>
      <c r="F54" s="5">
        <f>IF(ISNUMBER(E54),IF(ISNUMBER(D54),ROUND(E54*D54,2),"Check cost"),"")</f>
        <v/>
      </c>
      <c r="G54" s="4">
        <f>IF(A54="","",IF(E54="","Not counted",IF(NOT(ISNUMBER(E54)),"Check count",IF(E54=0,"Match",IF(E54&lt;0,"Short","Over")))))</f>
        <v/>
      </c>
      <c r="H54" s="4">
        <f>IF(ISNUMBER(E54),ABS(E54),"")</f>
        <v/>
      </c>
    </row>
    <row r="55">
      <c r="A55" s="2" t="n"/>
      <c r="B55" s="2" t="n"/>
      <c r="C55" s="2" t="n"/>
      <c r="D55" s="3" t="n"/>
      <c r="E55" s="4">
        <f>IF(C55="","",IF(AND(ISNUMBER(B55),ISNUMBER(C55)),C55-B55,"Check count"))</f>
        <v/>
      </c>
      <c r="F55" s="5">
        <f>IF(ISNUMBER(E55),IF(ISNUMBER(D55),ROUND(E55*D55,2),"Check cost"),"")</f>
        <v/>
      </c>
      <c r="G55" s="4">
        <f>IF(A55="","",IF(E55="","Not counted",IF(NOT(ISNUMBER(E55)),"Check count",IF(E55=0,"Match",IF(E55&lt;0,"Short","Over")))))</f>
        <v/>
      </c>
      <c r="H55" s="4">
        <f>IF(ISNUMBER(E55),ABS(E55),"")</f>
        <v/>
      </c>
    </row>
    <row r="56">
      <c r="A56" s="2" t="n"/>
      <c r="B56" s="2" t="n"/>
      <c r="C56" s="2" t="n"/>
      <c r="D56" s="3" t="n"/>
      <c r="E56" s="4">
        <f>IF(C56="","",IF(AND(ISNUMBER(B56),ISNUMBER(C56)),C56-B56,"Check count"))</f>
        <v/>
      </c>
      <c r="F56" s="5">
        <f>IF(ISNUMBER(E56),IF(ISNUMBER(D56),ROUND(E56*D56,2),"Check cost"),"")</f>
        <v/>
      </c>
      <c r="G56" s="4">
        <f>IF(A56="","",IF(E56="","Not counted",IF(NOT(ISNUMBER(E56)),"Check count",IF(E56=0,"Match",IF(E56&lt;0,"Short","Over")))))</f>
        <v/>
      </c>
      <c r="H56" s="4">
        <f>IF(ISNUMBER(E56),ABS(E56),"")</f>
        <v/>
      </c>
    </row>
    <row r="57">
      <c r="A57" s="2" t="n"/>
      <c r="B57" s="2" t="n"/>
      <c r="C57" s="2" t="n"/>
      <c r="D57" s="3" t="n"/>
      <c r="E57" s="4">
        <f>IF(C57="","",IF(AND(ISNUMBER(B57),ISNUMBER(C57)),C57-B57,"Check count"))</f>
        <v/>
      </c>
      <c r="F57" s="5">
        <f>IF(ISNUMBER(E57),IF(ISNUMBER(D57),ROUND(E57*D57,2),"Check cost"),"")</f>
        <v/>
      </c>
      <c r="G57" s="4">
        <f>IF(A57="","",IF(E57="","Not counted",IF(NOT(ISNUMBER(E57)),"Check count",IF(E57=0,"Match",IF(E57&lt;0,"Short","Over")))))</f>
        <v/>
      </c>
      <c r="H57" s="4">
        <f>IF(ISNUMBER(E57),ABS(E57),"")</f>
        <v/>
      </c>
    </row>
    <row r="58">
      <c r="A58" s="2" t="n"/>
      <c r="B58" s="2" t="n"/>
      <c r="C58" s="2" t="n"/>
      <c r="D58" s="3" t="n"/>
      <c r="E58" s="4">
        <f>IF(C58="","",IF(AND(ISNUMBER(B58),ISNUMBER(C58)),C58-B58,"Check count"))</f>
        <v/>
      </c>
      <c r="F58" s="5">
        <f>IF(ISNUMBER(E58),IF(ISNUMBER(D58),ROUND(E58*D58,2),"Check cost"),"")</f>
        <v/>
      </c>
      <c r="G58" s="4">
        <f>IF(A58="","",IF(E58="","Not counted",IF(NOT(ISNUMBER(E58)),"Check count",IF(E58=0,"Match",IF(E58&lt;0,"Short","Over")))))</f>
        <v/>
      </c>
      <c r="H58" s="4">
        <f>IF(ISNUMBER(E58),ABS(E58),"")</f>
        <v/>
      </c>
    </row>
    <row r="59">
      <c r="A59" s="2" t="n"/>
      <c r="B59" s="2" t="n"/>
      <c r="C59" s="2" t="n"/>
      <c r="D59" s="3" t="n"/>
      <c r="E59" s="4">
        <f>IF(C59="","",IF(AND(ISNUMBER(B59),ISNUMBER(C59)),C59-B59,"Check count"))</f>
        <v/>
      </c>
      <c r="F59" s="5">
        <f>IF(ISNUMBER(E59),IF(ISNUMBER(D59),ROUND(E59*D59,2),"Check cost"),"")</f>
        <v/>
      </c>
      <c r="G59" s="4">
        <f>IF(A59="","",IF(E59="","Not counted",IF(NOT(ISNUMBER(E59)),"Check count",IF(E59=0,"Match",IF(E59&lt;0,"Short","Over")))))</f>
        <v/>
      </c>
      <c r="H59" s="4">
        <f>IF(ISNUMBER(E59),ABS(E59),"")</f>
        <v/>
      </c>
    </row>
    <row r="60">
      <c r="A60" s="2" t="n"/>
      <c r="B60" s="2" t="n"/>
      <c r="C60" s="2" t="n"/>
      <c r="D60" s="3" t="n"/>
      <c r="E60" s="4">
        <f>IF(C60="","",IF(AND(ISNUMBER(B60),ISNUMBER(C60)),C60-B60,"Check count"))</f>
        <v/>
      </c>
      <c r="F60" s="5">
        <f>IF(ISNUMBER(E60),IF(ISNUMBER(D60),ROUND(E60*D60,2),"Check cost"),"")</f>
        <v/>
      </c>
      <c r="G60" s="4">
        <f>IF(A60="","",IF(E60="","Not counted",IF(NOT(ISNUMBER(E60)),"Check count",IF(E60=0,"Match",IF(E60&lt;0,"Short","Over")))))</f>
        <v/>
      </c>
      <c r="H60" s="4">
        <f>IF(ISNUMBER(E60),ABS(E60),"")</f>
        <v/>
      </c>
    </row>
    <row r="61">
      <c r="A61" s="2" t="n"/>
      <c r="B61" s="2" t="n"/>
      <c r="C61" s="2" t="n"/>
      <c r="D61" s="3" t="n"/>
      <c r="E61" s="4">
        <f>IF(C61="","",IF(AND(ISNUMBER(B61),ISNUMBER(C61)),C61-B61,"Check count"))</f>
        <v/>
      </c>
      <c r="F61" s="5">
        <f>IF(ISNUMBER(E61),IF(ISNUMBER(D61),ROUND(E61*D61,2),"Check cost"),"")</f>
        <v/>
      </c>
      <c r="G61" s="4">
        <f>IF(A61="","",IF(E61="","Not counted",IF(NOT(ISNUMBER(E61)),"Check count",IF(E61=0,"Match",IF(E61&lt;0,"Short","Over")))))</f>
        <v/>
      </c>
      <c r="H61" s="4">
        <f>IF(ISNUMBER(E61),ABS(E61),"")</f>
        <v/>
      </c>
    </row>
    <row r="62">
      <c r="A62" s="2" t="n"/>
      <c r="B62" s="2" t="n"/>
      <c r="C62" s="2" t="n"/>
      <c r="D62" s="3" t="n"/>
      <c r="E62" s="4">
        <f>IF(C62="","",IF(AND(ISNUMBER(B62),ISNUMBER(C62)),C62-B62,"Check count"))</f>
        <v/>
      </c>
      <c r="F62" s="5">
        <f>IF(ISNUMBER(E62),IF(ISNUMBER(D62),ROUND(E62*D62,2),"Check cost"),"")</f>
        <v/>
      </c>
      <c r="G62" s="4">
        <f>IF(A62="","",IF(E62="","Not counted",IF(NOT(ISNUMBER(E62)),"Check count",IF(E62=0,"Match",IF(E62&lt;0,"Short","Over")))))</f>
        <v/>
      </c>
      <c r="H62" s="4">
        <f>IF(ISNUMBER(E62),ABS(E62),"")</f>
        <v/>
      </c>
    </row>
    <row r="63">
      <c r="A63" s="2" t="n"/>
      <c r="B63" s="2" t="n"/>
      <c r="C63" s="2" t="n"/>
      <c r="D63" s="3" t="n"/>
      <c r="E63" s="4">
        <f>IF(C63="","",IF(AND(ISNUMBER(B63),ISNUMBER(C63)),C63-B63,"Check count"))</f>
        <v/>
      </c>
      <c r="F63" s="5">
        <f>IF(ISNUMBER(E63),IF(ISNUMBER(D63),ROUND(E63*D63,2),"Check cost"),"")</f>
        <v/>
      </c>
      <c r="G63" s="4">
        <f>IF(A63="","",IF(E63="","Not counted",IF(NOT(ISNUMBER(E63)),"Check count",IF(E63=0,"Match",IF(E63&lt;0,"Short","Over")))))</f>
        <v/>
      </c>
      <c r="H63" s="4">
        <f>IF(ISNUMBER(E63),ABS(E63),"")</f>
        <v/>
      </c>
    </row>
    <row r="64">
      <c r="A64" s="2" t="n"/>
      <c r="B64" s="2" t="n"/>
      <c r="C64" s="2" t="n"/>
      <c r="D64" s="3" t="n"/>
      <c r="E64" s="4">
        <f>IF(C64="","",IF(AND(ISNUMBER(B64),ISNUMBER(C64)),C64-B64,"Check count"))</f>
        <v/>
      </c>
      <c r="F64" s="5">
        <f>IF(ISNUMBER(E64),IF(ISNUMBER(D64),ROUND(E64*D64,2),"Check cost"),"")</f>
        <v/>
      </c>
      <c r="G64" s="4">
        <f>IF(A64="","",IF(E64="","Not counted",IF(NOT(ISNUMBER(E64)),"Check count",IF(E64=0,"Match",IF(E64&lt;0,"Short","Over")))))</f>
        <v/>
      </c>
      <c r="H64" s="4">
        <f>IF(ISNUMBER(E64),ABS(E64),"")</f>
        <v/>
      </c>
    </row>
    <row r="65">
      <c r="A65" s="2" t="n"/>
      <c r="B65" s="2" t="n"/>
      <c r="C65" s="2" t="n"/>
      <c r="D65" s="3" t="n"/>
      <c r="E65" s="4">
        <f>IF(C65="","",IF(AND(ISNUMBER(B65),ISNUMBER(C65)),C65-B65,"Check count"))</f>
        <v/>
      </c>
      <c r="F65" s="5">
        <f>IF(ISNUMBER(E65),IF(ISNUMBER(D65),ROUND(E65*D65,2),"Check cost"),"")</f>
        <v/>
      </c>
      <c r="G65" s="4">
        <f>IF(A65="","",IF(E65="","Not counted",IF(NOT(ISNUMBER(E65)),"Check count",IF(E65=0,"Match",IF(E65&lt;0,"Short","Over")))))</f>
        <v/>
      </c>
      <c r="H65" s="4">
        <f>IF(ISNUMBER(E65),ABS(E65),"")</f>
        <v/>
      </c>
    </row>
    <row r="66">
      <c r="A66" s="2" t="n"/>
      <c r="B66" s="2" t="n"/>
      <c r="C66" s="2" t="n"/>
      <c r="D66" s="3" t="n"/>
      <c r="E66" s="4">
        <f>IF(C66="","",IF(AND(ISNUMBER(B66),ISNUMBER(C66)),C66-B66,"Check count"))</f>
        <v/>
      </c>
      <c r="F66" s="5">
        <f>IF(ISNUMBER(E66),IF(ISNUMBER(D66),ROUND(E66*D66,2),"Check cost"),"")</f>
        <v/>
      </c>
      <c r="G66" s="4">
        <f>IF(A66="","",IF(E66="","Not counted",IF(NOT(ISNUMBER(E66)),"Check count",IF(E66=0,"Match",IF(E66&lt;0,"Short","Over")))))</f>
        <v/>
      </c>
      <c r="H66" s="4">
        <f>IF(ISNUMBER(E66),ABS(E66),"")</f>
        <v/>
      </c>
    </row>
    <row r="67">
      <c r="A67" s="2" t="n"/>
      <c r="B67" s="2" t="n"/>
      <c r="C67" s="2" t="n"/>
      <c r="D67" s="3" t="n"/>
      <c r="E67" s="4">
        <f>IF(C67="","",IF(AND(ISNUMBER(B67),ISNUMBER(C67)),C67-B67,"Check count"))</f>
        <v/>
      </c>
      <c r="F67" s="5">
        <f>IF(ISNUMBER(E67),IF(ISNUMBER(D67),ROUND(E67*D67,2),"Check cost"),"")</f>
        <v/>
      </c>
      <c r="G67" s="4">
        <f>IF(A67="","",IF(E67="","Not counted",IF(NOT(ISNUMBER(E67)),"Check count",IF(E67=0,"Match",IF(E67&lt;0,"Short","Over")))))</f>
        <v/>
      </c>
      <c r="H67" s="4">
        <f>IF(ISNUMBER(E67),ABS(E67),"")</f>
        <v/>
      </c>
    </row>
    <row r="68">
      <c r="A68" s="2" t="n"/>
      <c r="B68" s="2" t="n"/>
      <c r="C68" s="2" t="n"/>
      <c r="D68" s="3" t="n"/>
      <c r="E68" s="4">
        <f>IF(C68="","",IF(AND(ISNUMBER(B68),ISNUMBER(C68)),C68-B68,"Check count"))</f>
        <v/>
      </c>
      <c r="F68" s="5">
        <f>IF(ISNUMBER(E68),IF(ISNUMBER(D68),ROUND(E68*D68,2),"Check cost"),"")</f>
        <v/>
      </c>
      <c r="G68" s="4">
        <f>IF(A68="","",IF(E68="","Not counted",IF(NOT(ISNUMBER(E68)),"Check count",IF(E68=0,"Match",IF(E68&lt;0,"Short","Over")))))</f>
        <v/>
      </c>
      <c r="H68" s="4">
        <f>IF(ISNUMBER(E68),ABS(E68),"")</f>
        <v/>
      </c>
    </row>
    <row r="69">
      <c r="A69" s="2" t="n"/>
      <c r="B69" s="2" t="n"/>
      <c r="C69" s="2" t="n"/>
      <c r="D69" s="3" t="n"/>
      <c r="E69" s="4">
        <f>IF(C69="","",IF(AND(ISNUMBER(B69),ISNUMBER(C69)),C69-B69,"Check count"))</f>
        <v/>
      </c>
      <c r="F69" s="5">
        <f>IF(ISNUMBER(E69),IF(ISNUMBER(D69),ROUND(E69*D69,2),"Check cost"),"")</f>
        <v/>
      </c>
      <c r="G69" s="4">
        <f>IF(A69="","",IF(E69="","Not counted",IF(NOT(ISNUMBER(E69)),"Check count",IF(E69=0,"Match",IF(E69&lt;0,"Short","Over")))))</f>
        <v/>
      </c>
      <c r="H69" s="4">
        <f>IF(ISNUMBER(E69),ABS(E69),"")</f>
        <v/>
      </c>
    </row>
    <row r="70">
      <c r="A70" s="2" t="n"/>
      <c r="B70" s="2" t="n"/>
      <c r="C70" s="2" t="n"/>
      <c r="D70" s="3" t="n"/>
      <c r="E70" s="4">
        <f>IF(C70="","",IF(AND(ISNUMBER(B70),ISNUMBER(C70)),C70-B70,"Check count"))</f>
        <v/>
      </c>
      <c r="F70" s="5">
        <f>IF(ISNUMBER(E70),IF(ISNUMBER(D70),ROUND(E70*D70,2),"Check cost"),"")</f>
        <v/>
      </c>
      <c r="G70" s="4">
        <f>IF(A70="","",IF(E70="","Not counted",IF(NOT(ISNUMBER(E70)),"Check count",IF(E70=0,"Match",IF(E70&lt;0,"Short","Over")))))</f>
        <v/>
      </c>
      <c r="H70" s="4">
        <f>IF(ISNUMBER(E70),ABS(E70),"")</f>
        <v/>
      </c>
    </row>
    <row r="71">
      <c r="A71" s="2" t="n"/>
      <c r="B71" s="2" t="n"/>
      <c r="C71" s="2" t="n"/>
      <c r="D71" s="3" t="n"/>
      <c r="E71" s="4">
        <f>IF(C71="","",IF(AND(ISNUMBER(B71),ISNUMBER(C71)),C71-B71,"Check count"))</f>
        <v/>
      </c>
      <c r="F71" s="5">
        <f>IF(ISNUMBER(E71),IF(ISNUMBER(D71),ROUND(E71*D71,2),"Check cost"),"")</f>
        <v/>
      </c>
      <c r="G71" s="4">
        <f>IF(A71="","",IF(E71="","Not counted",IF(NOT(ISNUMBER(E71)),"Check count",IF(E71=0,"Match",IF(E71&lt;0,"Short","Over")))))</f>
        <v/>
      </c>
      <c r="H71" s="4">
        <f>IF(ISNUMBER(E71),ABS(E71),"")</f>
        <v/>
      </c>
    </row>
    <row r="72">
      <c r="A72" s="2" t="n"/>
      <c r="B72" s="2" t="n"/>
      <c r="C72" s="2" t="n"/>
      <c r="D72" s="3" t="n"/>
      <c r="E72" s="4">
        <f>IF(C72="","",IF(AND(ISNUMBER(B72),ISNUMBER(C72)),C72-B72,"Check count"))</f>
        <v/>
      </c>
      <c r="F72" s="5">
        <f>IF(ISNUMBER(E72),IF(ISNUMBER(D72),ROUND(E72*D72,2),"Check cost"),"")</f>
        <v/>
      </c>
      <c r="G72" s="4">
        <f>IF(A72="","",IF(E72="","Not counted",IF(NOT(ISNUMBER(E72)),"Check count",IF(E72=0,"Match",IF(E72&lt;0,"Short","Over")))))</f>
        <v/>
      </c>
      <c r="H72" s="4">
        <f>IF(ISNUMBER(E72),ABS(E72),"")</f>
        <v/>
      </c>
    </row>
    <row r="73">
      <c r="A73" s="2" t="n"/>
      <c r="B73" s="2" t="n"/>
      <c r="C73" s="2" t="n"/>
      <c r="D73" s="3" t="n"/>
      <c r="E73" s="4">
        <f>IF(C73="","",IF(AND(ISNUMBER(B73),ISNUMBER(C73)),C73-B73,"Check count"))</f>
        <v/>
      </c>
      <c r="F73" s="5">
        <f>IF(ISNUMBER(E73),IF(ISNUMBER(D73),ROUND(E73*D73,2),"Check cost"),"")</f>
        <v/>
      </c>
      <c r="G73" s="4">
        <f>IF(A73="","",IF(E73="","Not counted",IF(NOT(ISNUMBER(E73)),"Check count",IF(E73=0,"Match",IF(E73&lt;0,"Short","Over")))))</f>
        <v/>
      </c>
      <c r="H73" s="4">
        <f>IF(ISNUMBER(E73),ABS(E73),"")</f>
        <v/>
      </c>
    </row>
    <row r="74">
      <c r="A74" s="2" t="n"/>
      <c r="B74" s="2" t="n"/>
      <c r="C74" s="2" t="n"/>
      <c r="D74" s="3" t="n"/>
      <c r="E74" s="4">
        <f>IF(C74="","",IF(AND(ISNUMBER(B74),ISNUMBER(C74)),C74-B74,"Check count"))</f>
        <v/>
      </c>
      <c r="F74" s="5">
        <f>IF(ISNUMBER(E74),IF(ISNUMBER(D74),ROUND(E74*D74,2),"Check cost"),"")</f>
        <v/>
      </c>
      <c r="G74" s="4">
        <f>IF(A74="","",IF(E74="","Not counted",IF(NOT(ISNUMBER(E74)),"Check count",IF(E74=0,"Match",IF(E74&lt;0,"Short","Over")))))</f>
        <v/>
      </c>
      <c r="H74" s="4">
        <f>IF(ISNUMBER(E74),ABS(E74),"")</f>
        <v/>
      </c>
    </row>
    <row r="75">
      <c r="A75" s="2" t="n"/>
      <c r="B75" s="2" t="n"/>
      <c r="C75" s="2" t="n"/>
      <c r="D75" s="3" t="n"/>
      <c r="E75" s="4">
        <f>IF(C75="","",IF(AND(ISNUMBER(B75),ISNUMBER(C75)),C75-B75,"Check count"))</f>
        <v/>
      </c>
      <c r="F75" s="5">
        <f>IF(ISNUMBER(E75),IF(ISNUMBER(D75),ROUND(E75*D75,2),"Check cost"),"")</f>
        <v/>
      </c>
      <c r="G75" s="4">
        <f>IF(A75="","",IF(E75="","Not counted",IF(NOT(ISNUMBER(E75)),"Check count",IF(E75=0,"Match",IF(E75&lt;0,"Short","Over")))))</f>
        <v/>
      </c>
      <c r="H75" s="4">
        <f>IF(ISNUMBER(E75),ABS(E75),"")</f>
        <v/>
      </c>
    </row>
    <row r="76">
      <c r="A76" s="2" t="n"/>
      <c r="B76" s="2" t="n"/>
      <c r="C76" s="2" t="n"/>
      <c r="D76" s="3" t="n"/>
      <c r="E76" s="4">
        <f>IF(C76="","",IF(AND(ISNUMBER(B76),ISNUMBER(C76)),C76-B76,"Check count"))</f>
        <v/>
      </c>
      <c r="F76" s="5">
        <f>IF(ISNUMBER(E76),IF(ISNUMBER(D76),ROUND(E76*D76,2),"Check cost"),"")</f>
        <v/>
      </c>
      <c r="G76" s="4">
        <f>IF(A76="","",IF(E76="","Not counted",IF(NOT(ISNUMBER(E76)),"Check count",IF(E76=0,"Match",IF(E76&lt;0,"Short","Over")))))</f>
        <v/>
      </c>
      <c r="H76" s="4">
        <f>IF(ISNUMBER(E76),ABS(E76),"")</f>
        <v/>
      </c>
    </row>
    <row r="77">
      <c r="A77" s="2" t="n"/>
      <c r="B77" s="2" t="n"/>
      <c r="C77" s="2" t="n"/>
      <c r="D77" s="3" t="n"/>
      <c r="E77" s="4">
        <f>IF(C77="","",IF(AND(ISNUMBER(B77),ISNUMBER(C77)),C77-B77,"Check count"))</f>
        <v/>
      </c>
      <c r="F77" s="5">
        <f>IF(ISNUMBER(E77),IF(ISNUMBER(D77),ROUND(E77*D77,2),"Check cost"),"")</f>
        <v/>
      </c>
      <c r="G77" s="4">
        <f>IF(A77="","",IF(E77="","Not counted",IF(NOT(ISNUMBER(E77)),"Check count",IF(E77=0,"Match",IF(E77&lt;0,"Short","Over")))))</f>
        <v/>
      </c>
      <c r="H77" s="4">
        <f>IF(ISNUMBER(E77),ABS(E77),"")</f>
        <v/>
      </c>
    </row>
    <row r="78">
      <c r="A78" s="2" t="n"/>
      <c r="B78" s="2" t="n"/>
      <c r="C78" s="2" t="n"/>
      <c r="D78" s="3" t="n"/>
      <c r="E78" s="4">
        <f>IF(C78="","",IF(AND(ISNUMBER(B78),ISNUMBER(C78)),C78-B78,"Check count"))</f>
        <v/>
      </c>
      <c r="F78" s="5">
        <f>IF(ISNUMBER(E78),IF(ISNUMBER(D78),ROUND(E78*D78,2),"Check cost"),"")</f>
        <v/>
      </c>
      <c r="G78" s="4">
        <f>IF(A78="","",IF(E78="","Not counted",IF(NOT(ISNUMBER(E78)),"Check count",IF(E78=0,"Match",IF(E78&lt;0,"Short","Over")))))</f>
        <v/>
      </c>
      <c r="H78" s="4">
        <f>IF(ISNUMBER(E78),ABS(E78),"")</f>
        <v/>
      </c>
    </row>
    <row r="79">
      <c r="A79" s="2" t="n"/>
      <c r="B79" s="2" t="n"/>
      <c r="C79" s="2" t="n"/>
      <c r="D79" s="3" t="n"/>
      <c r="E79" s="4">
        <f>IF(C79="","",IF(AND(ISNUMBER(B79),ISNUMBER(C79)),C79-B79,"Check count"))</f>
        <v/>
      </c>
      <c r="F79" s="5">
        <f>IF(ISNUMBER(E79),IF(ISNUMBER(D79),ROUND(E79*D79,2),"Check cost"),"")</f>
        <v/>
      </c>
      <c r="G79" s="4">
        <f>IF(A79="","",IF(E79="","Not counted",IF(NOT(ISNUMBER(E79)),"Check count",IF(E79=0,"Match",IF(E79&lt;0,"Short","Over")))))</f>
        <v/>
      </c>
      <c r="H79" s="4">
        <f>IF(ISNUMBER(E79),ABS(E79),"")</f>
        <v/>
      </c>
    </row>
    <row r="80">
      <c r="A80" s="2" t="n"/>
      <c r="B80" s="2" t="n"/>
      <c r="C80" s="2" t="n"/>
      <c r="D80" s="3" t="n"/>
      <c r="E80" s="4">
        <f>IF(C80="","",IF(AND(ISNUMBER(B80),ISNUMBER(C80)),C80-B80,"Check count"))</f>
        <v/>
      </c>
      <c r="F80" s="5">
        <f>IF(ISNUMBER(E80),IF(ISNUMBER(D80),ROUND(E80*D80,2),"Check cost"),"")</f>
        <v/>
      </c>
      <c r="G80" s="4">
        <f>IF(A80="","",IF(E80="","Not counted",IF(NOT(ISNUMBER(E80)),"Check count",IF(E80=0,"Match",IF(E80&lt;0,"Short","Over")))))</f>
        <v/>
      </c>
      <c r="H80" s="4">
        <f>IF(ISNUMBER(E80),ABS(E80),"")</f>
        <v/>
      </c>
    </row>
    <row r="81">
      <c r="A81" s="2" t="n"/>
      <c r="B81" s="2" t="n"/>
      <c r="C81" s="2" t="n"/>
      <c r="D81" s="3" t="n"/>
      <c r="E81" s="4">
        <f>IF(C81="","",IF(AND(ISNUMBER(B81),ISNUMBER(C81)),C81-B81,"Check count"))</f>
        <v/>
      </c>
      <c r="F81" s="5">
        <f>IF(ISNUMBER(E81),IF(ISNUMBER(D81),ROUND(E81*D81,2),"Check cost"),"")</f>
        <v/>
      </c>
      <c r="G81" s="4">
        <f>IF(A81="","",IF(E81="","Not counted",IF(NOT(ISNUMBER(E81)),"Check count",IF(E81=0,"Match",IF(E81&lt;0,"Short","Over")))))</f>
        <v/>
      </c>
      <c r="H81" s="4">
        <f>IF(ISNUMBER(E81),ABS(E81),"")</f>
        <v/>
      </c>
    </row>
    <row r="82">
      <c r="A82" s="2" t="n"/>
      <c r="B82" s="2" t="n"/>
      <c r="C82" s="2" t="n"/>
      <c r="D82" s="3" t="n"/>
      <c r="E82" s="4">
        <f>IF(C82="","",IF(AND(ISNUMBER(B82),ISNUMBER(C82)),C82-B82,"Check count"))</f>
        <v/>
      </c>
      <c r="F82" s="5">
        <f>IF(ISNUMBER(E82),IF(ISNUMBER(D82),ROUND(E82*D82,2),"Check cost"),"")</f>
        <v/>
      </c>
      <c r="G82" s="4">
        <f>IF(A82="","",IF(E82="","Not counted",IF(NOT(ISNUMBER(E82)),"Check count",IF(E82=0,"Match",IF(E82&lt;0,"Short","Over")))))</f>
        <v/>
      </c>
      <c r="H82" s="4">
        <f>IF(ISNUMBER(E82),ABS(E82),"")</f>
        <v/>
      </c>
    </row>
    <row r="83">
      <c r="A83" s="2" t="n"/>
      <c r="B83" s="2" t="n"/>
      <c r="C83" s="2" t="n"/>
      <c r="D83" s="3" t="n"/>
      <c r="E83" s="4">
        <f>IF(C83="","",IF(AND(ISNUMBER(B83),ISNUMBER(C83)),C83-B83,"Check count"))</f>
        <v/>
      </c>
      <c r="F83" s="5">
        <f>IF(ISNUMBER(E83),IF(ISNUMBER(D83),ROUND(E83*D83,2),"Check cost"),"")</f>
        <v/>
      </c>
      <c r="G83" s="4">
        <f>IF(A83="","",IF(E83="","Not counted",IF(NOT(ISNUMBER(E83)),"Check count",IF(E83=0,"Match",IF(E83&lt;0,"Short","Over")))))</f>
        <v/>
      </c>
      <c r="H83" s="4">
        <f>IF(ISNUMBER(E83),ABS(E83),"")</f>
        <v/>
      </c>
    </row>
    <row r="84">
      <c r="A84" s="2" t="n"/>
      <c r="B84" s="2" t="n"/>
      <c r="C84" s="2" t="n"/>
      <c r="D84" s="3" t="n"/>
      <c r="E84" s="4">
        <f>IF(C84="","",IF(AND(ISNUMBER(B84),ISNUMBER(C84)),C84-B84,"Check count"))</f>
        <v/>
      </c>
      <c r="F84" s="5">
        <f>IF(ISNUMBER(E84),IF(ISNUMBER(D84),ROUND(E84*D84,2),"Check cost"),"")</f>
        <v/>
      </c>
      <c r="G84" s="4">
        <f>IF(A84="","",IF(E84="","Not counted",IF(NOT(ISNUMBER(E84)),"Check count",IF(E84=0,"Match",IF(E84&lt;0,"Short","Over")))))</f>
        <v/>
      </c>
      <c r="H84" s="4">
        <f>IF(ISNUMBER(E84),ABS(E84),"")</f>
        <v/>
      </c>
    </row>
    <row r="85">
      <c r="A85" s="2" t="n"/>
      <c r="B85" s="2" t="n"/>
      <c r="C85" s="2" t="n"/>
      <c r="D85" s="3" t="n"/>
      <c r="E85" s="4">
        <f>IF(C85="","",IF(AND(ISNUMBER(B85),ISNUMBER(C85)),C85-B85,"Check count"))</f>
        <v/>
      </c>
      <c r="F85" s="5">
        <f>IF(ISNUMBER(E85),IF(ISNUMBER(D85),ROUND(E85*D85,2),"Check cost"),"")</f>
        <v/>
      </c>
      <c r="G85" s="4">
        <f>IF(A85="","",IF(E85="","Not counted",IF(NOT(ISNUMBER(E85)),"Check count",IF(E85=0,"Match",IF(E85&lt;0,"Short","Over")))))</f>
        <v/>
      </c>
      <c r="H85" s="4">
        <f>IF(ISNUMBER(E85),ABS(E85),"")</f>
        <v/>
      </c>
    </row>
    <row r="86">
      <c r="A86" s="2" t="n"/>
      <c r="B86" s="2" t="n"/>
      <c r="C86" s="2" t="n"/>
      <c r="D86" s="3" t="n"/>
      <c r="E86" s="4">
        <f>IF(C86="","",IF(AND(ISNUMBER(B86),ISNUMBER(C86)),C86-B86,"Check count"))</f>
        <v/>
      </c>
      <c r="F86" s="5">
        <f>IF(ISNUMBER(E86),IF(ISNUMBER(D86),ROUND(E86*D86,2),"Check cost"),"")</f>
        <v/>
      </c>
      <c r="G86" s="4">
        <f>IF(A86="","",IF(E86="","Not counted",IF(NOT(ISNUMBER(E86)),"Check count",IF(E86=0,"Match",IF(E86&lt;0,"Short","Over")))))</f>
        <v/>
      </c>
      <c r="H86" s="4">
        <f>IF(ISNUMBER(E86),ABS(E86),"")</f>
        <v/>
      </c>
    </row>
    <row r="87">
      <c r="A87" s="2" t="n"/>
      <c r="B87" s="2" t="n"/>
      <c r="C87" s="2" t="n"/>
      <c r="D87" s="3" t="n"/>
      <c r="E87" s="4">
        <f>IF(C87="","",IF(AND(ISNUMBER(B87),ISNUMBER(C87)),C87-B87,"Check count"))</f>
        <v/>
      </c>
      <c r="F87" s="5">
        <f>IF(ISNUMBER(E87),IF(ISNUMBER(D87),ROUND(E87*D87,2),"Check cost"),"")</f>
        <v/>
      </c>
      <c r="G87" s="4">
        <f>IF(A87="","",IF(E87="","Not counted",IF(NOT(ISNUMBER(E87)),"Check count",IF(E87=0,"Match",IF(E87&lt;0,"Short","Over")))))</f>
        <v/>
      </c>
      <c r="H87" s="4">
        <f>IF(ISNUMBER(E87),ABS(E87),"")</f>
        <v/>
      </c>
    </row>
    <row r="88">
      <c r="A88" s="2" t="n"/>
      <c r="B88" s="2" t="n"/>
      <c r="C88" s="2" t="n"/>
      <c r="D88" s="3" t="n"/>
      <c r="E88" s="4">
        <f>IF(C88="","",IF(AND(ISNUMBER(B88),ISNUMBER(C88)),C88-B88,"Check count"))</f>
        <v/>
      </c>
      <c r="F88" s="5">
        <f>IF(ISNUMBER(E88),IF(ISNUMBER(D88),ROUND(E88*D88,2),"Check cost"),"")</f>
        <v/>
      </c>
      <c r="G88" s="4">
        <f>IF(A88="","",IF(E88="","Not counted",IF(NOT(ISNUMBER(E88)),"Check count",IF(E88=0,"Match",IF(E88&lt;0,"Short","Over")))))</f>
        <v/>
      </c>
      <c r="H88" s="4">
        <f>IF(ISNUMBER(E88),ABS(E88),"")</f>
        <v/>
      </c>
    </row>
    <row r="89">
      <c r="A89" s="2" t="n"/>
      <c r="B89" s="2" t="n"/>
      <c r="C89" s="2" t="n"/>
      <c r="D89" s="3" t="n"/>
      <c r="E89" s="4">
        <f>IF(C89="","",IF(AND(ISNUMBER(B89),ISNUMBER(C89)),C89-B89,"Check count"))</f>
        <v/>
      </c>
      <c r="F89" s="5">
        <f>IF(ISNUMBER(E89),IF(ISNUMBER(D89),ROUND(E89*D89,2),"Check cost"),"")</f>
        <v/>
      </c>
      <c r="G89" s="4">
        <f>IF(A89="","",IF(E89="","Not counted",IF(NOT(ISNUMBER(E89)),"Check count",IF(E89=0,"Match",IF(E89&lt;0,"Short","Over")))))</f>
        <v/>
      </c>
      <c r="H89" s="4">
        <f>IF(ISNUMBER(E89),ABS(E89),"")</f>
        <v/>
      </c>
    </row>
    <row r="90">
      <c r="A90" s="2" t="n"/>
      <c r="B90" s="2" t="n"/>
      <c r="C90" s="2" t="n"/>
      <c r="D90" s="3" t="n"/>
      <c r="E90" s="4">
        <f>IF(C90="","",IF(AND(ISNUMBER(B90),ISNUMBER(C90)),C90-B90,"Check count"))</f>
        <v/>
      </c>
      <c r="F90" s="5">
        <f>IF(ISNUMBER(E90),IF(ISNUMBER(D90),ROUND(E90*D90,2),"Check cost"),"")</f>
        <v/>
      </c>
      <c r="G90" s="4">
        <f>IF(A90="","",IF(E90="","Not counted",IF(NOT(ISNUMBER(E90)),"Check count",IF(E90=0,"Match",IF(E90&lt;0,"Short","Over")))))</f>
        <v/>
      </c>
      <c r="H90" s="4">
        <f>IF(ISNUMBER(E90),ABS(E90),"")</f>
        <v/>
      </c>
    </row>
    <row r="91">
      <c r="A91" s="2" t="n"/>
      <c r="B91" s="2" t="n"/>
      <c r="C91" s="2" t="n"/>
      <c r="D91" s="3" t="n"/>
      <c r="E91" s="4">
        <f>IF(C91="","",IF(AND(ISNUMBER(B91),ISNUMBER(C91)),C91-B91,"Check count"))</f>
        <v/>
      </c>
      <c r="F91" s="5">
        <f>IF(ISNUMBER(E91),IF(ISNUMBER(D91),ROUND(E91*D91,2),"Check cost"),"")</f>
        <v/>
      </c>
      <c r="G91" s="4">
        <f>IF(A91="","",IF(E91="","Not counted",IF(NOT(ISNUMBER(E91)),"Check count",IF(E91=0,"Match",IF(E91&lt;0,"Short","Over")))))</f>
        <v/>
      </c>
      <c r="H91" s="4">
        <f>IF(ISNUMBER(E91),ABS(E91),"")</f>
        <v/>
      </c>
    </row>
    <row r="92">
      <c r="A92" s="2" t="n"/>
      <c r="B92" s="2" t="n"/>
      <c r="C92" s="2" t="n"/>
      <c r="D92" s="3" t="n"/>
      <c r="E92" s="4">
        <f>IF(C92="","",IF(AND(ISNUMBER(B92),ISNUMBER(C92)),C92-B92,"Check count"))</f>
        <v/>
      </c>
      <c r="F92" s="5">
        <f>IF(ISNUMBER(E92),IF(ISNUMBER(D92),ROUND(E92*D92,2),"Check cost"),"")</f>
        <v/>
      </c>
      <c r="G92" s="4">
        <f>IF(A92="","",IF(E92="","Not counted",IF(NOT(ISNUMBER(E92)),"Check count",IF(E92=0,"Match",IF(E92&lt;0,"Short","Over")))))</f>
        <v/>
      </c>
      <c r="H92" s="4">
        <f>IF(ISNUMBER(E92),ABS(E92),"")</f>
        <v/>
      </c>
    </row>
    <row r="93">
      <c r="A93" s="2" t="n"/>
      <c r="B93" s="2" t="n"/>
      <c r="C93" s="2" t="n"/>
      <c r="D93" s="3" t="n"/>
      <c r="E93" s="4">
        <f>IF(C93="","",IF(AND(ISNUMBER(B93),ISNUMBER(C93)),C93-B93,"Check count"))</f>
        <v/>
      </c>
      <c r="F93" s="5">
        <f>IF(ISNUMBER(E93),IF(ISNUMBER(D93),ROUND(E93*D93,2),"Check cost"),"")</f>
        <v/>
      </c>
      <c r="G93" s="4">
        <f>IF(A93="","",IF(E93="","Not counted",IF(NOT(ISNUMBER(E93)),"Check count",IF(E93=0,"Match",IF(E93&lt;0,"Short","Over")))))</f>
        <v/>
      </c>
      <c r="H93" s="4">
        <f>IF(ISNUMBER(E93),ABS(E93),"")</f>
        <v/>
      </c>
    </row>
    <row r="94">
      <c r="A94" s="2" t="n"/>
      <c r="B94" s="2" t="n"/>
      <c r="C94" s="2" t="n"/>
      <c r="D94" s="3" t="n"/>
      <c r="E94" s="4">
        <f>IF(C94="","",IF(AND(ISNUMBER(B94),ISNUMBER(C94)),C94-B94,"Check count"))</f>
        <v/>
      </c>
      <c r="F94" s="5">
        <f>IF(ISNUMBER(E94),IF(ISNUMBER(D94),ROUND(E94*D94,2),"Check cost"),"")</f>
        <v/>
      </c>
      <c r="G94" s="4">
        <f>IF(A94="","",IF(E94="","Not counted",IF(NOT(ISNUMBER(E94)),"Check count",IF(E94=0,"Match",IF(E94&lt;0,"Short","Over")))))</f>
        <v/>
      </c>
      <c r="H94" s="4">
        <f>IF(ISNUMBER(E94),ABS(E94),"")</f>
        <v/>
      </c>
    </row>
    <row r="95">
      <c r="A95" s="2" t="n"/>
      <c r="B95" s="2" t="n"/>
      <c r="C95" s="2" t="n"/>
      <c r="D95" s="3" t="n"/>
      <c r="E95" s="4">
        <f>IF(C95="","",IF(AND(ISNUMBER(B95),ISNUMBER(C95)),C95-B95,"Check count"))</f>
        <v/>
      </c>
      <c r="F95" s="5">
        <f>IF(ISNUMBER(E95),IF(ISNUMBER(D95),ROUND(E95*D95,2),"Check cost"),"")</f>
        <v/>
      </c>
      <c r="G95" s="4">
        <f>IF(A95="","",IF(E95="","Not counted",IF(NOT(ISNUMBER(E95)),"Check count",IF(E95=0,"Match",IF(E95&lt;0,"Short","Over")))))</f>
        <v/>
      </c>
      <c r="H95" s="4">
        <f>IF(ISNUMBER(E95),ABS(E95),"")</f>
        <v/>
      </c>
    </row>
    <row r="96">
      <c r="A96" s="2" t="n"/>
      <c r="B96" s="2" t="n"/>
      <c r="C96" s="2" t="n"/>
      <c r="D96" s="3" t="n"/>
      <c r="E96" s="4">
        <f>IF(C96="","",IF(AND(ISNUMBER(B96),ISNUMBER(C96)),C96-B96,"Check count"))</f>
        <v/>
      </c>
      <c r="F96" s="5">
        <f>IF(ISNUMBER(E96),IF(ISNUMBER(D96),ROUND(E96*D96,2),"Check cost"),"")</f>
        <v/>
      </c>
      <c r="G96" s="4">
        <f>IF(A96="","",IF(E96="","Not counted",IF(NOT(ISNUMBER(E96)),"Check count",IF(E96=0,"Match",IF(E96&lt;0,"Short","Over")))))</f>
        <v/>
      </c>
      <c r="H96" s="4">
        <f>IF(ISNUMBER(E96),ABS(E96),"")</f>
        <v/>
      </c>
    </row>
    <row r="97">
      <c r="A97" s="2" t="n"/>
      <c r="B97" s="2" t="n"/>
      <c r="C97" s="2" t="n"/>
      <c r="D97" s="3" t="n"/>
      <c r="E97" s="4">
        <f>IF(C97="","",IF(AND(ISNUMBER(B97),ISNUMBER(C97)),C97-B97,"Check count"))</f>
        <v/>
      </c>
      <c r="F97" s="5">
        <f>IF(ISNUMBER(E97),IF(ISNUMBER(D97),ROUND(E97*D97,2),"Check cost"),"")</f>
        <v/>
      </c>
      <c r="G97" s="4">
        <f>IF(A97="","",IF(E97="","Not counted",IF(NOT(ISNUMBER(E97)),"Check count",IF(E97=0,"Match",IF(E97&lt;0,"Short","Over")))))</f>
        <v/>
      </c>
      <c r="H97" s="4">
        <f>IF(ISNUMBER(E97),ABS(E97),"")</f>
        <v/>
      </c>
    </row>
    <row r="98">
      <c r="A98" s="2" t="n"/>
      <c r="B98" s="2" t="n"/>
      <c r="C98" s="2" t="n"/>
      <c r="D98" s="3" t="n"/>
      <c r="E98" s="4">
        <f>IF(C98="","",IF(AND(ISNUMBER(B98),ISNUMBER(C98)),C98-B98,"Check count"))</f>
        <v/>
      </c>
      <c r="F98" s="5">
        <f>IF(ISNUMBER(E98),IF(ISNUMBER(D98),ROUND(E98*D98,2),"Check cost"),"")</f>
        <v/>
      </c>
      <c r="G98" s="4">
        <f>IF(A98="","",IF(E98="","Not counted",IF(NOT(ISNUMBER(E98)),"Check count",IF(E98=0,"Match",IF(E98&lt;0,"Short","Over")))))</f>
        <v/>
      </c>
      <c r="H98" s="4">
        <f>IF(ISNUMBER(E98),ABS(E98),"")</f>
        <v/>
      </c>
    </row>
    <row r="99">
      <c r="A99" s="2" t="n"/>
      <c r="B99" s="2" t="n"/>
      <c r="C99" s="2" t="n"/>
      <c r="D99" s="3" t="n"/>
      <c r="E99" s="4">
        <f>IF(C99="","",IF(AND(ISNUMBER(B99),ISNUMBER(C99)),C99-B99,"Check count"))</f>
        <v/>
      </c>
      <c r="F99" s="5">
        <f>IF(ISNUMBER(E99),IF(ISNUMBER(D99),ROUND(E99*D99,2),"Check cost"),"")</f>
        <v/>
      </c>
      <c r="G99" s="4">
        <f>IF(A99="","",IF(E99="","Not counted",IF(NOT(ISNUMBER(E99)),"Check count",IF(E99=0,"Match",IF(E99&lt;0,"Short","Over")))))</f>
        <v/>
      </c>
      <c r="H99" s="4">
        <f>IF(ISNUMBER(E99),ABS(E99),"")</f>
        <v/>
      </c>
    </row>
    <row r="100">
      <c r="A100" s="2" t="n"/>
      <c r="B100" s="2" t="n"/>
      <c r="C100" s="2" t="n"/>
      <c r="D100" s="3" t="n"/>
      <c r="E100" s="4">
        <f>IF(C100="","",IF(AND(ISNUMBER(B100),ISNUMBER(C100)),C100-B100,"Check count"))</f>
        <v/>
      </c>
      <c r="F100" s="5">
        <f>IF(ISNUMBER(E100),IF(ISNUMBER(D100),ROUND(E100*D100,2),"Check cost"),"")</f>
        <v/>
      </c>
      <c r="G100" s="4">
        <f>IF(A100="","",IF(E100="","Not counted",IF(NOT(ISNUMBER(E100)),"Check count",IF(E100=0,"Match",IF(E100&lt;0,"Short","Over")))))</f>
        <v/>
      </c>
      <c r="H100" s="4">
        <f>IF(ISNUMBER(E100),ABS(E100),"")</f>
        <v/>
      </c>
    </row>
  </sheetData>
  <conditionalFormatting sqref="A2:H100">
    <cfRule type="expression" priority="1" dxfId="0">
      <formula>$G2="Short"</formula>
    </cfRule>
    <cfRule type="expression" priority="2" dxfId="1">
      <formula>$G2="Match"</formula>
    </cfRule>
    <cfRule type="expression" priority="3" dxfId="2">
      <formula>$G2="Over"</formula>
    </cfRule>
  </conditionalFormatting>
  <conditionalFormatting sqref="K9">
    <cfRule type="expression" priority="4" dxfId="0">
      <formula>AND(K9&lt;&gt;"OK",K9&lt;&gt;"")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Physical Inventory Count vs Expected Stock</t>
        </is>
      </c>
    </row>
    <row r="2">
      <c r="A2" s="9" t="inlineStr"/>
    </row>
    <row r="3">
      <c r="A3" s="9" t="inlineStr">
        <is>
          <t>1. Count tab: type the item (A), the expected quantity from your records (B), the unit cost (D) and, after you count the shelf, the counted quantity (C). All yellow. Rows 2 to 100 are read. The sample is 14 fictional gift shop items; the last one is not counted yet.</t>
        </is>
      </c>
    </row>
    <row r="4">
      <c r="A4" s="9" t="inlineStr">
        <is>
          <t>2. Difference, E2: =IF(C2="","",C2-B2), with a test that B2 and C2 are numbers (otherwise Check count). A negative result means the item is short, a positive result means it is over. A blank counted cell stays blank. It is not treated as 0, so type 0 if you counted none on the shelf.</t>
        </is>
      </c>
    </row>
    <row r="5">
      <c r="A5" s="9" t="inlineStr">
        <is>
          <t>3. Value of difference, F2: =ROUND(E2*D2,2). The difference times the unit cost, to the cent. Blank when E is blank.</t>
        </is>
      </c>
    </row>
    <row r="6">
      <c r="A6" s="9" t="inlineStr">
        <is>
          <t>4. Status, G2: Not counted when C is blank, Match when the difference is 0, Short when below 0, Over when above 0. Short rows turn red, Match rows green, Over rows blue.</t>
        </is>
      </c>
    </row>
    <row r="7">
      <c r="A7" s="9" t="inlineStr">
        <is>
          <t>5. Units off, H2: =ABS(E2), the size of the difference without its sign. The summary adds them (K5). A helper column is used instead of SUMPRODUCT(ABS()) so blank cells cannot cause an error.</t>
        </is>
      </c>
    </row>
    <row r="8">
      <c r="A8" s="9" t="inlineStr">
        <is>
          <t>6. Summary in J2:K9. Items off, K4: =COUNTIF(E2:E100,"&gt;0")+COUNTIF(E2:E100,"&lt;0"). It does not count blank cells. Net value K6 adds all values. Value of shortages K7 adds the negative ones: =SUMIF(F2:F100,"&lt;0").</t>
        </is>
      </c>
    </row>
    <row r="9">
      <c r="A9" s="9" t="inlineStr">
        <is>
          <t>7. K9 shows OK when every quantity and cost is a number, none is below 0, every item row has an expected quantity and a unit cost, and no numbers sit in a row with no item name.</t>
        </is>
      </c>
    </row>
    <row r="10">
      <c r="A10" s="9" t="inlineStr">
        <is>
          <t>8. Arithmetic only. This sheet does not say what to do about a shortage and gives no accounting or tax treatment.</t>
        </is>
      </c>
    </row>
    <row r="11">
      <c r="A11" s="9" t="inlineStr"/>
    </row>
    <row r="12">
      <c r="A12" s="9" t="inlineStr">
        <is>
          <t>Items and costs are fictional. Checked in LibreOffice Calc only; not opened in Excel or Google Sheets.</t>
        </is>
      </c>
    </row>
    <row r="13">
      <c r="A13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2026-10-23T07:41:03Z</dcterms:created>
  <dcterms:modified xmlns:dcterms="http://purl.org/dc/terms/" xmlns:xsi="http://www.w3.org/2001/XMLSchema-instance" xsi:type="dcterms:W3CDTF">2026-10-23T07:41:03Z</dcterms:modified>
</cp:coreProperties>
</file>