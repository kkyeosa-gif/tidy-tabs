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 date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'Due dates'!$1:$1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7" customWidth="1" min="4" max="4"/>
    <col width="14" customWidth="1" min="5" max="5"/>
    <col width="13" customWidth="1" min="6" max="6"/>
    <col width="14" customWidth="1" min="7" max="7"/>
    <col width="12" customWidth="1" min="8" max="8"/>
    <col width="4" customWidth="1" min="9" max="9"/>
    <col width="20" customWidth="1" min="10" max="10"/>
    <col width="12" customWidth="1" min="11" max="11"/>
  </cols>
  <sheetData>
    <row r="1" ht="30" customHeight="1">
      <c r="A1" s="1" t="inlineStr">
        <is>
          <t>Invoice</t>
        </is>
      </c>
      <c r="B1" s="1" t="inlineStr">
        <is>
          <t>Client</t>
        </is>
      </c>
      <c r="C1" s="1" t="inlineStr">
        <is>
          <t>Invoice date</t>
        </is>
      </c>
      <c r="D1" s="1" t="inlineStr">
        <is>
          <t>Terms</t>
        </is>
      </c>
      <c r="E1" s="1" t="inlineStr">
        <is>
          <t>Days</t>
        </is>
      </c>
      <c r="F1" s="1" t="inlineStr">
        <is>
          <t>Due date</t>
        </is>
      </c>
      <c r="G1" s="1" t="inlineStr">
        <is>
          <t>Days until due</t>
        </is>
      </c>
      <c r="H1" s="1" t="inlineStr">
        <is>
          <t>Status</t>
        </is>
      </c>
      <c r="J1" s="2" t="inlineStr">
        <is>
          <t>Terms</t>
        </is>
      </c>
      <c r="K1" s="2" t="inlineStr">
        <is>
          <t>Days</t>
        </is>
      </c>
    </row>
    <row r="2">
      <c r="A2" t="inlineStr">
        <is>
          <t>INV-1001</t>
        </is>
      </c>
      <c r="B2" t="inlineStr">
        <is>
          <t>Maple Street Bakery</t>
        </is>
      </c>
      <c r="C2" s="3" t="n">
        <v>46266</v>
      </c>
      <c r="D2" t="inlineStr">
        <is>
          <t>Net 30</t>
        </is>
      </c>
      <c r="E2" s="4">
        <f>IF(D2="","",IFERROR(VLOOKUP(D2,$J$2:$K$6,2,FALSE),"Check terms"))</f>
        <v/>
      </c>
      <c r="F2" s="5">
        <f>IF(OR(C2="",NOT(ISNUMBER(E2))),"",C2+E2)</f>
        <v/>
      </c>
      <c r="G2" s="4">
        <f>IF(F2="","",F2-$K$8)</f>
        <v/>
      </c>
      <c r="H2" s="4">
        <f>IF(G2="","",IF(G2&lt;0,"Past due",IF(G2=0,"Due today","Open")))</f>
        <v/>
      </c>
      <c r="J2" s="6" t="inlineStr">
        <is>
          <t>Due on receipt</t>
        </is>
      </c>
      <c r="K2" s="6" t="n">
        <v>0</v>
      </c>
    </row>
    <row r="3">
      <c r="A3" t="inlineStr">
        <is>
          <t>INV-1002</t>
        </is>
      </c>
      <c r="B3" t="inlineStr">
        <is>
          <t>Harbor Yoga Studio</t>
        </is>
      </c>
      <c r="C3" s="3" t="n">
        <v>46280</v>
      </c>
      <c r="D3" t="inlineStr">
        <is>
          <t>Net 15</t>
        </is>
      </c>
      <c r="E3" s="4">
        <f>IF(D3="","",IFERROR(VLOOKUP(D3,$J$2:$K$6,2,FALSE),"Check terms"))</f>
        <v/>
      </c>
      <c r="F3" s="5">
        <f>IF(OR(C3="",NOT(ISNUMBER(E3))),"",C3+E3)</f>
        <v/>
      </c>
      <c r="G3" s="4">
        <f>IF(F3="","",F3-$K$8)</f>
        <v/>
      </c>
      <c r="H3" s="4">
        <f>IF(G3="","",IF(G3&lt;0,"Past due",IF(G3=0,"Due today","Open")))</f>
        <v/>
      </c>
      <c r="J3" s="6" t="inlineStr">
        <is>
          <t>Net 15</t>
        </is>
      </c>
      <c r="K3" s="6" t="n">
        <v>15</v>
      </c>
    </row>
    <row r="4">
      <c r="A4" t="inlineStr">
        <is>
          <t>INV-1003</t>
        </is>
      </c>
      <c r="B4" t="inlineStr">
        <is>
          <t>Birch Design Co</t>
        </is>
      </c>
      <c r="C4" s="3" t="n">
        <v>46293</v>
      </c>
      <c r="D4" t="inlineStr">
        <is>
          <t>Net 45</t>
        </is>
      </c>
      <c r="E4" s="4">
        <f>IF(D4="","",IFERROR(VLOOKUP(D4,$J$2:$K$6,2,FALSE),"Check terms"))</f>
        <v/>
      </c>
      <c r="F4" s="5">
        <f>IF(OR(C4="",NOT(ISNUMBER(E4))),"",C4+E4)</f>
        <v/>
      </c>
      <c r="G4" s="4">
        <f>IF(F4="","",F4-$K$8)</f>
        <v/>
      </c>
      <c r="H4" s="4">
        <f>IF(G4="","",IF(G4&lt;0,"Past due",IF(G4=0,"Due today","Open")))</f>
        <v/>
      </c>
      <c r="J4" s="6" t="inlineStr">
        <is>
          <t>Net 30</t>
        </is>
      </c>
      <c r="K4" s="6" t="n">
        <v>30</v>
      </c>
    </row>
    <row r="5">
      <c r="A5" t="inlineStr">
        <is>
          <t>INV-1004</t>
        </is>
      </c>
      <c r="B5" t="inlineStr">
        <is>
          <t>Lantern Print Shop</t>
        </is>
      </c>
      <c r="C5" s="3" t="n">
        <v>46300</v>
      </c>
      <c r="D5" t="inlineStr">
        <is>
          <t>Net 30</t>
        </is>
      </c>
      <c r="E5" s="4">
        <f>IF(D5="","",IFERROR(VLOOKUP(D5,$J$2:$K$6,2,FALSE),"Check terms"))</f>
        <v/>
      </c>
      <c r="F5" s="5">
        <f>IF(OR(C5="",NOT(ISNUMBER(E5))),"",C5+E5)</f>
        <v/>
      </c>
      <c r="G5" s="4">
        <f>IF(F5="","",F5-$K$8)</f>
        <v/>
      </c>
      <c r="H5" s="4">
        <f>IF(G5="","",IF(G5&lt;0,"Past due",IF(G5=0,"Due today","Open")))</f>
        <v/>
      </c>
      <c r="J5" s="6" t="inlineStr">
        <is>
          <t>Net 45</t>
        </is>
      </c>
      <c r="K5" s="6" t="n">
        <v>45</v>
      </c>
    </row>
    <row r="6">
      <c r="A6" t="inlineStr">
        <is>
          <t>INV-1005</t>
        </is>
      </c>
      <c r="B6" t="inlineStr">
        <is>
          <t>Cedar Row Realty</t>
        </is>
      </c>
      <c r="C6" s="3" t="n">
        <v>46308</v>
      </c>
      <c r="D6" t="inlineStr">
        <is>
          <t>Due on receipt</t>
        </is>
      </c>
      <c r="E6" s="4">
        <f>IF(D6="","",IFERROR(VLOOKUP(D6,$J$2:$K$6,2,FALSE),"Check terms"))</f>
        <v/>
      </c>
      <c r="F6" s="5">
        <f>IF(OR(C6="",NOT(ISNUMBER(E6))),"",C6+E6)</f>
        <v/>
      </c>
      <c r="G6" s="4">
        <f>IF(F6="","",F6-$K$8)</f>
        <v/>
      </c>
      <c r="H6" s="4">
        <f>IF(G6="","",IF(G6&lt;0,"Past due",IF(G6=0,"Due today","Open")))</f>
        <v/>
      </c>
      <c r="J6" s="6" t="inlineStr">
        <is>
          <t>Net 60</t>
        </is>
      </c>
      <c r="K6" s="6" t="n">
        <v>60</v>
      </c>
    </row>
    <row r="7">
      <c r="A7" t="inlineStr">
        <is>
          <t>INV-1006</t>
        </is>
      </c>
      <c r="B7" t="inlineStr">
        <is>
          <t>Willow Pet Care</t>
        </is>
      </c>
      <c r="C7" s="3" t="n">
        <v>46296</v>
      </c>
      <c r="D7" t="inlineStr">
        <is>
          <t>Net 60</t>
        </is>
      </c>
      <c r="E7" s="4">
        <f>IF(D7="","",IFERROR(VLOOKUP(D7,$J$2:$K$6,2,FALSE),"Check terms"))</f>
        <v/>
      </c>
      <c r="F7" s="5">
        <f>IF(OR(C7="",NOT(ISNUMBER(E7))),"",C7+E7)</f>
        <v/>
      </c>
      <c r="G7" s="4">
        <f>IF(F7="","",F7-$K$8)</f>
        <v/>
      </c>
      <c r="H7" s="4">
        <f>IF(G7="","",IF(G7&lt;0,"Past due",IF(G7=0,"Due today","Open")))</f>
        <v/>
      </c>
    </row>
    <row r="8">
      <c r="A8" t="inlineStr">
        <is>
          <t>INV-1007</t>
        </is>
      </c>
      <c r="B8" t="inlineStr">
        <is>
          <t>Granite Fitness</t>
        </is>
      </c>
      <c r="C8" s="3" t="n">
        <v>46254</v>
      </c>
      <c r="D8" t="inlineStr">
        <is>
          <t>Net 60</t>
        </is>
      </c>
      <c r="E8" s="4">
        <f>IF(D8="","",IFERROR(VLOOKUP(D8,$J$2:$K$6,2,FALSE),"Check terms"))</f>
        <v/>
      </c>
      <c r="F8" s="5">
        <f>IF(OR(C8="",NOT(ISNUMBER(E8))),"",C8+E8)</f>
        <v/>
      </c>
      <c r="G8" s="4">
        <f>IF(F8="","",F8-$K$8)</f>
        <v/>
      </c>
      <c r="H8" s="4">
        <f>IF(G8="","",IF(G8&lt;0,"Past due",IF(G8=0,"Due today","Open")))</f>
        <v/>
      </c>
      <c r="J8" s="7" t="inlineStr">
        <is>
          <t>As-of date</t>
        </is>
      </c>
      <c r="K8" s="8" t="n">
        <v>46308</v>
      </c>
    </row>
    <row r="9">
      <c r="A9" t="inlineStr">
        <is>
          <t>INV-1008</t>
        </is>
      </c>
      <c r="B9" t="inlineStr">
        <is>
          <t>Juniper Books</t>
        </is>
      </c>
      <c r="C9" s="3" t="n">
        <v>46305</v>
      </c>
      <c r="D9" t="inlineStr">
        <is>
          <t>Net 15</t>
        </is>
      </c>
      <c r="E9" s="4">
        <f>IF(D9="","",IFERROR(VLOOKUP(D9,$J$2:$K$6,2,FALSE),"Check terms"))</f>
        <v/>
      </c>
      <c r="F9" s="5">
        <f>IF(OR(C9="",NOT(ISNUMBER(E9))),"",C9+E9)</f>
        <v/>
      </c>
      <c r="G9" s="4">
        <f>IF(F9="","",F9-$K$8)</f>
        <v/>
      </c>
      <c r="H9" s="4">
        <f>IF(G9="","",IF(G9&lt;0,"Past due",IF(G9=0,"Due today","Open")))</f>
        <v/>
      </c>
    </row>
    <row r="10">
      <c r="C10" s="3" t="n"/>
      <c r="E10" s="4">
        <f>IF(D10="","",IFERROR(VLOOKUP(D10,$J$2:$K$6,2,FALSE),"Check terms"))</f>
        <v/>
      </c>
      <c r="F10" s="5">
        <f>IF(OR(C10="",NOT(ISNUMBER(E10))),"",C10+E10)</f>
        <v/>
      </c>
      <c r="G10" s="4">
        <f>IF(F10="","",F10-$K$8)</f>
        <v/>
      </c>
      <c r="H10" s="4">
        <f>IF(G10="","",IF(G10&lt;0,"Past due",IF(G10=0,"Due today","Open")))</f>
        <v/>
      </c>
      <c r="J10" t="inlineStr">
        <is>
          <t>Open or due today</t>
        </is>
      </c>
      <c r="K10">
        <f>COUNTIF(H2:H20,"Open")+COUNTIF(H2:H20,"Due today")</f>
        <v/>
      </c>
    </row>
    <row r="11">
      <c r="C11" s="3" t="n"/>
      <c r="E11" s="4">
        <f>IF(D11="","",IFERROR(VLOOKUP(D11,$J$2:$K$6,2,FALSE),"Check terms"))</f>
        <v/>
      </c>
      <c r="F11" s="5">
        <f>IF(OR(C11="",NOT(ISNUMBER(E11))),"",C11+E11)</f>
        <v/>
      </c>
      <c r="G11" s="4">
        <f>IF(F11="","",F11-$K$8)</f>
        <v/>
      </c>
      <c r="H11" s="4">
        <f>IF(G11="","",IF(G11&lt;0,"Past due",IF(G11=0,"Due today","Open")))</f>
        <v/>
      </c>
      <c r="J11" t="inlineStr">
        <is>
          <t>Past due</t>
        </is>
      </c>
      <c r="K11">
        <f>COUNTIF(H2:H20,"Past due")</f>
        <v/>
      </c>
    </row>
    <row r="12">
      <c r="C12" s="3" t="n"/>
      <c r="E12" s="4">
        <f>IF(D12="","",IFERROR(VLOOKUP(D12,$J$2:$K$6,2,FALSE),"Check terms"))</f>
        <v/>
      </c>
      <c r="F12" s="5">
        <f>IF(OR(C12="",NOT(ISNUMBER(E12))),"",C12+E12)</f>
        <v/>
      </c>
      <c r="G12" s="4">
        <f>IF(F12="","",F12-$K$8)</f>
        <v/>
      </c>
      <c r="H12" s="4">
        <f>IF(G12="","",IF(G12&lt;0,"Past due",IF(G12=0,"Due today","Open")))</f>
        <v/>
      </c>
    </row>
    <row r="13">
      <c r="C13" s="3" t="n"/>
      <c r="E13" s="4">
        <f>IF(D13="","",IFERROR(VLOOKUP(D13,$J$2:$K$6,2,FALSE),"Check terms"))</f>
        <v/>
      </c>
      <c r="F13" s="5">
        <f>IF(OR(C13="",NOT(ISNUMBER(E13))),"",C13+E13)</f>
        <v/>
      </c>
      <c r="G13" s="4">
        <f>IF(F13="","",F13-$K$8)</f>
        <v/>
      </c>
      <c r="H13" s="4">
        <f>IF(G13="","",IF(G13&lt;0,"Past due",IF(G13=0,"Due today","Open")))</f>
        <v/>
      </c>
    </row>
    <row r="14">
      <c r="C14" s="3" t="n"/>
      <c r="E14" s="4">
        <f>IF(D14="","",IFERROR(VLOOKUP(D14,$J$2:$K$6,2,FALSE),"Check terms"))</f>
        <v/>
      </c>
      <c r="F14" s="5">
        <f>IF(OR(C14="",NOT(ISNUMBER(E14))),"",C14+E14)</f>
        <v/>
      </c>
      <c r="G14" s="4">
        <f>IF(F14="","",F14-$K$8)</f>
        <v/>
      </c>
      <c r="H14" s="4">
        <f>IF(G14="","",IF(G14&lt;0,"Past due",IF(G14=0,"Due today","Open")))</f>
        <v/>
      </c>
    </row>
    <row r="15">
      <c r="C15" s="3" t="n"/>
      <c r="E15" s="4">
        <f>IF(D15="","",IFERROR(VLOOKUP(D15,$J$2:$K$6,2,FALSE),"Check terms"))</f>
        <v/>
      </c>
      <c r="F15" s="5">
        <f>IF(OR(C15="",NOT(ISNUMBER(E15))),"",C15+E15)</f>
        <v/>
      </c>
      <c r="G15" s="4">
        <f>IF(F15="","",F15-$K$8)</f>
        <v/>
      </c>
      <c r="H15" s="4">
        <f>IF(G15="","",IF(G15&lt;0,"Past due",IF(G15=0,"Due today","Open")))</f>
        <v/>
      </c>
    </row>
    <row r="16">
      <c r="C16" s="3" t="n"/>
      <c r="E16" s="4">
        <f>IF(D16="","",IFERROR(VLOOKUP(D16,$J$2:$K$6,2,FALSE),"Check terms"))</f>
        <v/>
      </c>
      <c r="F16" s="5">
        <f>IF(OR(C16="",NOT(ISNUMBER(E16))),"",C16+E16)</f>
        <v/>
      </c>
      <c r="G16" s="4">
        <f>IF(F16="","",F16-$K$8)</f>
        <v/>
      </c>
      <c r="H16" s="4">
        <f>IF(G16="","",IF(G16&lt;0,"Past due",IF(G16=0,"Due today","Open")))</f>
        <v/>
      </c>
    </row>
    <row r="17">
      <c r="C17" s="3" t="n"/>
      <c r="E17" s="4">
        <f>IF(D17="","",IFERROR(VLOOKUP(D17,$J$2:$K$6,2,FALSE),"Check terms"))</f>
        <v/>
      </c>
      <c r="F17" s="5">
        <f>IF(OR(C17="",NOT(ISNUMBER(E17))),"",C17+E17)</f>
        <v/>
      </c>
      <c r="G17" s="4">
        <f>IF(F17="","",F17-$K$8)</f>
        <v/>
      </c>
      <c r="H17" s="4">
        <f>IF(G17="","",IF(G17&lt;0,"Past due",IF(G17=0,"Due today","Open")))</f>
        <v/>
      </c>
    </row>
    <row r="18">
      <c r="C18" s="3" t="n"/>
      <c r="E18" s="4">
        <f>IF(D18="","",IFERROR(VLOOKUP(D18,$J$2:$K$6,2,FALSE),"Check terms"))</f>
        <v/>
      </c>
      <c r="F18" s="5">
        <f>IF(OR(C18="",NOT(ISNUMBER(E18))),"",C18+E18)</f>
        <v/>
      </c>
      <c r="G18" s="4">
        <f>IF(F18="","",F18-$K$8)</f>
        <v/>
      </c>
      <c r="H18" s="4">
        <f>IF(G18="","",IF(G18&lt;0,"Past due",IF(G18=0,"Due today","Open")))</f>
        <v/>
      </c>
    </row>
    <row r="19">
      <c r="C19" s="3" t="n"/>
      <c r="E19" s="4">
        <f>IF(D19="","",IFERROR(VLOOKUP(D19,$J$2:$K$6,2,FALSE),"Check terms"))</f>
        <v/>
      </c>
      <c r="F19" s="5">
        <f>IF(OR(C19="",NOT(ISNUMBER(E19))),"",C19+E19)</f>
        <v/>
      </c>
      <c r="G19" s="4">
        <f>IF(F19="","",F19-$K$8)</f>
        <v/>
      </c>
      <c r="H19" s="4">
        <f>IF(G19="","",IF(G19&lt;0,"Past due",IF(G19=0,"Due today","Open")))</f>
        <v/>
      </c>
    </row>
    <row r="20">
      <c r="C20" s="3" t="n"/>
      <c r="E20" s="4">
        <f>IF(D20="","",IFERROR(VLOOKUP(D20,$J$2:$K$6,2,FALSE),"Check terms"))</f>
        <v/>
      </c>
      <c r="F20" s="5">
        <f>IF(OR(C20="",NOT(ISNUMBER(E20))),"",C20+E20)</f>
        <v/>
      </c>
      <c r="G20" s="4">
        <f>IF(F20="","",F20-$K$8)</f>
        <v/>
      </c>
      <c r="H20" s="4">
        <f>IF(G20="","",IF(G20&lt;0,"Past due",IF(G20=0,"Due today","Open")))</f>
        <v/>
      </c>
    </row>
  </sheetData>
  <conditionalFormatting sqref="H2:H20">
    <cfRule type="expression" priority="1" dxfId="0">
      <formula>H2="Past due"</formula>
    </cfRule>
  </conditionalFormatting>
  <dataValidations count="1">
    <dataValidation sqref="D2:D20" showDropDown="0" showInputMessage="0" showErrorMessage="0" allowBlank="1" type="list">
      <formula1>=$J$2:$J$6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Tidy Tabs: Calculate an Invoice Due Date From Payment Terms</t>
        </is>
      </c>
    </row>
    <row r="2">
      <c r="A2" s="10" t="inlineStr"/>
    </row>
    <row r="3">
      <c r="A3" s="10" t="inlineStr">
        <is>
          <t>1. Due dates tab: type the invoice number, client, invoice date (C) and pick the terms from the dropdown in column D. Rows 2 to 20 have the formulas ready.</t>
        </is>
      </c>
    </row>
    <row r="4">
      <c r="A4" s="10" t="inlineStr">
        <is>
          <t>2. The terms table sits in J2:K6 (yellow). Each name has a number of days. Add or change terms by editing those cells; keep the names exactly as the dropdown shows them.</t>
        </is>
      </c>
    </row>
    <row r="5">
      <c r="A5" s="10" t="inlineStr">
        <is>
          <t>3. E2: =IF(D2="","",IFERROR(VLOOKUP(D2,$J$2:$K$6,2,FALSE),"Check terms")) looks up the days. A term that is not in the table shows Check terms.</t>
        </is>
      </c>
    </row>
    <row r="6">
      <c r="A6" s="10" t="inlineStr">
        <is>
          <t>4. F2: =IF(OR(C2="",NOT(ISNUMBER(E2))),"",C2+E2) is the due date: the invoice date plus the days. Dates are plain numbers, so adding days works across month ends (08/20/2026 plus 60 days is 10/19/2026).</t>
        </is>
      </c>
    </row>
    <row r="7">
      <c r="A7" s="10" t="inlineStr">
        <is>
          <t>5. The short version of the whole sheet is =C2+VLOOKUP(D2,$J$2:$K$6,2,FALSE).</t>
        </is>
      </c>
    </row>
    <row r="8">
      <c r="A8" s="10" t="inlineStr">
        <is>
          <t>6. K8 is the as-of date. Type =TODAY() there to compare with the current day. G2 is the due date minus the as-of date (negative means days late). H2 says Past due, Due today or Open.</t>
        </is>
      </c>
    </row>
    <row r="9">
      <c r="A9" s="10" t="inlineStr">
        <is>
          <t>7. The due date is not moved for weekends or holidays, and it does not read terms such as 2/10 net 30 or end of month. Use WORKDAY if you want business days.</t>
        </is>
      </c>
    </row>
    <row r="10">
      <c r="A10" s="10" t="inlineStr">
        <is>
          <t>8. This is date arithmetic only. The terms on a real invoice come from your contract with the client.</t>
        </is>
      </c>
    </row>
    <row r="11">
      <c r="A11" s="10" t="inlineStr"/>
    </row>
    <row r="12">
      <c r="A12" s="10" t="inlineStr">
        <is>
          <t>Invoices, clients and dates are fictional. Checked in LibreOffice Calc only; not opened in Excel or Google Sheets.</t>
        </is>
      </c>
    </row>
    <row r="13">
      <c r="A13" s="10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2026-10-12T07:27:51Z</dcterms:created>
  <dcterms:modified xmlns:dcterms="http://purl.org/dc/terms/" xmlns:xsi="http://www.w3.org/2001/XMLSchema-instance" xsi:type="dcterms:W3CDTF">2026-10-12T07:27:51Z</dcterms:modified>
</cp:coreProperties>
</file>