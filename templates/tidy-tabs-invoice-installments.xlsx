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plan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'Payment plan'!$1:$1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166" fontId="0" fillId="2" borderId="0" pivotButton="0" quotePrefix="0" xfId="0"/>
    <xf numFmtId="165" fontId="0" fillId="3" borderId="0" pivotButton="0" quotePrefix="0" xfId="0"/>
    <xf numFmtId="0" fontId="2" fillId="4" borderId="0" pivotButton="0" quotePrefix="0" xfId="0"/>
    <xf numFmtId="166" fontId="0" fillId="3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Invoice total</t>
        </is>
      </c>
      <c r="B1" s="2" t="n">
        <v>2500</v>
      </c>
    </row>
    <row r="2">
      <c r="A2" s="1" t="inlineStr">
        <is>
          <t>Number of payments (1 to 12)</t>
        </is>
      </c>
      <c r="B2" s="3" t="n">
        <v>6</v>
      </c>
    </row>
    <row r="3">
      <c r="A3" s="1" t="inlineStr">
        <is>
          <t>First payment date</t>
        </is>
      </c>
      <c r="B3" s="4" t="n">
        <v>46327</v>
      </c>
    </row>
    <row r="4">
      <c r="A4" t="inlineStr">
        <is>
          <t>Regular payment</t>
        </is>
      </c>
      <c r="B4" s="5">
        <f>ROUND(B1/B2,2)</f>
        <v/>
      </c>
    </row>
    <row r="5">
      <c r="A5" t="inlineStr">
        <is>
          <t>Last payment</t>
        </is>
      </c>
      <c r="B5" s="5">
        <f>B1-B4*(B2-1)</f>
        <v/>
      </c>
    </row>
    <row r="7">
      <c r="A7" s="6" t="inlineStr">
        <is>
          <t>Payment #</t>
        </is>
      </c>
      <c r="B7" s="6" t="inlineStr">
        <is>
          <t>Due date</t>
        </is>
      </c>
      <c r="C7" s="6" t="inlineStr">
        <is>
          <t>Amount</t>
        </is>
      </c>
      <c r="D7" s="6" t="inlineStr">
        <is>
          <t>Balance after</t>
        </is>
      </c>
    </row>
    <row r="8">
      <c r="A8" t="n">
        <v>1</v>
      </c>
      <c r="B8" s="7">
        <f>IF(A8&gt;$B$2,"",EDATE($B$3,A8-1))</f>
        <v/>
      </c>
      <c r="C8" s="5">
        <f>IF(A8&gt;$B$2,"",IF(A8=$B$2,$B$5,$B$4))</f>
        <v/>
      </c>
      <c r="D8" s="5">
        <f>IF(A8&gt;$B$2,"",$B$1-SUM($C$8:C8))</f>
        <v/>
      </c>
    </row>
    <row r="9">
      <c r="A9" t="n">
        <v>2</v>
      </c>
      <c r="B9" s="7">
        <f>IF(A9&gt;$B$2,"",EDATE($B$3,A9-1))</f>
        <v/>
      </c>
      <c r="C9" s="5">
        <f>IF(A9&gt;$B$2,"",IF(A9=$B$2,$B$5,$B$4))</f>
        <v/>
      </c>
      <c r="D9" s="5">
        <f>IF(A9&gt;$B$2,"",$B$1-SUM($C$8:C9))</f>
        <v/>
      </c>
    </row>
    <row r="10">
      <c r="A10" t="n">
        <v>3</v>
      </c>
      <c r="B10" s="7">
        <f>IF(A10&gt;$B$2,"",EDATE($B$3,A10-1))</f>
        <v/>
      </c>
      <c r="C10" s="5">
        <f>IF(A10&gt;$B$2,"",IF(A10=$B$2,$B$5,$B$4))</f>
        <v/>
      </c>
      <c r="D10" s="5">
        <f>IF(A10&gt;$B$2,"",$B$1-SUM($C$8:C10))</f>
        <v/>
      </c>
    </row>
    <row r="11">
      <c r="A11" t="n">
        <v>4</v>
      </c>
      <c r="B11" s="7">
        <f>IF(A11&gt;$B$2,"",EDATE($B$3,A11-1))</f>
        <v/>
      </c>
      <c r="C11" s="5">
        <f>IF(A11&gt;$B$2,"",IF(A11=$B$2,$B$5,$B$4))</f>
        <v/>
      </c>
      <c r="D11" s="5">
        <f>IF(A11&gt;$B$2,"",$B$1-SUM($C$8:C11))</f>
        <v/>
      </c>
    </row>
    <row r="12">
      <c r="A12" t="n">
        <v>5</v>
      </c>
      <c r="B12" s="7">
        <f>IF(A12&gt;$B$2,"",EDATE($B$3,A12-1))</f>
        <v/>
      </c>
      <c r="C12" s="5">
        <f>IF(A12&gt;$B$2,"",IF(A12=$B$2,$B$5,$B$4))</f>
        <v/>
      </c>
      <c r="D12" s="5">
        <f>IF(A12&gt;$B$2,"",$B$1-SUM($C$8:C12))</f>
        <v/>
      </c>
    </row>
    <row r="13">
      <c r="A13" t="n">
        <v>6</v>
      </c>
      <c r="B13" s="7">
        <f>IF(A13&gt;$B$2,"",EDATE($B$3,A13-1))</f>
        <v/>
      </c>
      <c r="C13" s="5">
        <f>IF(A13&gt;$B$2,"",IF(A13=$B$2,$B$5,$B$4))</f>
        <v/>
      </c>
      <c r="D13" s="5">
        <f>IF(A13&gt;$B$2,"",$B$1-SUM($C$8:C13))</f>
        <v/>
      </c>
    </row>
    <row r="14">
      <c r="A14" t="n">
        <v>7</v>
      </c>
      <c r="B14" s="7">
        <f>IF(A14&gt;$B$2,"",EDATE($B$3,A14-1))</f>
        <v/>
      </c>
      <c r="C14" s="5">
        <f>IF(A14&gt;$B$2,"",IF(A14=$B$2,$B$5,$B$4))</f>
        <v/>
      </c>
      <c r="D14" s="5">
        <f>IF(A14&gt;$B$2,"",$B$1-SUM($C$8:C14))</f>
        <v/>
      </c>
    </row>
    <row r="15">
      <c r="A15" t="n">
        <v>8</v>
      </c>
      <c r="B15" s="7">
        <f>IF(A15&gt;$B$2,"",EDATE($B$3,A15-1))</f>
        <v/>
      </c>
      <c r="C15" s="5">
        <f>IF(A15&gt;$B$2,"",IF(A15=$B$2,$B$5,$B$4))</f>
        <v/>
      </c>
      <c r="D15" s="5">
        <f>IF(A15&gt;$B$2,"",$B$1-SUM($C$8:C15))</f>
        <v/>
      </c>
    </row>
    <row r="16">
      <c r="A16" t="n">
        <v>9</v>
      </c>
      <c r="B16" s="7">
        <f>IF(A16&gt;$B$2,"",EDATE($B$3,A16-1))</f>
        <v/>
      </c>
      <c r="C16" s="5">
        <f>IF(A16&gt;$B$2,"",IF(A16=$B$2,$B$5,$B$4))</f>
        <v/>
      </c>
      <c r="D16" s="5">
        <f>IF(A16&gt;$B$2,"",$B$1-SUM($C$8:C16))</f>
        <v/>
      </c>
    </row>
    <row r="17">
      <c r="A17" t="n">
        <v>10</v>
      </c>
      <c r="B17" s="7">
        <f>IF(A17&gt;$B$2,"",EDATE($B$3,A17-1))</f>
        <v/>
      </c>
      <c r="C17" s="5">
        <f>IF(A17&gt;$B$2,"",IF(A17=$B$2,$B$5,$B$4))</f>
        <v/>
      </c>
      <c r="D17" s="5">
        <f>IF(A17&gt;$B$2,"",$B$1-SUM($C$8:C17))</f>
        <v/>
      </c>
    </row>
    <row r="18">
      <c r="A18" t="n">
        <v>11</v>
      </c>
      <c r="B18" s="7">
        <f>IF(A18&gt;$B$2,"",EDATE($B$3,A18-1))</f>
        <v/>
      </c>
      <c r="C18" s="5">
        <f>IF(A18&gt;$B$2,"",IF(A18=$B$2,$B$5,$B$4))</f>
        <v/>
      </c>
      <c r="D18" s="5">
        <f>IF(A18&gt;$B$2,"",$B$1-SUM($C$8:C18))</f>
        <v/>
      </c>
    </row>
    <row r="19">
      <c r="A19" t="n">
        <v>12</v>
      </c>
      <c r="B19" s="7">
        <f>IF(A19&gt;$B$2,"",EDATE($B$3,A19-1))</f>
        <v/>
      </c>
      <c r="C19" s="5">
        <f>IF(A19&gt;$B$2,"",IF(A19=$B$2,$B$5,$B$4))</f>
        <v/>
      </c>
      <c r="D19" s="5">
        <f>IF(A19&gt;$B$2,"",$B$1-SUM($C$8:C19))</f>
        <v/>
      </c>
    </row>
    <row r="21">
      <c r="A21" s="1" t="inlineStr">
        <is>
          <t>Total of payments</t>
        </is>
      </c>
      <c r="C21" s="8">
        <f>SUM(C8:C19)</f>
        <v/>
      </c>
    </row>
    <row r="22">
      <c r="A22" s="1" t="inlineStr">
        <is>
          <t>Difference from invoice</t>
        </is>
      </c>
      <c r="C22" s="8">
        <f>ROUND(C21-B1,2)</f>
        <v/>
      </c>
    </row>
  </sheetData>
  <dataValidations count="1">
    <dataValidation sqref="B2" showDropDown="0" showInputMessage="0" showErrorMessage="1" allowBlank="0" errorTitle="Payments" error="Enter a whole number from 1 to 12." type="whole" operator="between">
      <formula1>1</formula1>
      <formula2>12</formula2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Tidy Tabs: Split an Invoice Into Equal Monthly Payments</t>
        </is>
      </c>
    </row>
    <row r="2">
      <c r="A2" s="10" t="inlineStr"/>
    </row>
    <row r="3">
      <c r="A3" s="10" t="inlineStr">
        <is>
          <t>1. Payment plan tab: change the three yellow cells: invoice total (B1), number of payments from 1 to 12 (B2) and the first payment date (B3).</t>
        </is>
      </c>
    </row>
    <row r="4">
      <c r="A4" s="10" t="inlineStr">
        <is>
          <t>2. B4: =ROUND(B1/B2,2) is the regular payment rounded to cents.</t>
        </is>
      </c>
    </row>
    <row r="5">
      <c r="A5" s="10" t="inlineStr">
        <is>
          <t>3. B5: =B1-B4*(B2-1) is the last payment. It takes whatever cents are left over so the payments add up to the invoice exactly. $1,000.00 in 3 payments is $333.33, $333.33, $333.34.</t>
        </is>
      </c>
    </row>
    <row r="6">
      <c r="A6" s="10" t="inlineStr">
        <is>
          <t>4. Due dates: =IF(A8&gt;$B$2,"",EDATE($B$3,A8-1)) moves the first date forward one month at a time. Rows beyond your number of payments stay blank.</t>
        </is>
      </c>
    </row>
    <row r="7">
      <c r="A7" s="10" t="inlineStr">
        <is>
          <t>5. EDATE keeps the day of the month, but a month that is too short uses its last day: a first date of 01/31/2026 gives 02/28/2026 and then 03/31/2026.</t>
        </is>
      </c>
    </row>
    <row r="8">
      <c r="A8" s="10" t="inlineStr">
        <is>
          <t>6. Balance after: =$B$1-SUM($C$8:C8), which should end at $0.00. C22 shows the difference between the payments and the invoice (should be $0.00).</t>
        </is>
      </c>
    </row>
    <row r="9">
      <c r="A9" s="10" t="inlineStr">
        <is>
          <t>7. Only B2 values from 1 to 12 are supported. This is arithmetic for a plan you already agreed with the client; it adds no interest or fees.</t>
        </is>
      </c>
    </row>
    <row r="10">
      <c r="A10" s="10" t="inlineStr"/>
    </row>
    <row r="11">
      <c r="A11" s="10" t="inlineStr">
        <is>
          <t>Amounts and dates are fictional. Checked in LibreOffice Calc only; not opened in Excel or Google Sheets.</t>
        </is>
      </c>
    </row>
    <row r="12">
      <c r="A12" s="10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2026-10-10T07:28:09Z</dcterms:created>
  <dcterms:modified xmlns:dcterms="http://purl.org/dc/terms/" xmlns:xsi="http://www.w3.org/2001/XMLSchema-instance" xsi:type="dcterms:W3CDTF">2026-10-10T07:28:09Z</dcterms:modified>
</cp:coreProperties>
</file>