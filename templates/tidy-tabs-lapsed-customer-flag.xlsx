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Customers" sheetId="2" state="visible" r:id="rId2"/>
    <sheet xmlns:r="http://schemas.openxmlformats.org/officeDocument/2006/relationships" name="Settings" sheetId="3" state="visible" r:id="rId3"/>
    <sheet xmlns:r="http://schemas.openxmlformats.org/officeDocument/2006/relationships" name="How to use" sheetId="4" state="visible" r:id="rId4"/>
  </sheets>
  <definedNames>
    <definedName name="_xlnm.Print_Titles" localSheetId="0">'Orders'!$1:$1</definedName>
    <definedName name="_xlnm.Print_Area" localSheetId="0">'Orders'!$A$1:$C$41</definedName>
    <definedName name="_xlnm.Print_Titles" localSheetId="1">'Customers'!$4:$4</definedName>
    <definedName name="_xlnm.Print_Area" localSheetId="1">'Customers'!$A$1:$H$54</definedName>
    <definedName name="_xlnm.Print_Titles" localSheetId="2">'Settings'!$1:$1</definedName>
  </definedNames>
  <calcPr calcId="124519" fullCalcOnLoad="1"/>
</workbook>
</file>

<file path=xl/styles.xml><?xml version="1.0" encoding="utf-8"?>
<styleSheet xmlns="http://schemas.openxmlformats.org/spreadsheetml/2006/main">
  <numFmts count="3">
    <numFmt numFmtId="164" formatCode="mm/dd/yyyy"/>
    <numFmt numFmtId="165" formatCode="&quot;$&quot;#,##0.00"/>
    <numFmt numFmtId="166" formatCode="yyyy-mm-dd"/>
  </numFmts>
  <fonts count="5">
    <font>
      <name val="Calibri"/>
      <family val="2"/>
      <color theme="1"/>
      <sz val="11"/>
      <scheme val="minor"/>
    </font>
    <font>
      <b val="1"/>
      <color rgb="00FFFFFF"/>
    </font>
    <font>
      <i val="1"/>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164" fontId="0" fillId="3" borderId="0" pivotButton="0" quotePrefix="0" xfId="0"/>
    <xf numFmtId="0" fontId="0" fillId="3" borderId="0" pivotButton="0" quotePrefix="0" xfId="0"/>
    <xf numFmtId="165" fontId="0" fillId="3" borderId="0" pivotButton="0" quotePrefix="0" xfId="0"/>
    <xf numFmtId="0" fontId="2" fillId="0" borderId="0" pivotButton="0" quotePrefix="0" xfId="0"/>
    <xf numFmtId="164" fontId="0" fillId="4" borderId="0" applyAlignment="1" pivotButton="0" quotePrefix="0" xfId="0">
      <alignment horizontal="right"/>
    </xf>
    <xf numFmtId="1" fontId="0" fillId="4" borderId="0" applyAlignment="1" pivotButton="0" quotePrefix="0" xfId="0">
      <alignment horizontal="right"/>
    </xf>
    <xf numFmtId="0" fontId="0" fillId="4" borderId="0" applyAlignment="1" pivotButton="0" quotePrefix="0" xfId="0">
      <alignment horizontal="right"/>
    </xf>
    <xf numFmtId="165" fontId="0" fillId="4" borderId="0" applyAlignment="1" pivotButton="0" quotePrefix="0" xfId="0">
      <alignment horizontal="right"/>
    </xf>
    <xf numFmtId="0" fontId="3" fillId="0" borderId="0" pivotButton="0" quotePrefix="0" xfId="0"/>
    <xf numFmtId="0" fontId="3" fillId="0" borderId="0" applyAlignment="1" pivotButton="0" quotePrefix="0" xfId="0">
      <alignment vertical="center" wrapText="1"/>
    </xf>
    <xf numFmtId="0" fontId="0" fillId="4"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00"/>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2" customWidth="1" min="3" max="3"/>
  </cols>
  <sheetData>
    <row r="1" ht="24" customHeight="1">
      <c r="A1" s="1" t="inlineStr">
        <is>
          <t>Order date</t>
        </is>
      </c>
      <c r="B1" s="1" t="inlineStr">
        <is>
          <t>Customer</t>
        </is>
      </c>
      <c r="C1" s="1" t="inlineStr">
        <is>
          <t>Amount</t>
        </is>
      </c>
    </row>
    <row r="2">
      <c r="A2" s="2" t="n">
        <v>45783</v>
      </c>
      <c r="B2" s="3" t="inlineStr">
        <is>
          <t>Nate Dunn</t>
        </is>
      </c>
      <c r="C2" s="4" t="n">
        <v>63.91</v>
      </c>
    </row>
    <row r="3">
      <c r="A3" s="2" t="n">
        <v>45910</v>
      </c>
      <c r="B3" s="3" t="inlineStr">
        <is>
          <t>Maya Cole</t>
        </is>
      </c>
      <c r="C3" s="4" t="n">
        <v>55.1</v>
      </c>
    </row>
    <row r="4">
      <c r="A4" s="2" t="n">
        <v>45914</v>
      </c>
      <c r="B4" s="3" t="inlineStr">
        <is>
          <t>Maya Cole</t>
        </is>
      </c>
      <c r="C4" s="4" t="n">
        <v>74.41</v>
      </c>
    </row>
    <row r="5">
      <c r="A5" s="2" t="n">
        <v>45936</v>
      </c>
      <c r="B5" s="3" t="inlineStr">
        <is>
          <t>Maya Cole</t>
        </is>
      </c>
      <c r="C5" s="4" t="n">
        <v>177.32</v>
      </c>
    </row>
    <row r="6">
      <c r="A6" s="2" t="n">
        <v>45938</v>
      </c>
      <c r="B6" s="3" t="inlineStr">
        <is>
          <t>Maya Cole</t>
        </is>
      </c>
      <c r="C6" s="4" t="n">
        <v>40.81</v>
      </c>
    </row>
    <row r="7">
      <c r="A7" s="2" t="n">
        <v>46015</v>
      </c>
      <c r="B7" s="3" t="inlineStr">
        <is>
          <t>Nate Dunn</t>
        </is>
      </c>
      <c r="C7" s="4" t="n">
        <v>162.52</v>
      </c>
    </row>
    <row r="8">
      <c r="A8" s="2" t="n">
        <v>46017</v>
      </c>
      <c r="B8" s="3" t="inlineStr">
        <is>
          <t>Hugo Park</t>
        </is>
      </c>
      <c r="C8" s="4" t="n">
        <v>132.65</v>
      </c>
    </row>
    <row r="9">
      <c r="A9" s="2" t="n">
        <v>46024</v>
      </c>
      <c r="B9" s="3" t="inlineStr">
        <is>
          <t>Kira Stone</t>
        </is>
      </c>
      <c r="C9" s="4" t="n">
        <v>95.02</v>
      </c>
    </row>
    <row r="10">
      <c r="A10" s="2" t="n">
        <v>46034</v>
      </c>
      <c r="B10" s="3" t="inlineStr">
        <is>
          <t>Hugo Park</t>
        </is>
      </c>
      <c r="C10" s="4" t="n">
        <v>128.73</v>
      </c>
    </row>
    <row r="11">
      <c r="A11" s="2" t="n">
        <v>46045</v>
      </c>
      <c r="B11" s="3" t="inlineStr">
        <is>
          <t>Jonah Bell</t>
        </is>
      </c>
      <c r="C11" s="4" t="n">
        <v>53.9</v>
      </c>
    </row>
    <row r="12">
      <c r="A12" s="2" t="n">
        <v>46054</v>
      </c>
      <c r="B12" s="3" t="inlineStr">
        <is>
          <t>Felix Ode</t>
        </is>
      </c>
      <c r="C12" s="4" t="n">
        <v>138.11</v>
      </c>
    </row>
    <row r="13">
      <c r="A13" s="2" t="n">
        <v>46078</v>
      </c>
      <c r="B13" s="3" t="inlineStr">
        <is>
          <t>Maya Cole</t>
        </is>
      </c>
      <c r="C13" s="4" t="n">
        <v>38.1</v>
      </c>
    </row>
    <row r="14">
      <c r="A14" s="2" t="n">
        <v>46083</v>
      </c>
      <c r="B14" s="3" t="inlineStr">
        <is>
          <t>Leo Navarro</t>
        </is>
      </c>
      <c r="C14" s="4" t="n">
        <v>71.67</v>
      </c>
    </row>
    <row r="15">
      <c r="A15" s="2" t="n">
        <v>46103</v>
      </c>
      <c r="B15" s="3" t="inlineStr">
        <is>
          <t>Felix Ode</t>
        </is>
      </c>
      <c r="C15" s="4" t="n">
        <v>87.06999999999999</v>
      </c>
    </row>
    <row r="16">
      <c r="A16" s="2" t="n">
        <v>46118</v>
      </c>
      <c r="B16" s="3" t="inlineStr">
        <is>
          <t>Elena Marsh</t>
        </is>
      </c>
      <c r="C16" s="4" t="n">
        <v>176.02</v>
      </c>
    </row>
    <row r="17">
      <c r="A17" s="2" t="n">
        <v>46118</v>
      </c>
      <c r="B17" s="3" t="inlineStr">
        <is>
          <t>Leo Navarro</t>
        </is>
      </c>
      <c r="C17" s="4" t="n">
        <v>85.41</v>
      </c>
    </row>
    <row r="18">
      <c r="A18" s="2" t="n">
        <v>46124</v>
      </c>
      <c r="B18" s="3" t="inlineStr">
        <is>
          <t>Kira Stone</t>
        </is>
      </c>
      <c r="C18" s="4" t="n">
        <v>80</v>
      </c>
    </row>
    <row r="19">
      <c r="A19" s="2" t="n">
        <v>46125</v>
      </c>
      <c r="B19" s="3" t="inlineStr">
        <is>
          <t>Maya Cole</t>
        </is>
      </c>
      <c r="C19" s="4" t="n">
        <v>45.27</v>
      </c>
    </row>
    <row r="20">
      <c r="A20" s="2" t="n">
        <v>46149</v>
      </c>
      <c r="B20" s="3" t="inlineStr">
        <is>
          <t>Jonah Bell</t>
        </is>
      </c>
      <c r="C20" s="4" t="n">
        <v>79.18000000000001</v>
      </c>
    </row>
    <row r="21">
      <c r="A21" s="2" t="n">
        <v>46152</v>
      </c>
      <c r="B21" s="3" t="inlineStr">
        <is>
          <t>Felix Ode</t>
        </is>
      </c>
      <c r="C21" s="4" t="n">
        <v>39.97</v>
      </c>
    </row>
    <row r="22">
      <c r="A22" s="2" t="n">
        <v>46173</v>
      </c>
      <c r="B22" s="3" t="inlineStr">
        <is>
          <t>Grace Hale</t>
        </is>
      </c>
      <c r="C22" s="4" t="n">
        <v>149.28</v>
      </c>
    </row>
    <row r="23">
      <c r="A23" s="2" t="n">
        <v>46176</v>
      </c>
      <c r="B23" s="3" t="inlineStr">
        <is>
          <t>Hugo Park</t>
        </is>
      </c>
      <c r="C23" s="4" t="n">
        <v>21.28</v>
      </c>
    </row>
    <row r="24">
      <c r="A24" s="2" t="n">
        <v>46184</v>
      </c>
      <c r="B24" s="3" t="inlineStr">
        <is>
          <t>Hugo Park</t>
        </is>
      </c>
      <c r="C24" s="4" t="n">
        <v>78.36</v>
      </c>
    </row>
    <row r="25">
      <c r="A25" s="2" t="n">
        <v>46205</v>
      </c>
      <c r="B25" s="3" t="inlineStr">
        <is>
          <t>Leo Navarro</t>
        </is>
      </c>
      <c r="C25" s="4" t="n">
        <v>37.67</v>
      </c>
    </row>
    <row r="26">
      <c r="A26" s="2" t="n">
        <v>46208</v>
      </c>
      <c r="B26" s="3" t="inlineStr">
        <is>
          <t>Iris Wong</t>
        </is>
      </c>
      <c r="C26" s="4" t="n">
        <v>92.92</v>
      </c>
    </row>
    <row r="27">
      <c r="A27" s="2" t="n">
        <v>46229</v>
      </c>
      <c r="B27" s="3" t="inlineStr">
        <is>
          <t>Felix Ode</t>
        </is>
      </c>
      <c r="C27" s="4" t="n">
        <v>116.39</v>
      </c>
    </row>
    <row r="28">
      <c r="A28" s="2" t="n">
        <v>46230</v>
      </c>
      <c r="B28" s="3" t="inlineStr">
        <is>
          <t>Alma Reyes</t>
        </is>
      </c>
      <c r="C28" s="4" t="n">
        <v>144.79</v>
      </c>
    </row>
    <row r="29">
      <c r="A29" s="2" t="n">
        <v>46233</v>
      </c>
      <c r="B29" s="3" t="inlineStr">
        <is>
          <t>Kira Stone</t>
        </is>
      </c>
      <c r="C29" s="4" t="n">
        <v>88.5</v>
      </c>
    </row>
    <row r="30">
      <c r="A30" s="2" t="n">
        <v>46234</v>
      </c>
      <c r="B30" s="3" t="inlineStr">
        <is>
          <t>Jonah Bell</t>
        </is>
      </c>
      <c r="C30" s="4" t="n">
        <v>139.12</v>
      </c>
    </row>
    <row r="31">
      <c r="A31" s="2" t="n">
        <v>46235</v>
      </c>
      <c r="B31" s="3" t="inlineStr">
        <is>
          <t>Iris Wong</t>
        </is>
      </c>
      <c r="C31" s="4" t="n">
        <v>157.31</v>
      </c>
    </row>
    <row r="32">
      <c r="A32" s="2" t="n">
        <v>46236</v>
      </c>
      <c r="B32" s="3" t="inlineStr">
        <is>
          <t>Hugo Park</t>
        </is>
      </c>
      <c r="C32" s="4" t="n">
        <v>98.79000000000001</v>
      </c>
    </row>
    <row r="33">
      <c r="A33" s="2" t="n">
        <v>46249</v>
      </c>
      <c r="B33" s="3" t="inlineStr">
        <is>
          <t>Cora Lind</t>
        </is>
      </c>
      <c r="C33" s="4" t="n">
        <v>16.11</v>
      </c>
    </row>
    <row r="34">
      <c r="A34" s="2" t="n">
        <v>46250</v>
      </c>
      <c r="B34" s="3" t="inlineStr">
        <is>
          <t>Felix Ode</t>
        </is>
      </c>
      <c r="C34" s="4" t="n">
        <v>83.06999999999999</v>
      </c>
    </row>
    <row r="35">
      <c r="A35" s="2" t="n">
        <v>46250</v>
      </c>
      <c r="B35" s="3" t="inlineStr">
        <is>
          <t>Grace Hale</t>
        </is>
      </c>
      <c r="C35" s="4" t="n">
        <v>170.32</v>
      </c>
    </row>
    <row r="36">
      <c r="A36" s="2" t="n">
        <v>46265</v>
      </c>
      <c r="B36" s="3" t="inlineStr">
        <is>
          <t>Felix Ode</t>
        </is>
      </c>
      <c r="C36" s="4" t="n">
        <v>171.53</v>
      </c>
    </row>
    <row r="37">
      <c r="A37" s="2" t="n">
        <v>46278</v>
      </c>
      <c r="B37" s="3" t="inlineStr">
        <is>
          <t>Elena Marsh</t>
        </is>
      </c>
      <c r="C37" s="4" t="n">
        <v>45.31</v>
      </c>
    </row>
    <row r="38">
      <c r="A38" s="2" t="n">
        <v>46292</v>
      </c>
      <c r="B38" s="3" t="inlineStr">
        <is>
          <t>Dev Kapoor</t>
        </is>
      </c>
      <c r="C38" s="4" t="n">
        <v>122.76</v>
      </c>
    </row>
    <row r="39">
      <c r="A39" s="2" t="n">
        <v>46305</v>
      </c>
      <c r="B39" s="3" t="inlineStr">
        <is>
          <t>Cora Lind</t>
        </is>
      </c>
      <c r="C39" s="4" t="n">
        <v>113.24</v>
      </c>
    </row>
    <row r="40">
      <c r="A40" s="2" t="n">
        <v>46313</v>
      </c>
      <c r="B40" s="3" t="inlineStr">
        <is>
          <t>Ben Tran</t>
        </is>
      </c>
      <c r="C40" s="4" t="n">
        <v>84.68000000000001</v>
      </c>
    </row>
    <row r="41">
      <c r="A41" s="2" t="n">
        <v>46322</v>
      </c>
      <c r="B41" s="3" t="inlineStr">
        <is>
          <t>Alma Reyes</t>
        </is>
      </c>
      <c r="C41" s="4" t="n">
        <v>173.01</v>
      </c>
    </row>
    <row r="42">
      <c r="A42" s="2" t="n"/>
      <c r="B42" s="3" t="n"/>
      <c r="C42" s="4" t="n"/>
    </row>
    <row r="43">
      <c r="A43" s="2" t="n"/>
      <c r="B43" s="3" t="n"/>
      <c r="C43" s="4" t="n"/>
    </row>
    <row r="44">
      <c r="A44" s="2" t="n"/>
      <c r="B44" s="3" t="n"/>
      <c r="C44" s="4" t="n"/>
    </row>
    <row r="45">
      <c r="A45" s="2" t="n"/>
      <c r="B45" s="3" t="n"/>
      <c r="C45" s="4" t="n"/>
    </row>
    <row r="46">
      <c r="A46" s="2" t="n"/>
      <c r="B46" s="3" t="n"/>
      <c r="C46" s="4" t="n"/>
    </row>
    <row r="47">
      <c r="A47" s="2" t="n"/>
      <c r="B47" s="3" t="n"/>
      <c r="C47" s="4" t="n"/>
    </row>
    <row r="48">
      <c r="A48" s="2" t="n"/>
      <c r="B48" s="3" t="n"/>
      <c r="C48" s="4" t="n"/>
    </row>
    <row r="49">
      <c r="A49" s="2" t="n"/>
      <c r="B49" s="3" t="n"/>
      <c r="C49" s="4" t="n"/>
    </row>
    <row r="50">
      <c r="A50" s="2" t="n"/>
      <c r="B50" s="3" t="n"/>
      <c r="C50" s="4" t="n"/>
    </row>
    <row r="51">
      <c r="A51" s="2" t="n"/>
      <c r="B51" s="3" t="n"/>
      <c r="C51" s="4" t="n"/>
    </row>
    <row r="52">
      <c r="A52" s="2" t="n"/>
      <c r="B52" s="3" t="n"/>
      <c r="C52" s="4" t="n"/>
    </row>
    <row r="53">
      <c r="A53" s="2" t="n"/>
      <c r="B53" s="3" t="n"/>
      <c r="C53" s="4" t="n"/>
    </row>
    <row r="54">
      <c r="A54" s="2" t="n"/>
      <c r="B54" s="3" t="n"/>
      <c r="C54" s="4" t="n"/>
    </row>
    <row r="55">
      <c r="A55" s="2" t="n"/>
      <c r="B55" s="3" t="n"/>
      <c r="C55" s="4" t="n"/>
    </row>
    <row r="56">
      <c r="A56" s="2" t="n"/>
      <c r="B56" s="3" t="n"/>
      <c r="C56" s="4" t="n"/>
    </row>
    <row r="57">
      <c r="A57" s="2" t="n"/>
      <c r="B57" s="3" t="n"/>
      <c r="C57" s="4" t="n"/>
    </row>
    <row r="58">
      <c r="A58" s="2" t="n"/>
      <c r="B58" s="3" t="n"/>
      <c r="C58" s="4" t="n"/>
    </row>
    <row r="59">
      <c r="A59" s="2" t="n"/>
      <c r="B59" s="3" t="n"/>
      <c r="C59" s="4" t="n"/>
    </row>
    <row r="60">
      <c r="A60" s="2" t="n"/>
      <c r="B60" s="3" t="n"/>
      <c r="C60" s="4" t="n"/>
    </row>
    <row r="61">
      <c r="A61" s="2" t="n"/>
      <c r="B61" s="3" t="n"/>
      <c r="C61" s="4" t="n"/>
    </row>
    <row r="62">
      <c r="A62" s="2" t="n"/>
      <c r="B62" s="3" t="n"/>
      <c r="C62" s="4" t="n"/>
    </row>
    <row r="63">
      <c r="A63" s="2" t="n"/>
      <c r="B63" s="3" t="n"/>
      <c r="C63" s="4" t="n"/>
    </row>
    <row r="64">
      <c r="A64" s="2" t="n"/>
      <c r="B64" s="3" t="n"/>
      <c r="C64" s="4" t="n"/>
    </row>
    <row r="65">
      <c r="A65" s="2" t="n"/>
      <c r="B65" s="3" t="n"/>
      <c r="C65" s="4" t="n"/>
    </row>
    <row r="66">
      <c r="A66" s="2" t="n"/>
      <c r="B66" s="3" t="n"/>
      <c r="C66" s="4" t="n"/>
    </row>
    <row r="67">
      <c r="A67" s="2" t="n"/>
      <c r="B67" s="3" t="n"/>
      <c r="C67" s="4" t="n"/>
    </row>
    <row r="68">
      <c r="A68" s="2" t="n"/>
      <c r="B68" s="3" t="n"/>
      <c r="C68" s="4" t="n"/>
    </row>
    <row r="69">
      <c r="A69" s="2" t="n"/>
      <c r="B69" s="3" t="n"/>
      <c r="C69" s="4" t="n"/>
    </row>
    <row r="70">
      <c r="A70" s="2" t="n"/>
      <c r="B70" s="3" t="n"/>
      <c r="C70" s="4" t="n"/>
    </row>
    <row r="71">
      <c r="A71" s="2" t="n"/>
      <c r="B71" s="3" t="n"/>
      <c r="C71" s="4" t="n"/>
    </row>
    <row r="72">
      <c r="A72" s="2" t="n"/>
      <c r="B72" s="3" t="n"/>
      <c r="C72" s="4" t="n"/>
    </row>
    <row r="73">
      <c r="A73" s="2" t="n"/>
      <c r="B73" s="3" t="n"/>
      <c r="C73" s="4" t="n"/>
    </row>
    <row r="74">
      <c r="A74" s="2" t="n"/>
      <c r="B74" s="3" t="n"/>
      <c r="C74" s="4" t="n"/>
    </row>
    <row r="75">
      <c r="A75" s="2" t="n"/>
      <c r="B75" s="3" t="n"/>
      <c r="C75" s="4" t="n"/>
    </row>
    <row r="76">
      <c r="A76" s="2" t="n"/>
      <c r="B76" s="3" t="n"/>
      <c r="C76" s="4" t="n"/>
    </row>
    <row r="77">
      <c r="A77" s="2" t="n"/>
      <c r="B77" s="3" t="n"/>
      <c r="C77" s="4" t="n"/>
    </row>
    <row r="78">
      <c r="A78" s="2" t="n"/>
      <c r="B78" s="3" t="n"/>
      <c r="C78" s="4" t="n"/>
    </row>
    <row r="79">
      <c r="A79" s="2" t="n"/>
      <c r="B79" s="3" t="n"/>
      <c r="C79" s="4" t="n"/>
    </row>
    <row r="80">
      <c r="A80" s="2" t="n"/>
      <c r="B80" s="3" t="n"/>
      <c r="C80" s="4" t="n"/>
    </row>
    <row r="81">
      <c r="A81" s="2" t="n"/>
      <c r="B81" s="3" t="n"/>
      <c r="C81" s="4" t="n"/>
    </row>
    <row r="82">
      <c r="A82" s="2" t="n"/>
      <c r="B82" s="3" t="n"/>
      <c r="C82" s="4" t="n"/>
    </row>
    <row r="83">
      <c r="A83" s="2" t="n"/>
      <c r="B83" s="3" t="n"/>
      <c r="C83" s="4" t="n"/>
    </row>
    <row r="84">
      <c r="A84" s="2" t="n"/>
      <c r="B84" s="3" t="n"/>
      <c r="C84" s="4" t="n"/>
    </row>
    <row r="85">
      <c r="A85" s="2" t="n"/>
      <c r="B85" s="3" t="n"/>
      <c r="C85" s="4" t="n"/>
    </row>
    <row r="86">
      <c r="A86" s="2" t="n"/>
      <c r="B86" s="3" t="n"/>
      <c r="C86" s="4" t="n"/>
    </row>
    <row r="87">
      <c r="A87" s="2" t="n"/>
      <c r="B87" s="3" t="n"/>
      <c r="C87" s="4" t="n"/>
    </row>
    <row r="88">
      <c r="A88" s="2" t="n"/>
      <c r="B88" s="3" t="n"/>
      <c r="C88" s="4" t="n"/>
    </row>
    <row r="89">
      <c r="A89" s="2" t="n"/>
      <c r="B89" s="3" t="n"/>
      <c r="C89" s="4" t="n"/>
    </row>
    <row r="90">
      <c r="A90" s="2" t="n"/>
      <c r="B90" s="3" t="n"/>
      <c r="C90" s="4" t="n"/>
    </row>
    <row r="91">
      <c r="A91" s="2" t="n"/>
      <c r="B91" s="3" t="n"/>
      <c r="C91" s="4" t="n"/>
    </row>
    <row r="92">
      <c r="A92" s="2" t="n"/>
      <c r="B92" s="3" t="n"/>
      <c r="C92" s="4" t="n"/>
    </row>
    <row r="93">
      <c r="A93" s="2" t="n"/>
      <c r="B93" s="3" t="n"/>
      <c r="C93" s="4" t="n"/>
    </row>
    <row r="94">
      <c r="A94" s="2" t="n"/>
      <c r="B94" s="3" t="n"/>
      <c r="C94" s="4" t="n"/>
    </row>
    <row r="95">
      <c r="A95" s="2" t="n"/>
      <c r="B95" s="3" t="n"/>
      <c r="C95" s="4" t="n"/>
    </row>
    <row r="96">
      <c r="A96" s="2" t="n"/>
      <c r="B96" s="3" t="n"/>
      <c r="C96" s="4" t="n"/>
    </row>
    <row r="97">
      <c r="A97" s="2" t="n"/>
      <c r="B97" s="3" t="n"/>
      <c r="C97" s="4" t="n"/>
    </row>
    <row r="98">
      <c r="A98" s="2" t="n"/>
      <c r="B98" s="3" t="n"/>
      <c r="C98" s="4" t="n"/>
    </row>
    <row r="99">
      <c r="A99" s="2" t="n"/>
      <c r="B99" s="3" t="n"/>
      <c r="C99" s="4" t="n"/>
    </row>
    <row r="100">
      <c r="A100" s="2" t="n"/>
      <c r="B100" s="3" t="n"/>
      <c r="C100" s="4" t="n"/>
    </row>
    <row r="101">
      <c r="A101" s="2" t="n"/>
      <c r="B101" s="3" t="n"/>
      <c r="C101" s="4" t="n"/>
    </row>
    <row r="102">
      <c r="A102" s="2" t="n"/>
      <c r="B102" s="3" t="n"/>
      <c r="C102" s="4" t="n"/>
    </row>
    <row r="103">
      <c r="A103" s="2" t="n"/>
      <c r="B103" s="3" t="n"/>
      <c r="C103" s="4" t="n"/>
    </row>
    <row r="104">
      <c r="A104" s="2" t="n"/>
      <c r="B104" s="3" t="n"/>
      <c r="C104" s="4" t="n"/>
    </row>
    <row r="105">
      <c r="A105" s="2" t="n"/>
      <c r="B105" s="3" t="n"/>
      <c r="C105" s="4" t="n"/>
    </row>
    <row r="106">
      <c r="A106" s="2" t="n"/>
      <c r="B106" s="3" t="n"/>
      <c r="C106" s="4" t="n"/>
    </row>
    <row r="107">
      <c r="A107" s="2" t="n"/>
      <c r="B107" s="3" t="n"/>
      <c r="C107" s="4" t="n"/>
    </row>
    <row r="108">
      <c r="A108" s="2" t="n"/>
      <c r="B108" s="3" t="n"/>
      <c r="C108" s="4" t="n"/>
    </row>
    <row r="109">
      <c r="A109" s="2" t="n"/>
      <c r="B109" s="3" t="n"/>
      <c r="C109" s="4" t="n"/>
    </row>
    <row r="110">
      <c r="A110" s="2" t="n"/>
      <c r="B110" s="3" t="n"/>
      <c r="C110" s="4" t="n"/>
    </row>
    <row r="111">
      <c r="A111" s="2" t="n"/>
      <c r="B111" s="3" t="n"/>
      <c r="C111" s="4" t="n"/>
    </row>
    <row r="112">
      <c r="A112" s="2" t="n"/>
      <c r="B112" s="3" t="n"/>
      <c r="C112" s="4" t="n"/>
    </row>
    <row r="113">
      <c r="A113" s="2" t="n"/>
      <c r="B113" s="3" t="n"/>
      <c r="C113" s="4" t="n"/>
    </row>
    <row r="114">
      <c r="A114" s="2" t="n"/>
      <c r="B114" s="3" t="n"/>
      <c r="C114" s="4" t="n"/>
    </row>
    <row r="115">
      <c r="A115" s="2" t="n"/>
      <c r="B115" s="3" t="n"/>
      <c r="C115" s="4" t="n"/>
    </row>
    <row r="116">
      <c r="A116" s="2" t="n"/>
      <c r="B116" s="3" t="n"/>
      <c r="C116" s="4" t="n"/>
    </row>
    <row r="117">
      <c r="A117" s="2" t="n"/>
      <c r="B117" s="3" t="n"/>
      <c r="C117" s="4" t="n"/>
    </row>
    <row r="118">
      <c r="A118" s="2" t="n"/>
      <c r="B118" s="3" t="n"/>
      <c r="C118" s="4" t="n"/>
    </row>
    <row r="119">
      <c r="A119" s="2" t="n"/>
      <c r="B119" s="3" t="n"/>
      <c r="C119" s="4" t="n"/>
    </row>
    <row r="120">
      <c r="A120" s="2" t="n"/>
      <c r="B120" s="3" t="n"/>
      <c r="C120" s="4" t="n"/>
    </row>
    <row r="121">
      <c r="A121" s="2" t="n"/>
      <c r="B121" s="3" t="n"/>
      <c r="C121" s="4" t="n"/>
    </row>
    <row r="122">
      <c r="A122" s="2" t="n"/>
      <c r="B122" s="3" t="n"/>
      <c r="C122" s="4" t="n"/>
    </row>
    <row r="123">
      <c r="A123" s="2" t="n"/>
      <c r="B123" s="3" t="n"/>
      <c r="C123" s="4" t="n"/>
    </row>
    <row r="124">
      <c r="A124" s="2" t="n"/>
      <c r="B124" s="3" t="n"/>
      <c r="C124" s="4" t="n"/>
    </row>
    <row r="125">
      <c r="A125" s="2" t="n"/>
      <c r="B125" s="3" t="n"/>
      <c r="C125" s="4" t="n"/>
    </row>
    <row r="126">
      <c r="A126" s="2" t="n"/>
      <c r="B126" s="3" t="n"/>
      <c r="C126" s="4" t="n"/>
    </row>
    <row r="127">
      <c r="A127" s="2" t="n"/>
      <c r="B127" s="3" t="n"/>
      <c r="C127" s="4" t="n"/>
    </row>
    <row r="128">
      <c r="A128" s="2" t="n"/>
      <c r="B128" s="3" t="n"/>
      <c r="C128" s="4" t="n"/>
    </row>
    <row r="129">
      <c r="A129" s="2" t="n"/>
      <c r="B129" s="3" t="n"/>
      <c r="C129" s="4" t="n"/>
    </row>
    <row r="130">
      <c r="A130" s="2" t="n"/>
      <c r="B130" s="3" t="n"/>
      <c r="C130" s="4" t="n"/>
    </row>
    <row r="131">
      <c r="A131" s="2" t="n"/>
      <c r="B131" s="3" t="n"/>
      <c r="C131" s="4" t="n"/>
    </row>
    <row r="132">
      <c r="A132" s="2" t="n"/>
      <c r="B132" s="3" t="n"/>
      <c r="C132" s="4" t="n"/>
    </row>
    <row r="133">
      <c r="A133" s="2" t="n"/>
      <c r="B133" s="3" t="n"/>
      <c r="C133" s="4" t="n"/>
    </row>
    <row r="134">
      <c r="A134" s="2" t="n"/>
      <c r="B134" s="3" t="n"/>
      <c r="C134" s="4" t="n"/>
    </row>
    <row r="135">
      <c r="A135" s="2" t="n"/>
      <c r="B135" s="3" t="n"/>
      <c r="C135" s="4" t="n"/>
    </row>
    <row r="136">
      <c r="A136" s="2" t="n"/>
      <c r="B136" s="3" t="n"/>
      <c r="C136" s="4" t="n"/>
    </row>
    <row r="137">
      <c r="A137" s="2" t="n"/>
      <c r="B137" s="3" t="n"/>
      <c r="C137" s="4" t="n"/>
    </row>
    <row r="138">
      <c r="A138" s="2" t="n"/>
      <c r="B138" s="3" t="n"/>
      <c r="C138" s="4" t="n"/>
    </row>
    <row r="139">
      <c r="A139" s="2" t="n"/>
      <c r="B139" s="3" t="n"/>
      <c r="C139" s="4" t="n"/>
    </row>
    <row r="140">
      <c r="A140" s="2" t="n"/>
      <c r="B140" s="3" t="n"/>
      <c r="C140" s="4" t="n"/>
    </row>
    <row r="141">
      <c r="A141" s="2" t="n"/>
      <c r="B141" s="3" t="n"/>
      <c r="C141" s="4" t="n"/>
    </row>
    <row r="142">
      <c r="A142" s="2" t="n"/>
      <c r="B142" s="3" t="n"/>
      <c r="C142" s="4" t="n"/>
    </row>
    <row r="143">
      <c r="A143" s="2" t="n"/>
      <c r="B143" s="3" t="n"/>
      <c r="C143" s="4" t="n"/>
    </row>
    <row r="144">
      <c r="A144" s="2" t="n"/>
      <c r="B144" s="3" t="n"/>
      <c r="C144" s="4" t="n"/>
    </row>
    <row r="145">
      <c r="A145" s="2" t="n"/>
      <c r="B145" s="3" t="n"/>
      <c r="C145" s="4" t="n"/>
    </row>
    <row r="146">
      <c r="A146" s="2" t="n"/>
      <c r="B146" s="3" t="n"/>
      <c r="C146" s="4" t="n"/>
    </row>
    <row r="147">
      <c r="A147" s="2" t="n"/>
      <c r="B147" s="3" t="n"/>
      <c r="C147" s="4" t="n"/>
    </row>
    <row r="148">
      <c r="A148" s="2" t="n"/>
      <c r="B148" s="3" t="n"/>
      <c r="C148" s="4" t="n"/>
    </row>
    <row r="149">
      <c r="A149" s="2" t="n"/>
      <c r="B149" s="3" t="n"/>
      <c r="C149" s="4" t="n"/>
    </row>
    <row r="150">
      <c r="A150" s="2" t="n"/>
      <c r="B150" s="3" t="n"/>
      <c r="C150" s="4" t="n"/>
    </row>
    <row r="151">
      <c r="A151" s="2" t="n"/>
      <c r="B151" s="3" t="n"/>
      <c r="C151" s="4" t="n"/>
    </row>
    <row r="152">
      <c r="A152" s="2" t="n"/>
      <c r="B152" s="3" t="n"/>
      <c r="C152" s="4" t="n"/>
    </row>
    <row r="153">
      <c r="A153" s="2" t="n"/>
      <c r="B153" s="3" t="n"/>
      <c r="C153" s="4" t="n"/>
    </row>
    <row r="154">
      <c r="A154" s="2" t="n"/>
      <c r="B154" s="3" t="n"/>
      <c r="C154" s="4" t="n"/>
    </row>
    <row r="155">
      <c r="A155" s="2" t="n"/>
      <c r="B155" s="3" t="n"/>
      <c r="C155" s="4" t="n"/>
    </row>
    <row r="156">
      <c r="A156" s="2" t="n"/>
      <c r="B156" s="3" t="n"/>
      <c r="C156" s="4" t="n"/>
    </row>
    <row r="157">
      <c r="A157" s="2" t="n"/>
      <c r="B157" s="3" t="n"/>
      <c r="C157" s="4" t="n"/>
    </row>
    <row r="158">
      <c r="A158" s="2" t="n"/>
      <c r="B158" s="3" t="n"/>
      <c r="C158" s="4" t="n"/>
    </row>
    <row r="159">
      <c r="A159" s="2" t="n"/>
      <c r="B159" s="3" t="n"/>
      <c r="C159" s="4" t="n"/>
    </row>
    <row r="160">
      <c r="A160" s="2" t="n"/>
      <c r="B160" s="3" t="n"/>
      <c r="C160" s="4" t="n"/>
    </row>
    <row r="161">
      <c r="A161" s="2" t="n"/>
      <c r="B161" s="3" t="n"/>
      <c r="C161" s="4" t="n"/>
    </row>
    <row r="162">
      <c r="A162" s="2" t="n"/>
      <c r="B162" s="3" t="n"/>
      <c r="C162" s="4" t="n"/>
    </row>
    <row r="163">
      <c r="A163" s="2" t="n"/>
      <c r="B163" s="3" t="n"/>
      <c r="C163" s="4" t="n"/>
    </row>
    <row r="164">
      <c r="A164" s="2" t="n"/>
      <c r="B164" s="3" t="n"/>
      <c r="C164" s="4" t="n"/>
    </row>
    <row r="165">
      <c r="A165" s="2" t="n"/>
      <c r="B165" s="3" t="n"/>
      <c r="C165" s="4" t="n"/>
    </row>
    <row r="166">
      <c r="A166" s="2" t="n"/>
      <c r="B166" s="3" t="n"/>
      <c r="C166" s="4" t="n"/>
    </row>
    <row r="167">
      <c r="A167" s="2" t="n"/>
      <c r="B167" s="3" t="n"/>
      <c r="C167" s="4" t="n"/>
    </row>
    <row r="168">
      <c r="A168" s="2" t="n"/>
      <c r="B168" s="3" t="n"/>
      <c r="C168" s="4" t="n"/>
    </row>
    <row r="169">
      <c r="A169" s="2" t="n"/>
      <c r="B169" s="3" t="n"/>
      <c r="C169" s="4" t="n"/>
    </row>
    <row r="170">
      <c r="A170" s="2" t="n"/>
      <c r="B170" s="3" t="n"/>
      <c r="C170" s="4" t="n"/>
    </row>
    <row r="171">
      <c r="A171" s="2" t="n"/>
      <c r="B171" s="3" t="n"/>
      <c r="C171" s="4" t="n"/>
    </row>
    <row r="172">
      <c r="A172" s="2" t="n"/>
      <c r="B172" s="3" t="n"/>
      <c r="C172" s="4" t="n"/>
    </row>
    <row r="173">
      <c r="A173" s="2" t="n"/>
      <c r="B173" s="3" t="n"/>
      <c r="C173" s="4" t="n"/>
    </row>
    <row r="174">
      <c r="A174" s="2" t="n"/>
      <c r="B174" s="3" t="n"/>
      <c r="C174" s="4" t="n"/>
    </row>
    <row r="175">
      <c r="A175" s="2" t="n"/>
      <c r="B175" s="3" t="n"/>
      <c r="C175" s="4" t="n"/>
    </row>
    <row r="176">
      <c r="A176" s="2" t="n"/>
      <c r="B176" s="3" t="n"/>
      <c r="C176" s="4" t="n"/>
    </row>
    <row r="177">
      <c r="A177" s="2" t="n"/>
      <c r="B177" s="3" t="n"/>
      <c r="C177" s="4" t="n"/>
    </row>
    <row r="178">
      <c r="A178" s="2" t="n"/>
      <c r="B178" s="3" t="n"/>
      <c r="C178" s="4" t="n"/>
    </row>
    <row r="179">
      <c r="A179" s="2" t="n"/>
      <c r="B179" s="3" t="n"/>
      <c r="C179" s="4" t="n"/>
    </row>
    <row r="180">
      <c r="A180" s="2" t="n"/>
      <c r="B180" s="3" t="n"/>
      <c r="C180" s="4" t="n"/>
    </row>
    <row r="181">
      <c r="A181" s="2" t="n"/>
      <c r="B181" s="3" t="n"/>
      <c r="C181" s="4" t="n"/>
    </row>
    <row r="182">
      <c r="A182" s="2" t="n"/>
      <c r="B182" s="3" t="n"/>
      <c r="C182" s="4" t="n"/>
    </row>
    <row r="183">
      <c r="A183" s="2" t="n"/>
      <c r="B183" s="3" t="n"/>
      <c r="C183" s="4" t="n"/>
    </row>
    <row r="184">
      <c r="A184" s="2" t="n"/>
      <c r="B184" s="3" t="n"/>
      <c r="C184" s="4" t="n"/>
    </row>
    <row r="185">
      <c r="A185" s="2" t="n"/>
      <c r="B185" s="3" t="n"/>
      <c r="C185" s="4" t="n"/>
    </row>
    <row r="186">
      <c r="A186" s="2" t="n"/>
      <c r="B186" s="3" t="n"/>
      <c r="C186" s="4" t="n"/>
    </row>
    <row r="187">
      <c r="A187" s="2" t="n"/>
      <c r="B187" s="3" t="n"/>
      <c r="C187" s="4" t="n"/>
    </row>
    <row r="188">
      <c r="A188" s="2" t="n"/>
      <c r="B188" s="3" t="n"/>
      <c r="C188" s="4" t="n"/>
    </row>
    <row r="189">
      <c r="A189" s="2" t="n"/>
      <c r="B189" s="3" t="n"/>
      <c r="C189" s="4" t="n"/>
    </row>
    <row r="190">
      <c r="A190" s="2" t="n"/>
      <c r="B190" s="3" t="n"/>
      <c r="C190" s="4" t="n"/>
    </row>
    <row r="191">
      <c r="A191" s="2" t="n"/>
      <c r="B191" s="3" t="n"/>
      <c r="C191" s="4" t="n"/>
    </row>
    <row r="192">
      <c r="A192" s="2" t="n"/>
      <c r="B192" s="3" t="n"/>
      <c r="C192" s="4" t="n"/>
    </row>
    <row r="193">
      <c r="A193" s="2" t="n"/>
      <c r="B193" s="3" t="n"/>
      <c r="C193" s="4" t="n"/>
    </row>
    <row r="194">
      <c r="A194" s="2" t="n"/>
      <c r="B194" s="3" t="n"/>
      <c r="C194" s="4" t="n"/>
    </row>
    <row r="195">
      <c r="A195" s="2" t="n"/>
      <c r="B195" s="3" t="n"/>
      <c r="C195" s="4" t="n"/>
    </row>
    <row r="196">
      <c r="A196" s="2" t="n"/>
      <c r="B196" s="3" t="n"/>
      <c r="C196" s="4" t="n"/>
    </row>
    <row r="197">
      <c r="A197" s="2" t="n"/>
      <c r="B197" s="3" t="n"/>
      <c r="C197" s="4" t="n"/>
    </row>
    <row r="198">
      <c r="A198" s="2" t="n"/>
      <c r="B198" s="3" t="n"/>
      <c r="C198" s="4" t="n"/>
    </row>
    <row r="199">
      <c r="A199" s="2" t="n"/>
      <c r="B199" s="3" t="n"/>
      <c r="C199" s="4" t="n"/>
    </row>
    <row r="200">
      <c r="A200" s="2" t="n"/>
      <c r="B200" s="3" t="n"/>
      <c r="C200" s="4" t="n"/>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H54"/>
  <sheetViews>
    <sheetView workbookViewId="0">
      <pane ySplit="4" topLeftCell="A5" activePane="bottomLeft" state="frozen"/>
      <selection pane="bottomLeft" activeCell="A1" sqref="A1"/>
    </sheetView>
  </sheetViews>
  <sheetFormatPr baseColWidth="8" defaultRowHeight="15"/>
  <cols>
    <col width="22" customWidth="1" min="1" max="1"/>
    <col width="13" customWidth="1" min="2" max="2"/>
    <col width="11" customWidth="1" min="3" max="3"/>
    <col width="12" customWidth="1" min="4" max="4"/>
    <col width="16" customWidth="1" min="5" max="5"/>
    <col width="3" customWidth="1" min="6" max="6"/>
    <col width="50" customWidth="1" min="7" max="7"/>
    <col width="16" customWidth="1" min="8" max="8"/>
  </cols>
  <sheetData>
    <row r="1">
      <c r="A1" s="5" t="inlineStr">
        <is>
          <t>Fictional customers. As-of date and the days cutoff are on the Settings tab. Status uses: days since last order greater than the cutoff = Lapsed.</t>
        </is>
      </c>
    </row>
    <row r="4" ht="32" customHeight="1">
      <c r="A4" s="1" t="inlineStr">
        <is>
          <t>Customer</t>
        </is>
      </c>
      <c r="B4" s="1" t="inlineStr">
        <is>
          <t>Last order</t>
        </is>
      </c>
      <c r="C4" s="1" t="inlineStr">
        <is>
          <t>Days since</t>
        </is>
      </c>
      <c r="D4" s="1" t="inlineStr">
        <is>
          <t>Status</t>
        </is>
      </c>
      <c r="E4" s="1" t="inlineStr">
        <is>
          <t>Lifetime spend</t>
        </is>
      </c>
    </row>
    <row r="5">
      <c r="A5" s="3" t="inlineStr">
        <is>
          <t>Alma Reyes</t>
        </is>
      </c>
      <c r="B5" s="6">
        <f>IF(A5="","",IF(COUNTIFS(Orders!$B$2:$B$200,A5,Orders!$A$2:$A$200,"&gt;0")=0,"No orders",_xlfn.MAXIFS(Orders!$A$2:$A$200,Orders!$B$2:$B$200,A5)))</f>
        <v/>
      </c>
      <c r="C5" s="7">
        <f>IF(AND(ISNUMBER(B5),ISNUMBER(Settings!$B$1)),Settings!$B$1-B5,"")</f>
        <v/>
      </c>
      <c r="D5" s="8">
        <f>IF(A5="","",IF(Settings!$B$3&lt;&gt;"OK","Check settings",IF(NOT(ISNUMBER(C5)),"No orders",IF(C5&gt;Settings!$B$2,"Lapsed","Active"))))</f>
        <v/>
      </c>
      <c r="E5" s="9">
        <f>IF(A5="","",SUMIF(Orders!$B$2:$B$200,A5,Orders!$C$2:$C$200))</f>
        <v/>
      </c>
      <c r="G5" s="10" t="inlineStr">
        <is>
          <t>Customers listed</t>
        </is>
      </c>
      <c r="H5" s="7">
        <f>COUNTA(A5:A54)</f>
        <v/>
      </c>
    </row>
    <row r="6">
      <c r="A6" s="3" t="inlineStr">
        <is>
          <t>Ben Tran</t>
        </is>
      </c>
      <c r="B6" s="6">
        <f>IF(A6="","",IF(COUNTIFS(Orders!$B$2:$B$200,A6,Orders!$A$2:$A$200,"&gt;0")=0,"No orders",_xlfn.MAXIFS(Orders!$A$2:$A$200,Orders!$B$2:$B$200,A6)))</f>
        <v/>
      </c>
      <c r="C6" s="7">
        <f>IF(AND(ISNUMBER(B6),ISNUMBER(Settings!$B$1)),Settings!$B$1-B6,"")</f>
        <v/>
      </c>
      <c r="D6" s="8">
        <f>IF(A6="","",IF(Settings!$B$3&lt;&gt;"OK","Check settings",IF(NOT(ISNUMBER(C6)),"No orders",IF(C6&gt;Settings!$B$2,"Lapsed","Active"))))</f>
        <v/>
      </c>
      <c r="E6" s="9">
        <f>IF(A6="","",SUMIF(Orders!$B$2:$B$200,A6,Orders!$C$2:$C$200))</f>
        <v/>
      </c>
      <c r="G6" s="10" t="inlineStr">
        <is>
          <t>Active</t>
        </is>
      </c>
      <c r="H6" s="7">
        <f>COUNTIF(D5:D54,"Active")</f>
        <v/>
      </c>
    </row>
    <row r="7">
      <c r="A7" s="3" t="inlineStr">
        <is>
          <t>Cora Lind</t>
        </is>
      </c>
      <c r="B7" s="6">
        <f>IF(A7="","",IF(COUNTIFS(Orders!$B$2:$B$200,A7,Orders!$A$2:$A$200,"&gt;0")=0,"No orders",_xlfn.MAXIFS(Orders!$A$2:$A$200,Orders!$B$2:$B$200,A7)))</f>
        <v/>
      </c>
      <c r="C7" s="7">
        <f>IF(AND(ISNUMBER(B7),ISNUMBER(Settings!$B$1)),Settings!$B$1-B7,"")</f>
        <v/>
      </c>
      <c r="D7" s="8">
        <f>IF(A7="","",IF(Settings!$B$3&lt;&gt;"OK","Check settings",IF(NOT(ISNUMBER(C7)),"No orders",IF(C7&gt;Settings!$B$2,"Lapsed","Active"))))</f>
        <v/>
      </c>
      <c r="E7" s="9">
        <f>IF(A7="","",SUMIF(Orders!$B$2:$B$200,A7,Orders!$C$2:$C$200))</f>
        <v/>
      </c>
      <c r="G7" s="10" t="inlineStr">
        <is>
          <t>Lapsed</t>
        </is>
      </c>
      <c r="H7" s="7">
        <f>COUNTIF(D5:D54,"Lapsed")</f>
        <v/>
      </c>
    </row>
    <row r="8">
      <c r="A8" s="3" t="inlineStr">
        <is>
          <t>Dev Kapoor</t>
        </is>
      </c>
      <c r="B8" s="6">
        <f>IF(A8="","",IF(COUNTIFS(Orders!$B$2:$B$200,A8,Orders!$A$2:$A$200,"&gt;0")=0,"No orders",_xlfn.MAXIFS(Orders!$A$2:$A$200,Orders!$B$2:$B$200,A8)))</f>
        <v/>
      </c>
      <c r="C8" s="7">
        <f>IF(AND(ISNUMBER(B8),ISNUMBER(Settings!$B$1)),Settings!$B$1-B8,"")</f>
        <v/>
      </c>
      <c r="D8" s="8">
        <f>IF(A8="","",IF(Settings!$B$3&lt;&gt;"OK","Check settings",IF(NOT(ISNUMBER(C8)),"No orders",IF(C8&gt;Settings!$B$2,"Lapsed","Active"))))</f>
        <v/>
      </c>
      <c r="E8" s="9">
        <f>IF(A8="","",SUMIF(Orders!$B$2:$B$200,A8,Orders!$C$2:$C$200))</f>
        <v/>
      </c>
      <c r="G8" s="10" t="inlineStr">
        <is>
          <t>No orders</t>
        </is>
      </c>
      <c r="H8" s="7">
        <f>COUNTIF(D5:D54,"No orders")</f>
        <v/>
      </c>
    </row>
    <row r="9">
      <c r="A9" s="3" t="inlineStr">
        <is>
          <t>Elena Marsh</t>
        </is>
      </c>
      <c r="B9" s="6">
        <f>IF(A9="","",IF(COUNTIFS(Orders!$B$2:$B$200,A9,Orders!$A$2:$A$200,"&gt;0")=0,"No orders",_xlfn.MAXIFS(Orders!$A$2:$A$200,Orders!$B$2:$B$200,A9)))</f>
        <v/>
      </c>
      <c r="C9" s="7">
        <f>IF(AND(ISNUMBER(B9),ISNUMBER(Settings!$B$1)),Settings!$B$1-B9,"")</f>
        <v/>
      </c>
      <c r="D9" s="8">
        <f>IF(A9="","",IF(Settings!$B$3&lt;&gt;"OK","Check settings",IF(NOT(ISNUMBER(C9)),"No orders",IF(C9&gt;Settings!$B$2,"Lapsed","Active"))))</f>
        <v/>
      </c>
      <c r="E9" s="9">
        <f>IF(A9="","",SUMIF(Orders!$B$2:$B$200,A9,Orders!$C$2:$C$200))</f>
        <v/>
      </c>
      <c r="G9" s="10" t="inlineStr">
        <is>
          <t>Lifetime spend of the lapsed customers</t>
        </is>
      </c>
      <c r="H9" s="9">
        <f>SUMIF(D5:D54,"Lapsed",E5:E54)</f>
        <v/>
      </c>
    </row>
    <row r="10">
      <c r="A10" s="3" t="inlineStr">
        <is>
          <t>Felix Ode</t>
        </is>
      </c>
      <c r="B10" s="6">
        <f>IF(A10="","",IF(COUNTIFS(Orders!$B$2:$B$200,A10,Orders!$A$2:$A$200,"&gt;0")=0,"No orders",_xlfn.MAXIFS(Orders!$A$2:$A$200,Orders!$B$2:$B$200,A10)))</f>
        <v/>
      </c>
      <c r="C10" s="7">
        <f>IF(AND(ISNUMBER(B10),ISNUMBER(Settings!$B$1)),Settings!$B$1-B10,"")</f>
        <v/>
      </c>
      <c r="D10" s="8">
        <f>IF(A10="","",IF(Settings!$B$3&lt;&gt;"OK","Check settings",IF(NOT(ISNUMBER(C10)),"No orders",IF(C10&gt;Settings!$B$2,"Lapsed","Active"))))</f>
        <v/>
      </c>
      <c r="E10" s="9">
        <f>IF(A10="","",SUMIF(Orders!$B$2:$B$200,A10,Orders!$C$2:$C$200))</f>
        <v/>
      </c>
      <c r="G10" s="10" t="inlineStr">
        <is>
          <t>Orders for a name not in the Customers list</t>
        </is>
      </c>
      <c r="H10" s="7">
        <f>SUMPRODUCT(--(Orders!$B$2:$B$200&lt;&gt;""),--(COUNTIF(A5:A54,Orders!$B$2:$B$200)=0))</f>
        <v/>
      </c>
    </row>
    <row r="11">
      <c r="A11" s="3" t="inlineStr">
        <is>
          <t>Grace Hale</t>
        </is>
      </c>
      <c r="B11" s="6">
        <f>IF(A11="","",IF(COUNTIFS(Orders!$B$2:$B$200,A11,Orders!$A$2:$A$200,"&gt;0")=0,"No orders",_xlfn.MAXIFS(Orders!$A$2:$A$200,Orders!$B$2:$B$200,A11)))</f>
        <v/>
      </c>
      <c r="C11" s="7">
        <f>IF(AND(ISNUMBER(B11),ISNUMBER(Settings!$B$1)),Settings!$B$1-B11,"")</f>
        <v/>
      </c>
      <c r="D11" s="8">
        <f>IF(A11="","",IF(Settings!$B$3&lt;&gt;"OK","Check settings",IF(NOT(ISNUMBER(C11)),"No orders",IF(C11&gt;Settings!$B$2,"Lapsed","Active"))))</f>
        <v/>
      </c>
      <c r="E11" s="9">
        <f>IF(A11="","",SUMIF(Orders!$B$2:$B$200,A11,Orders!$C$2:$C$200))</f>
        <v/>
      </c>
      <c r="G11" s="10" t="inlineStr">
        <is>
          <t>Orders dated after the as-of date</t>
        </is>
      </c>
      <c r="H11" s="7">
        <f>COUNTIF(Orders!$A$2:$A$200,"&gt;"&amp;Settings!B1)</f>
        <v/>
      </c>
    </row>
    <row r="12" ht="32" customHeight="1">
      <c r="A12" s="3" t="inlineStr">
        <is>
          <t>Hugo Park</t>
        </is>
      </c>
      <c r="B12" s="6">
        <f>IF(A12="","",IF(COUNTIFS(Orders!$B$2:$B$200,A12,Orders!$A$2:$A$200,"&gt;0")=0,"No orders",_xlfn.MAXIFS(Orders!$A$2:$A$200,Orders!$B$2:$B$200,A12)))</f>
        <v/>
      </c>
      <c r="C12" s="7">
        <f>IF(AND(ISNUMBER(B12),ISNUMBER(Settings!$B$1)),Settings!$B$1-B12,"")</f>
        <v/>
      </c>
      <c r="D12" s="8">
        <f>IF(A12="","",IF(Settings!$B$3&lt;&gt;"OK","Check settings",IF(NOT(ISNUMBER(C12)),"No orders",IF(C12&gt;Settings!$B$2,"Lapsed","Active"))))</f>
        <v/>
      </c>
      <c r="E12" s="9">
        <f>IF(A12="","",SUMIF(Orders!$B$2:$B$200,A12,Orders!$C$2:$C$200))</f>
        <v/>
      </c>
      <c r="G12" s="11" t="inlineStr">
        <is>
          <t>Check: Active + Lapsed + No orders = customers, every order has a listed customer</t>
        </is>
      </c>
      <c r="H12" s="8">
        <f>IF(AND(Settings!B3="OK",H6+H7+H8=H5,H10=0,SUMPRODUCT((A5:A54&lt;&gt;"")*(COUNTIF(A5:A54,A5:A54)&gt;1))=0,COUNTA(A55:A500)=0),"OK","CHECK")</f>
        <v/>
      </c>
    </row>
    <row r="13">
      <c r="A13" s="3" t="inlineStr">
        <is>
          <t>Iris Wong</t>
        </is>
      </c>
      <c r="B13" s="6">
        <f>IF(A13="","",IF(COUNTIFS(Orders!$B$2:$B$200,A13,Orders!$A$2:$A$200,"&gt;0")=0,"No orders",_xlfn.MAXIFS(Orders!$A$2:$A$200,Orders!$B$2:$B$200,A13)))</f>
        <v/>
      </c>
      <c r="C13" s="7">
        <f>IF(AND(ISNUMBER(B13),ISNUMBER(Settings!$B$1)),Settings!$B$1-B13,"")</f>
        <v/>
      </c>
      <c r="D13" s="8">
        <f>IF(A13="","",IF(Settings!$B$3&lt;&gt;"OK","Check settings",IF(NOT(ISNUMBER(C13)),"No orders",IF(C13&gt;Settings!$B$2,"Lapsed","Active"))))</f>
        <v/>
      </c>
      <c r="E13" s="9">
        <f>IF(A13="","",SUMIF(Orders!$B$2:$B$200,A13,Orders!$C$2:$C$200))</f>
        <v/>
      </c>
    </row>
    <row r="14">
      <c r="A14" s="3" t="inlineStr">
        <is>
          <t>Jonah Bell</t>
        </is>
      </c>
      <c r="B14" s="6">
        <f>IF(A14="","",IF(COUNTIFS(Orders!$B$2:$B$200,A14,Orders!$A$2:$A$200,"&gt;0")=0,"No orders",_xlfn.MAXIFS(Orders!$A$2:$A$200,Orders!$B$2:$B$200,A14)))</f>
        <v/>
      </c>
      <c r="C14" s="7">
        <f>IF(AND(ISNUMBER(B14),ISNUMBER(Settings!$B$1)),Settings!$B$1-B14,"")</f>
        <v/>
      </c>
      <c r="D14" s="8">
        <f>IF(A14="","",IF(Settings!$B$3&lt;&gt;"OK","Check settings",IF(NOT(ISNUMBER(C14)),"No orders",IF(C14&gt;Settings!$B$2,"Lapsed","Active"))))</f>
        <v/>
      </c>
      <c r="E14" s="9">
        <f>IF(A14="","",SUMIF(Orders!$B$2:$B$200,A14,Orders!$C$2:$C$200))</f>
        <v/>
      </c>
    </row>
    <row r="15">
      <c r="A15" s="3" t="inlineStr">
        <is>
          <t>Kira Stone</t>
        </is>
      </c>
      <c r="B15" s="6">
        <f>IF(A15="","",IF(COUNTIFS(Orders!$B$2:$B$200,A15,Orders!$A$2:$A$200,"&gt;0")=0,"No orders",_xlfn.MAXIFS(Orders!$A$2:$A$200,Orders!$B$2:$B$200,A15)))</f>
        <v/>
      </c>
      <c r="C15" s="7">
        <f>IF(AND(ISNUMBER(B15),ISNUMBER(Settings!$B$1)),Settings!$B$1-B15,"")</f>
        <v/>
      </c>
      <c r="D15" s="8">
        <f>IF(A15="","",IF(Settings!$B$3&lt;&gt;"OK","Check settings",IF(NOT(ISNUMBER(C15)),"No orders",IF(C15&gt;Settings!$B$2,"Lapsed","Active"))))</f>
        <v/>
      </c>
      <c r="E15" s="9">
        <f>IF(A15="","",SUMIF(Orders!$B$2:$B$200,A15,Orders!$C$2:$C$200))</f>
        <v/>
      </c>
    </row>
    <row r="16">
      <c r="A16" s="3" t="inlineStr">
        <is>
          <t>Leo Navarro</t>
        </is>
      </c>
      <c r="B16" s="6">
        <f>IF(A16="","",IF(COUNTIFS(Orders!$B$2:$B$200,A16,Orders!$A$2:$A$200,"&gt;0")=0,"No orders",_xlfn.MAXIFS(Orders!$A$2:$A$200,Orders!$B$2:$B$200,A16)))</f>
        <v/>
      </c>
      <c r="C16" s="7">
        <f>IF(AND(ISNUMBER(B16),ISNUMBER(Settings!$B$1)),Settings!$B$1-B16,"")</f>
        <v/>
      </c>
      <c r="D16" s="8">
        <f>IF(A16="","",IF(Settings!$B$3&lt;&gt;"OK","Check settings",IF(NOT(ISNUMBER(C16)),"No orders",IF(C16&gt;Settings!$B$2,"Lapsed","Active"))))</f>
        <v/>
      </c>
      <c r="E16" s="9">
        <f>IF(A16="","",SUMIF(Orders!$B$2:$B$200,A16,Orders!$C$2:$C$200))</f>
        <v/>
      </c>
    </row>
    <row r="17">
      <c r="A17" s="3" t="inlineStr">
        <is>
          <t>Maya Cole</t>
        </is>
      </c>
      <c r="B17" s="6">
        <f>IF(A17="","",IF(COUNTIFS(Orders!$B$2:$B$200,A17,Orders!$A$2:$A$200,"&gt;0")=0,"No orders",_xlfn.MAXIFS(Orders!$A$2:$A$200,Orders!$B$2:$B$200,A17)))</f>
        <v/>
      </c>
      <c r="C17" s="7">
        <f>IF(AND(ISNUMBER(B17),ISNUMBER(Settings!$B$1)),Settings!$B$1-B17,"")</f>
        <v/>
      </c>
      <c r="D17" s="8">
        <f>IF(A17="","",IF(Settings!$B$3&lt;&gt;"OK","Check settings",IF(NOT(ISNUMBER(C17)),"No orders",IF(C17&gt;Settings!$B$2,"Lapsed","Active"))))</f>
        <v/>
      </c>
      <c r="E17" s="9">
        <f>IF(A17="","",SUMIF(Orders!$B$2:$B$200,A17,Orders!$C$2:$C$200))</f>
        <v/>
      </c>
    </row>
    <row r="18">
      <c r="A18" s="3" t="inlineStr">
        <is>
          <t>Nate Dunn</t>
        </is>
      </c>
      <c r="B18" s="6">
        <f>IF(A18="","",IF(COUNTIFS(Orders!$B$2:$B$200,A18,Orders!$A$2:$A$200,"&gt;0")=0,"No orders",_xlfn.MAXIFS(Orders!$A$2:$A$200,Orders!$B$2:$B$200,A18)))</f>
        <v/>
      </c>
      <c r="C18" s="7">
        <f>IF(AND(ISNUMBER(B18),ISNUMBER(Settings!$B$1)),Settings!$B$1-B18,"")</f>
        <v/>
      </c>
      <c r="D18" s="8">
        <f>IF(A18="","",IF(Settings!$B$3&lt;&gt;"OK","Check settings",IF(NOT(ISNUMBER(C18)),"No orders",IF(C18&gt;Settings!$B$2,"Lapsed","Active"))))</f>
        <v/>
      </c>
      <c r="E18" s="9">
        <f>IF(A18="","",SUMIF(Orders!$B$2:$B$200,A18,Orders!$C$2:$C$200))</f>
        <v/>
      </c>
    </row>
    <row r="19">
      <c r="A19" s="3" t="inlineStr">
        <is>
          <t>Opal Frost</t>
        </is>
      </c>
      <c r="B19" s="6">
        <f>IF(A19="","",IF(COUNTIFS(Orders!$B$2:$B$200,A19,Orders!$A$2:$A$200,"&gt;0")=0,"No orders",_xlfn.MAXIFS(Orders!$A$2:$A$200,Orders!$B$2:$B$200,A19)))</f>
        <v/>
      </c>
      <c r="C19" s="7">
        <f>IF(AND(ISNUMBER(B19),ISNUMBER(Settings!$B$1)),Settings!$B$1-B19,"")</f>
        <v/>
      </c>
      <c r="D19" s="8">
        <f>IF(A19="","",IF(Settings!$B$3&lt;&gt;"OK","Check settings",IF(NOT(ISNUMBER(C19)),"No orders",IF(C19&gt;Settings!$B$2,"Lapsed","Active"))))</f>
        <v/>
      </c>
      <c r="E19" s="9">
        <f>IF(A19="","",SUMIF(Orders!$B$2:$B$200,A19,Orders!$C$2:$C$200))</f>
        <v/>
      </c>
    </row>
    <row r="20">
      <c r="A20" s="3" t="n"/>
      <c r="B20" s="6">
        <f>IF(A20="","",IF(COUNTIFS(Orders!$B$2:$B$200,A20,Orders!$A$2:$A$200,"&gt;0")=0,"No orders",_xlfn.MAXIFS(Orders!$A$2:$A$200,Orders!$B$2:$B$200,A20)))</f>
        <v/>
      </c>
      <c r="C20" s="7">
        <f>IF(AND(ISNUMBER(B20),ISNUMBER(Settings!$B$1)),Settings!$B$1-B20,"")</f>
        <v/>
      </c>
      <c r="D20" s="8">
        <f>IF(A20="","",IF(Settings!$B$3&lt;&gt;"OK","Check settings",IF(NOT(ISNUMBER(C20)),"No orders",IF(C20&gt;Settings!$B$2,"Lapsed","Active"))))</f>
        <v/>
      </c>
      <c r="E20" s="9">
        <f>IF(A20="","",SUMIF(Orders!$B$2:$B$200,A20,Orders!$C$2:$C$200))</f>
        <v/>
      </c>
    </row>
    <row r="21">
      <c r="A21" s="3" t="n"/>
      <c r="B21" s="6">
        <f>IF(A21="","",IF(COUNTIFS(Orders!$B$2:$B$200,A21,Orders!$A$2:$A$200,"&gt;0")=0,"No orders",_xlfn.MAXIFS(Orders!$A$2:$A$200,Orders!$B$2:$B$200,A21)))</f>
        <v/>
      </c>
      <c r="C21" s="7">
        <f>IF(AND(ISNUMBER(B21),ISNUMBER(Settings!$B$1)),Settings!$B$1-B21,"")</f>
        <v/>
      </c>
      <c r="D21" s="8">
        <f>IF(A21="","",IF(Settings!$B$3&lt;&gt;"OK","Check settings",IF(NOT(ISNUMBER(C21)),"No orders",IF(C21&gt;Settings!$B$2,"Lapsed","Active"))))</f>
        <v/>
      </c>
      <c r="E21" s="9">
        <f>IF(A21="","",SUMIF(Orders!$B$2:$B$200,A21,Orders!$C$2:$C$200))</f>
        <v/>
      </c>
    </row>
    <row r="22">
      <c r="A22" s="3" t="n"/>
      <c r="B22" s="6">
        <f>IF(A22="","",IF(COUNTIFS(Orders!$B$2:$B$200,A22,Orders!$A$2:$A$200,"&gt;0")=0,"No orders",_xlfn.MAXIFS(Orders!$A$2:$A$200,Orders!$B$2:$B$200,A22)))</f>
        <v/>
      </c>
      <c r="C22" s="7">
        <f>IF(AND(ISNUMBER(B22),ISNUMBER(Settings!$B$1)),Settings!$B$1-B22,"")</f>
        <v/>
      </c>
      <c r="D22" s="8">
        <f>IF(A22="","",IF(Settings!$B$3&lt;&gt;"OK","Check settings",IF(NOT(ISNUMBER(C22)),"No orders",IF(C22&gt;Settings!$B$2,"Lapsed","Active"))))</f>
        <v/>
      </c>
      <c r="E22" s="9">
        <f>IF(A22="","",SUMIF(Orders!$B$2:$B$200,A22,Orders!$C$2:$C$200))</f>
        <v/>
      </c>
    </row>
    <row r="23">
      <c r="A23" s="3" t="n"/>
      <c r="B23" s="6">
        <f>IF(A23="","",IF(COUNTIFS(Orders!$B$2:$B$200,A23,Orders!$A$2:$A$200,"&gt;0")=0,"No orders",_xlfn.MAXIFS(Orders!$A$2:$A$200,Orders!$B$2:$B$200,A23)))</f>
        <v/>
      </c>
      <c r="C23" s="7">
        <f>IF(AND(ISNUMBER(B23),ISNUMBER(Settings!$B$1)),Settings!$B$1-B23,"")</f>
        <v/>
      </c>
      <c r="D23" s="8">
        <f>IF(A23="","",IF(Settings!$B$3&lt;&gt;"OK","Check settings",IF(NOT(ISNUMBER(C23)),"No orders",IF(C23&gt;Settings!$B$2,"Lapsed","Active"))))</f>
        <v/>
      </c>
      <c r="E23" s="9">
        <f>IF(A23="","",SUMIF(Orders!$B$2:$B$200,A23,Orders!$C$2:$C$200))</f>
        <v/>
      </c>
    </row>
    <row r="24">
      <c r="A24" s="3" t="n"/>
      <c r="B24" s="6">
        <f>IF(A24="","",IF(COUNTIFS(Orders!$B$2:$B$200,A24,Orders!$A$2:$A$200,"&gt;0")=0,"No orders",_xlfn.MAXIFS(Orders!$A$2:$A$200,Orders!$B$2:$B$200,A24)))</f>
        <v/>
      </c>
      <c r="C24" s="7">
        <f>IF(AND(ISNUMBER(B24),ISNUMBER(Settings!$B$1)),Settings!$B$1-B24,"")</f>
        <v/>
      </c>
      <c r="D24" s="8">
        <f>IF(A24="","",IF(Settings!$B$3&lt;&gt;"OK","Check settings",IF(NOT(ISNUMBER(C24)),"No orders",IF(C24&gt;Settings!$B$2,"Lapsed","Active"))))</f>
        <v/>
      </c>
      <c r="E24" s="9">
        <f>IF(A24="","",SUMIF(Orders!$B$2:$B$200,A24,Orders!$C$2:$C$200))</f>
        <v/>
      </c>
    </row>
    <row r="25">
      <c r="A25" s="3" t="n"/>
      <c r="B25" s="6">
        <f>IF(A25="","",IF(COUNTIFS(Orders!$B$2:$B$200,A25,Orders!$A$2:$A$200,"&gt;0")=0,"No orders",_xlfn.MAXIFS(Orders!$A$2:$A$200,Orders!$B$2:$B$200,A25)))</f>
        <v/>
      </c>
      <c r="C25" s="7">
        <f>IF(AND(ISNUMBER(B25),ISNUMBER(Settings!$B$1)),Settings!$B$1-B25,"")</f>
        <v/>
      </c>
      <c r="D25" s="8">
        <f>IF(A25="","",IF(Settings!$B$3&lt;&gt;"OK","Check settings",IF(NOT(ISNUMBER(C25)),"No orders",IF(C25&gt;Settings!$B$2,"Lapsed","Active"))))</f>
        <v/>
      </c>
      <c r="E25" s="9">
        <f>IF(A25="","",SUMIF(Orders!$B$2:$B$200,A25,Orders!$C$2:$C$200))</f>
        <v/>
      </c>
    </row>
    <row r="26">
      <c r="A26" s="3" t="n"/>
      <c r="B26" s="6">
        <f>IF(A26="","",IF(COUNTIFS(Orders!$B$2:$B$200,A26,Orders!$A$2:$A$200,"&gt;0")=0,"No orders",_xlfn.MAXIFS(Orders!$A$2:$A$200,Orders!$B$2:$B$200,A26)))</f>
        <v/>
      </c>
      <c r="C26" s="7">
        <f>IF(AND(ISNUMBER(B26),ISNUMBER(Settings!$B$1)),Settings!$B$1-B26,"")</f>
        <v/>
      </c>
      <c r="D26" s="8">
        <f>IF(A26="","",IF(Settings!$B$3&lt;&gt;"OK","Check settings",IF(NOT(ISNUMBER(C26)),"No orders",IF(C26&gt;Settings!$B$2,"Lapsed","Active"))))</f>
        <v/>
      </c>
      <c r="E26" s="9">
        <f>IF(A26="","",SUMIF(Orders!$B$2:$B$200,A26,Orders!$C$2:$C$200))</f>
        <v/>
      </c>
    </row>
    <row r="27">
      <c r="A27" s="3" t="n"/>
      <c r="B27" s="6">
        <f>IF(A27="","",IF(COUNTIFS(Orders!$B$2:$B$200,A27,Orders!$A$2:$A$200,"&gt;0")=0,"No orders",_xlfn.MAXIFS(Orders!$A$2:$A$200,Orders!$B$2:$B$200,A27)))</f>
        <v/>
      </c>
      <c r="C27" s="7">
        <f>IF(AND(ISNUMBER(B27),ISNUMBER(Settings!$B$1)),Settings!$B$1-B27,"")</f>
        <v/>
      </c>
      <c r="D27" s="8">
        <f>IF(A27="","",IF(Settings!$B$3&lt;&gt;"OK","Check settings",IF(NOT(ISNUMBER(C27)),"No orders",IF(C27&gt;Settings!$B$2,"Lapsed","Active"))))</f>
        <v/>
      </c>
      <c r="E27" s="9">
        <f>IF(A27="","",SUMIF(Orders!$B$2:$B$200,A27,Orders!$C$2:$C$200))</f>
        <v/>
      </c>
    </row>
    <row r="28">
      <c r="A28" s="3" t="n"/>
      <c r="B28" s="6">
        <f>IF(A28="","",IF(COUNTIFS(Orders!$B$2:$B$200,A28,Orders!$A$2:$A$200,"&gt;0")=0,"No orders",_xlfn.MAXIFS(Orders!$A$2:$A$200,Orders!$B$2:$B$200,A28)))</f>
        <v/>
      </c>
      <c r="C28" s="7">
        <f>IF(AND(ISNUMBER(B28),ISNUMBER(Settings!$B$1)),Settings!$B$1-B28,"")</f>
        <v/>
      </c>
      <c r="D28" s="8">
        <f>IF(A28="","",IF(Settings!$B$3&lt;&gt;"OK","Check settings",IF(NOT(ISNUMBER(C28)),"No orders",IF(C28&gt;Settings!$B$2,"Lapsed","Active"))))</f>
        <v/>
      </c>
      <c r="E28" s="9">
        <f>IF(A28="","",SUMIF(Orders!$B$2:$B$200,A28,Orders!$C$2:$C$200))</f>
        <v/>
      </c>
    </row>
    <row r="29">
      <c r="A29" s="3" t="n"/>
      <c r="B29" s="6">
        <f>IF(A29="","",IF(COUNTIFS(Orders!$B$2:$B$200,A29,Orders!$A$2:$A$200,"&gt;0")=0,"No orders",_xlfn.MAXIFS(Orders!$A$2:$A$200,Orders!$B$2:$B$200,A29)))</f>
        <v/>
      </c>
      <c r="C29" s="7">
        <f>IF(AND(ISNUMBER(B29),ISNUMBER(Settings!$B$1)),Settings!$B$1-B29,"")</f>
        <v/>
      </c>
      <c r="D29" s="8">
        <f>IF(A29="","",IF(Settings!$B$3&lt;&gt;"OK","Check settings",IF(NOT(ISNUMBER(C29)),"No orders",IF(C29&gt;Settings!$B$2,"Lapsed","Active"))))</f>
        <v/>
      </c>
      <c r="E29" s="9">
        <f>IF(A29="","",SUMIF(Orders!$B$2:$B$200,A29,Orders!$C$2:$C$200))</f>
        <v/>
      </c>
    </row>
    <row r="30">
      <c r="A30" s="3" t="n"/>
      <c r="B30" s="6">
        <f>IF(A30="","",IF(COUNTIFS(Orders!$B$2:$B$200,A30,Orders!$A$2:$A$200,"&gt;0")=0,"No orders",_xlfn.MAXIFS(Orders!$A$2:$A$200,Orders!$B$2:$B$200,A30)))</f>
        <v/>
      </c>
      <c r="C30" s="7">
        <f>IF(AND(ISNUMBER(B30),ISNUMBER(Settings!$B$1)),Settings!$B$1-B30,"")</f>
        <v/>
      </c>
      <c r="D30" s="8">
        <f>IF(A30="","",IF(Settings!$B$3&lt;&gt;"OK","Check settings",IF(NOT(ISNUMBER(C30)),"No orders",IF(C30&gt;Settings!$B$2,"Lapsed","Active"))))</f>
        <v/>
      </c>
      <c r="E30" s="9">
        <f>IF(A30="","",SUMIF(Orders!$B$2:$B$200,A30,Orders!$C$2:$C$200))</f>
        <v/>
      </c>
    </row>
    <row r="31">
      <c r="A31" s="3" t="n"/>
      <c r="B31" s="6">
        <f>IF(A31="","",IF(COUNTIFS(Orders!$B$2:$B$200,A31,Orders!$A$2:$A$200,"&gt;0")=0,"No orders",_xlfn.MAXIFS(Orders!$A$2:$A$200,Orders!$B$2:$B$200,A31)))</f>
        <v/>
      </c>
      <c r="C31" s="7">
        <f>IF(AND(ISNUMBER(B31),ISNUMBER(Settings!$B$1)),Settings!$B$1-B31,"")</f>
        <v/>
      </c>
      <c r="D31" s="8">
        <f>IF(A31="","",IF(Settings!$B$3&lt;&gt;"OK","Check settings",IF(NOT(ISNUMBER(C31)),"No orders",IF(C31&gt;Settings!$B$2,"Lapsed","Active"))))</f>
        <v/>
      </c>
      <c r="E31" s="9">
        <f>IF(A31="","",SUMIF(Orders!$B$2:$B$200,A31,Orders!$C$2:$C$200))</f>
        <v/>
      </c>
    </row>
    <row r="32">
      <c r="A32" s="3" t="n"/>
      <c r="B32" s="6">
        <f>IF(A32="","",IF(COUNTIFS(Orders!$B$2:$B$200,A32,Orders!$A$2:$A$200,"&gt;0")=0,"No orders",_xlfn.MAXIFS(Orders!$A$2:$A$200,Orders!$B$2:$B$200,A32)))</f>
        <v/>
      </c>
      <c r="C32" s="7">
        <f>IF(AND(ISNUMBER(B32),ISNUMBER(Settings!$B$1)),Settings!$B$1-B32,"")</f>
        <v/>
      </c>
      <c r="D32" s="8">
        <f>IF(A32="","",IF(Settings!$B$3&lt;&gt;"OK","Check settings",IF(NOT(ISNUMBER(C32)),"No orders",IF(C32&gt;Settings!$B$2,"Lapsed","Active"))))</f>
        <v/>
      </c>
      <c r="E32" s="9">
        <f>IF(A32="","",SUMIF(Orders!$B$2:$B$200,A32,Orders!$C$2:$C$200))</f>
        <v/>
      </c>
    </row>
    <row r="33">
      <c r="A33" s="3" t="n"/>
      <c r="B33" s="6">
        <f>IF(A33="","",IF(COUNTIFS(Orders!$B$2:$B$200,A33,Orders!$A$2:$A$200,"&gt;0")=0,"No orders",_xlfn.MAXIFS(Orders!$A$2:$A$200,Orders!$B$2:$B$200,A33)))</f>
        <v/>
      </c>
      <c r="C33" s="7">
        <f>IF(AND(ISNUMBER(B33),ISNUMBER(Settings!$B$1)),Settings!$B$1-B33,"")</f>
        <v/>
      </c>
      <c r="D33" s="8">
        <f>IF(A33="","",IF(Settings!$B$3&lt;&gt;"OK","Check settings",IF(NOT(ISNUMBER(C33)),"No orders",IF(C33&gt;Settings!$B$2,"Lapsed","Active"))))</f>
        <v/>
      </c>
      <c r="E33" s="9">
        <f>IF(A33="","",SUMIF(Orders!$B$2:$B$200,A33,Orders!$C$2:$C$200))</f>
        <v/>
      </c>
    </row>
    <row r="34">
      <c r="A34" s="3" t="n"/>
      <c r="B34" s="6">
        <f>IF(A34="","",IF(COUNTIFS(Orders!$B$2:$B$200,A34,Orders!$A$2:$A$200,"&gt;0")=0,"No orders",_xlfn.MAXIFS(Orders!$A$2:$A$200,Orders!$B$2:$B$200,A34)))</f>
        <v/>
      </c>
      <c r="C34" s="7">
        <f>IF(AND(ISNUMBER(B34),ISNUMBER(Settings!$B$1)),Settings!$B$1-B34,"")</f>
        <v/>
      </c>
      <c r="D34" s="8">
        <f>IF(A34="","",IF(Settings!$B$3&lt;&gt;"OK","Check settings",IF(NOT(ISNUMBER(C34)),"No orders",IF(C34&gt;Settings!$B$2,"Lapsed","Active"))))</f>
        <v/>
      </c>
      <c r="E34" s="9">
        <f>IF(A34="","",SUMIF(Orders!$B$2:$B$200,A34,Orders!$C$2:$C$200))</f>
        <v/>
      </c>
    </row>
    <row r="35">
      <c r="A35" s="3" t="n"/>
      <c r="B35" s="6">
        <f>IF(A35="","",IF(COUNTIFS(Orders!$B$2:$B$200,A35,Orders!$A$2:$A$200,"&gt;0")=0,"No orders",_xlfn.MAXIFS(Orders!$A$2:$A$200,Orders!$B$2:$B$200,A35)))</f>
        <v/>
      </c>
      <c r="C35" s="7">
        <f>IF(AND(ISNUMBER(B35),ISNUMBER(Settings!$B$1)),Settings!$B$1-B35,"")</f>
        <v/>
      </c>
      <c r="D35" s="8">
        <f>IF(A35="","",IF(Settings!$B$3&lt;&gt;"OK","Check settings",IF(NOT(ISNUMBER(C35)),"No orders",IF(C35&gt;Settings!$B$2,"Lapsed","Active"))))</f>
        <v/>
      </c>
      <c r="E35" s="9">
        <f>IF(A35="","",SUMIF(Orders!$B$2:$B$200,A35,Orders!$C$2:$C$200))</f>
        <v/>
      </c>
    </row>
    <row r="36">
      <c r="A36" s="3" t="n"/>
      <c r="B36" s="6">
        <f>IF(A36="","",IF(COUNTIFS(Orders!$B$2:$B$200,A36,Orders!$A$2:$A$200,"&gt;0")=0,"No orders",_xlfn.MAXIFS(Orders!$A$2:$A$200,Orders!$B$2:$B$200,A36)))</f>
        <v/>
      </c>
      <c r="C36" s="7">
        <f>IF(AND(ISNUMBER(B36),ISNUMBER(Settings!$B$1)),Settings!$B$1-B36,"")</f>
        <v/>
      </c>
      <c r="D36" s="8">
        <f>IF(A36="","",IF(Settings!$B$3&lt;&gt;"OK","Check settings",IF(NOT(ISNUMBER(C36)),"No orders",IF(C36&gt;Settings!$B$2,"Lapsed","Active"))))</f>
        <v/>
      </c>
      <c r="E36" s="9">
        <f>IF(A36="","",SUMIF(Orders!$B$2:$B$200,A36,Orders!$C$2:$C$200))</f>
        <v/>
      </c>
    </row>
    <row r="37">
      <c r="A37" s="3" t="n"/>
      <c r="B37" s="6">
        <f>IF(A37="","",IF(COUNTIFS(Orders!$B$2:$B$200,A37,Orders!$A$2:$A$200,"&gt;0")=0,"No orders",_xlfn.MAXIFS(Orders!$A$2:$A$200,Orders!$B$2:$B$200,A37)))</f>
        <v/>
      </c>
      <c r="C37" s="7">
        <f>IF(AND(ISNUMBER(B37),ISNUMBER(Settings!$B$1)),Settings!$B$1-B37,"")</f>
        <v/>
      </c>
      <c r="D37" s="8">
        <f>IF(A37="","",IF(Settings!$B$3&lt;&gt;"OK","Check settings",IF(NOT(ISNUMBER(C37)),"No orders",IF(C37&gt;Settings!$B$2,"Lapsed","Active"))))</f>
        <v/>
      </c>
      <c r="E37" s="9">
        <f>IF(A37="","",SUMIF(Orders!$B$2:$B$200,A37,Orders!$C$2:$C$200))</f>
        <v/>
      </c>
    </row>
    <row r="38">
      <c r="A38" s="3" t="n"/>
      <c r="B38" s="6">
        <f>IF(A38="","",IF(COUNTIFS(Orders!$B$2:$B$200,A38,Orders!$A$2:$A$200,"&gt;0")=0,"No orders",_xlfn.MAXIFS(Orders!$A$2:$A$200,Orders!$B$2:$B$200,A38)))</f>
        <v/>
      </c>
      <c r="C38" s="7">
        <f>IF(AND(ISNUMBER(B38),ISNUMBER(Settings!$B$1)),Settings!$B$1-B38,"")</f>
        <v/>
      </c>
      <c r="D38" s="8">
        <f>IF(A38="","",IF(Settings!$B$3&lt;&gt;"OK","Check settings",IF(NOT(ISNUMBER(C38)),"No orders",IF(C38&gt;Settings!$B$2,"Lapsed","Active"))))</f>
        <v/>
      </c>
      <c r="E38" s="9">
        <f>IF(A38="","",SUMIF(Orders!$B$2:$B$200,A38,Orders!$C$2:$C$200))</f>
        <v/>
      </c>
    </row>
    <row r="39">
      <c r="A39" s="3" t="n"/>
      <c r="B39" s="6">
        <f>IF(A39="","",IF(COUNTIFS(Orders!$B$2:$B$200,A39,Orders!$A$2:$A$200,"&gt;0")=0,"No orders",_xlfn.MAXIFS(Orders!$A$2:$A$200,Orders!$B$2:$B$200,A39)))</f>
        <v/>
      </c>
      <c r="C39" s="7">
        <f>IF(AND(ISNUMBER(B39),ISNUMBER(Settings!$B$1)),Settings!$B$1-B39,"")</f>
        <v/>
      </c>
      <c r="D39" s="8">
        <f>IF(A39="","",IF(Settings!$B$3&lt;&gt;"OK","Check settings",IF(NOT(ISNUMBER(C39)),"No orders",IF(C39&gt;Settings!$B$2,"Lapsed","Active"))))</f>
        <v/>
      </c>
      <c r="E39" s="9">
        <f>IF(A39="","",SUMIF(Orders!$B$2:$B$200,A39,Orders!$C$2:$C$200))</f>
        <v/>
      </c>
    </row>
    <row r="40">
      <c r="A40" s="3" t="n"/>
      <c r="B40" s="6">
        <f>IF(A40="","",IF(COUNTIFS(Orders!$B$2:$B$200,A40,Orders!$A$2:$A$200,"&gt;0")=0,"No orders",_xlfn.MAXIFS(Orders!$A$2:$A$200,Orders!$B$2:$B$200,A40)))</f>
        <v/>
      </c>
      <c r="C40" s="7">
        <f>IF(AND(ISNUMBER(B40),ISNUMBER(Settings!$B$1)),Settings!$B$1-B40,"")</f>
        <v/>
      </c>
      <c r="D40" s="8">
        <f>IF(A40="","",IF(Settings!$B$3&lt;&gt;"OK","Check settings",IF(NOT(ISNUMBER(C40)),"No orders",IF(C40&gt;Settings!$B$2,"Lapsed","Active"))))</f>
        <v/>
      </c>
      <c r="E40" s="9">
        <f>IF(A40="","",SUMIF(Orders!$B$2:$B$200,A40,Orders!$C$2:$C$200))</f>
        <v/>
      </c>
    </row>
    <row r="41">
      <c r="A41" s="3" t="n"/>
      <c r="B41" s="6">
        <f>IF(A41="","",IF(COUNTIFS(Orders!$B$2:$B$200,A41,Orders!$A$2:$A$200,"&gt;0")=0,"No orders",_xlfn.MAXIFS(Orders!$A$2:$A$200,Orders!$B$2:$B$200,A41)))</f>
        <v/>
      </c>
      <c r="C41" s="7">
        <f>IF(AND(ISNUMBER(B41),ISNUMBER(Settings!$B$1)),Settings!$B$1-B41,"")</f>
        <v/>
      </c>
      <c r="D41" s="8">
        <f>IF(A41="","",IF(Settings!$B$3&lt;&gt;"OK","Check settings",IF(NOT(ISNUMBER(C41)),"No orders",IF(C41&gt;Settings!$B$2,"Lapsed","Active"))))</f>
        <v/>
      </c>
      <c r="E41" s="9">
        <f>IF(A41="","",SUMIF(Orders!$B$2:$B$200,A41,Orders!$C$2:$C$200))</f>
        <v/>
      </c>
    </row>
    <row r="42">
      <c r="A42" s="3" t="n"/>
      <c r="B42" s="6">
        <f>IF(A42="","",IF(COUNTIFS(Orders!$B$2:$B$200,A42,Orders!$A$2:$A$200,"&gt;0")=0,"No orders",_xlfn.MAXIFS(Orders!$A$2:$A$200,Orders!$B$2:$B$200,A42)))</f>
        <v/>
      </c>
      <c r="C42" s="7">
        <f>IF(AND(ISNUMBER(B42),ISNUMBER(Settings!$B$1)),Settings!$B$1-B42,"")</f>
        <v/>
      </c>
      <c r="D42" s="8">
        <f>IF(A42="","",IF(Settings!$B$3&lt;&gt;"OK","Check settings",IF(NOT(ISNUMBER(C42)),"No orders",IF(C42&gt;Settings!$B$2,"Lapsed","Active"))))</f>
        <v/>
      </c>
      <c r="E42" s="9">
        <f>IF(A42="","",SUMIF(Orders!$B$2:$B$200,A42,Orders!$C$2:$C$200))</f>
        <v/>
      </c>
    </row>
    <row r="43">
      <c r="A43" s="3" t="n"/>
      <c r="B43" s="6">
        <f>IF(A43="","",IF(COUNTIFS(Orders!$B$2:$B$200,A43,Orders!$A$2:$A$200,"&gt;0")=0,"No orders",_xlfn.MAXIFS(Orders!$A$2:$A$200,Orders!$B$2:$B$200,A43)))</f>
        <v/>
      </c>
      <c r="C43" s="7">
        <f>IF(AND(ISNUMBER(B43),ISNUMBER(Settings!$B$1)),Settings!$B$1-B43,"")</f>
        <v/>
      </c>
      <c r="D43" s="8">
        <f>IF(A43="","",IF(Settings!$B$3&lt;&gt;"OK","Check settings",IF(NOT(ISNUMBER(C43)),"No orders",IF(C43&gt;Settings!$B$2,"Lapsed","Active"))))</f>
        <v/>
      </c>
      <c r="E43" s="9">
        <f>IF(A43="","",SUMIF(Orders!$B$2:$B$200,A43,Orders!$C$2:$C$200))</f>
        <v/>
      </c>
    </row>
    <row r="44">
      <c r="A44" s="3" t="n"/>
      <c r="B44" s="6">
        <f>IF(A44="","",IF(COUNTIFS(Orders!$B$2:$B$200,A44,Orders!$A$2:$A$200,"&gt;0")=0,"No orders",_xlfn.MAXIFS(Orders!$A$2:$A$200,Orders!$B$2:$B$200,A44)))</f>
        <v/>
      </c>
      <c r="C44" s="7">
        <f>IF(AND(ISNUMBER(B44),ISNUMBER(Settings!$B$1)),Settings!$B$1-B44,"")</f>
        <v/>
      </c>
      <c r="D44" s="8">
        <f>IF(A44="","",IF(Settings!$B$3&lt;&gt;"OK","Check settings",IF(NOT(ISNUMBER(C44)),"No orders",IF(C44&gt;Settings!$B$2,"Lapsed","Active"))))</f>
        <v/>
      </c>
      <c r="E44" s="9">
        <f>IF(A44="","",SUMIF(Orders!$B$2:$B$200,A44,Orders!$C$2:$C$200))</f>
        <v/>
      </c>
    </row>
    <row r="45">
      <c r="A45" s="3" t="n"/>
      <c r="B45" s="6">
        <f>IF(A45="","",IF(COUNTIFS(Orders!$B$2:$B$200,A45,Orders!$A$2:$A$200,"&gt;0")=0,"No orders",_xlfn.MAXIFS(Orders!$A$2:$A$200,Orders!$B$2:$B$200,A45)))</f>
        <v/>
      </c>
      <c r="C45" s="7">
        <f>IF(AND(ISNUMBER(B45),ISNUMBER(Settings!$B$1)),Settings!$B$1-B45,"")</f>
        <v/>
      </c>
      <c r="D45" s="8">
        <f>IF(A45="","",IF(Settings!$B$3&lt;&gt;"OK","Check settings",IF(NOT(ISNUMBER(C45)),"No orders",IF(C45&gt;Settings!$B$2,"Lapsed","Active"))))</f>
        <v/>
      </c>
      <c r="E45" s="9">
        <f>IF(A45="","",SUMIF(Orders!$B$2:$B$200,A45,Orders!$C$2:$C$200))</f>
        <v/>
      </c>
    </row>
    <row r="46">
      <c r="A46" s="3" t="n"/>
      <c r="B46" s="6">
        <f>IF(A46="","",IF(COUNTIFS(Orders!$B$2:$B$200,A46,Orders!$A$2:$A$200,"&gt;0")=0,"No orders",_xlfn.MAXIFS(Orders!$A$2:$A$200,Orders!$B$2:$B$200,A46)))</f>
        <v/>
      </c>
      <c r="C46" s="7">
        <f>IF(AND(ISNUMBER(B46),ISNUMBER(Settings!$B$1)),Settings!$B$1-B46,"")</f>
        <v/>
      </c>
      <c r="D46" s="8">
        <f>IF(A46="","",IF(Settings!$B$3&lt;&gt;"OK","Check settings",IF(NOT(ISNUMBER(C46)),"No orders",IF(C46&gt;Settings!$B$2,"Lapsed","Active"))))</f>
        <v/>
      </c>
      <c r="E46" s="9">
        <f>IF(A46="","",SUMIF(Orders!$B$2:$B$200,A46,Orders!$C$2:$C$200))</f>
        <v/>
      </c>
    </row>
    <row r="47">
      <c r="A47" s="3" t="n"/>
      <c r="B47" s="6">
        <f>IF(A47="","",IF(COUNTIFS(Orders!$B$2:$B$200,A47,Orders!$A$2:$A$200,"&gt;0")=0,"No orders",_xlfn.MAXIFS(Orders!$A$2:$A$200,Orders!$B$2:$B$200,A47)))</f>
        <v/>
      </c>
      <c r="C47" s="7">
        <f>IF(AND(ISNUMBER(B47),ISNUMBER(Settings!$B$1)),Settings!$B$1-B47,"")</f>
        <v/>
      </c>
      <c r="D47" s="8">
        <f>IF(A47="","",IF(Settings!$B$3&lt;&gt;"OK","Check settings",IF(NOT(ISNUMBER(C47)),"No orders",IF(C47&gt;Settings!$B$2,"Lapsed","Active"))))</f>
        <v/>
      </c>
      <c r="E47" s="9">
        <f>IF(A47="","",SUMIF(Orders!$B$2:$B$200,A47,Orders!$C$2:$C$200))</f>
        <v/>
      </c>
    </row>
    <row r="48">
      <c r="A48" s="3" t="n"/>
      <c r="B48" s="6">
        <f>IF(A48="","",IF(COUNTIFS(Orders!$B$2:$B$200,A48,Orders!$A$2:$A$200,"&gt;0")=0,"No orders",_xlfn.MAXIFS(Orders!$A$2:$A$200,Orders!$B$2:$B$200,A48)))</f>
        <v/>
      </c>
      <c r="C48" s="7">
        <f>IF(AND(ISNUMBER(B48),ISNUMBER(Settings!$B$1)),Settings!$B$1-B48,"")</f>
        <v/>
      </c>
      <c r="D48" s="8">
        <f>IF(A48="","",IF(Settings!$B$3&lt;&gt;"OK","Check settings",IF(NOT(ISNUMBER(C48)),"No orders",IF(C48&gt;Settings!$B$2,"Lapsed","Active"))))</f>
        <v/>
      </c>
      <c r="E48" s="9">
        <f>IF(A48="","",SUMIF(Orders!$B$2:$B$200,A48,Orders!$C$2:$C$200))</f>
        <v/>
      </c>
    </row>
    <row r="49">
      <c r="A49" s="3" t="n"/>
      <c r="B49" s="6">
        <f>IF(A49="","",IF(COUNTIFS(Orders!$B$2:$B$200,A49,Orders!$A$2:$A$200,"&gt;0")=0,"No orders",_xlfn.MAXIFS(Orders!$A$2:$A$200,Orders!$B$2:$B$200,A49)))</f>
        <v/>
      </c>
      <c r="C49" s="7">
        <f>IF(AND(ISNUMBER(B49),ISNUMBER(Settings!$B$1)),Settings!$B$1-B49,"")</f>
        <v/>
      </c>
      <c r="D49" s="8">
        <f>IF(A49="","",IF(Settings!$B$3&lt;&gt;"OK","Check settings",IF(NOT(ISNUMBER(C49)),"No orders",IF(C49&gt;Settings!$B$2,"Lapsed","Active"))))</f>
        <v/>
      </c>
      <c r="E49" s="9">
        <f>IF(A49="","",SUMIF(Orders!$B$2:$B$200,A49,Orders!$C$2:$C$200))</f>
        <v/>
      </c>
    </row>
    <row r="50">
      <c r="A50" s="3" t="n"/>
      <c r="B50" s="6">
        <f>IF(A50="","",IF(COUNTIFS(Orders!$B$2:$B$200,A50,Orders!$A$2:$A$200,"&gt;0")=0,"No orders",_xlfn.MAXIFS(Orders!$A$2:$A$200,Orders!$B$2:$B$200,A50)))</f>
        <v/>
      </c>
      <c r="C50" s="7">
        <f>IF(AND(ISNUMBER(B50),ISNUMBER(Settings!$B$1)),Settings!$B$1-B50,"")</f>
        <v/>
      </c>
      <c r="D50" s="8">
        <f>IF(A50="","",IF(Settings!$B$3&lt;&gt;"OK","Check settings",IF(NOT(ISNUMBER(C50)),"No orders",IF(C50&gt;Settings!$B$2,"Lapsed","Active"))))</f>
        <v/>
      </c>
      <c r="E50" s="9">
        <f>IF(A50="","",SUMIF(Orders!$B$2:$B$200,A50,Orders!$C$2:$C$200))</f>
        <v/>
      </c>
    </row>
    <row r="51">
      <c r="A51" s="3" t="n"/>
      <c r="B51" s="6">
        <f>IF(A51="","",IF(COUNTIFS(Orders!$B$2:$B$200,A51,Orders!$A$2:$A$200,"&gt;0")=0,"No orders",_xlfn.MAXIFS(Orders!$A$2:$A$200,Orders!$B$2:$B$200,A51)))</f>
        <v/>
      </c>
      <c r="C51" s="7">
        <f>IF(AND(ISNUMBER(B51),ISNUMBER(Settings!$B$1)),Settings!$B$1-B51,"")</f>
        <v/>
      </c>
      <c r="D51" s="8">
        <f>IF(A51="","",IF(Settings!$B$3&lt;&gt;"OK","Check settings",IF(NOT(ISNUMBER(C51)),"No orders",IF(C51&gt;Settings!$B$2,"Lapsed","Active"))))</f>
        <v/>
      </c>
      <c r="E51" s="9">
        <f>IF(A51="","",SUMIF(Orders!$B$2:$B$200,A51,Orders!$C$2:$C$200))</f>
        <v/>
      </c>
    </row>
    <row r="52">
      <c r="A52" s="3" t="n"/>
      <c r="B52" s="6">
        <f>IF(A52="","",IF(COUNTIFS(Orders!$B$2:$B$200,A52,Orders!$A$2:$A$200,"&gt;0")=0,"No orders",_xlfn.MAXIFS(Orders!$A$2:$A$200,Orders!$B$2:$B$200,A52)))</f>
        <v/>
      </c>
      <c r="C52" s="7">
        <f>IF(AND(ISNUMBER(B52),ISNUMBER(Settings!$B$1)),Settings!$B$1-B52,"")</f>
        <v/>
      </c>
      <c r="D52" s="8">
        <f>IF(A52="","",IF(Settings!$B$3&lt;&gt;"OK","Check settings",IF(NOT(ISNUMBER(C52)),"No orders",IF(C52&gt;Settings!$B$2,"Lapsed","Active"))))</f>
        <v/>
      </c>
      <c r="E52" s="9">
        <f>IF(A52="","",SUMIF(Orders!$B$2:$B$200,A52,Orders!$C$2:$C$200))</f>
        <v/>
      </c>
    </row>
    <row r="53">
      <c r="A53" s="3" t="n"/>
      <c r="B53" s="6">
        <f>IF(A53="","",IF(COUNTIFS(Orders!$B$2:$B$200,A53,Orders!$A$2:$A$200,"&gt;0")=0,"No orders",_xlfn.MAXIFS(Orders!$A$2:$A$200,Orders!$B$2:$B$200,A53)))</f>
        <v/>
      </c>
      <c r="C53" s="7">
        <f>IF(AND(ISNUMBER(B53),ISNUMBER(Settings!$B$1)),Settings!$B$1-B53,"")</f>
        <v/>
      </c>
      <c r="D53" s="8">
        <f>IF(A53="","",IF(Settings!$B$3&lt;&gt;"OK","Check settings",IF(NOT(ISNUMBER(C53)),"No orders",IF(C53&gt;Settings!$B$2,"Lapsed","Active"))))</f>
        <v/>
      </c>
      <c r="E53" s="9">
        <f>IF(A53="","",SUMIF(Orders!$B$2:$B$200,A53,Orders!$C$2:$C$200))</f>
        <v/>
      </c>
    </row>
    <row r="54">
      <c r="A54" s="3" t="n"/>
      <c r="B54" s="6">
        <f>IF(A54="","",IF(COUNTIFS(Orders!$B$2:$B$200,A54,Orders!$A$2:$A$200,"&gt;0")=0,"No orders",_xlfn.MAXIFS(Orders!$A$2:$A$200,Orders!$B$2:$B$200,A54)))</f>
        <v/>
      </c>
      <c r="C54" s="7">
        <f>IF(AND(ISNUMBER(B54),ISNUMBER(Settings!$B$1)),Settings!$B$1-B54,"")</f>
        <v/>
      </c>
      <c r="D54" s="8">
        <f>IF(A54="","",IF(Settings!$B$3&lt;&gt;"OK","Check settings",IF(NOT(ISNUMBER(C54)),"No orders",IF(C54&gt;Settings!$B$2,"Lapsed","Active"))))</f>
        <v/>
      </c>
      <c r="E54" s="9">
        <f>IF(A54="","",SUMIF(Orders!$B$2:$B$200,A54,Orders!$C$2:$C$200))</f>
        <v/>
      </c>
    </row>
  </sheetData>
  <conditionalFormatting sqref="A5:E54">
    <cfRule type="expression" priority="1" dxfId="0">
      <formula>$D5="Lapsed"</formula>
    </cfRule>
    <cfRule type="expression" priority="2" dxfId="1">
      <formula>$D5="No orders"</formula>
    </cfRule>
  </conditionalFormatting>
  <conditionalFormatting sqref="H12">
    <cfRule type="expression" priority="3" dxfId="0">
      <formula>AND(H12&lt;&gt;"OK",H12&lt;&gt;"")</formula>
    </cfRule>
  </conditionalFormatting>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B5"/>
  <sheetViews>
    <sheetView workbookViewId="0">
      <selection activeCell="A1" sqref="A1"/>
    </sheetView>
  </sheetViews>
  <sheetFormatPr baseColWidth="8" defaultRowHeight="15"/>
  <cols>
    <col width="26" customWidth="1" min="1" max="1"/>
    <col width="46" customWidth="1" min="2" max="2"/>
  </cols>
  <sheetData>
    <row r="1">
      <c r="A1" s="10" t="inlineStr">
        <is>
          <t>As-of date</t>
        </is>
      </c>
      <c r="B1" s="2" t="n">
        <v>46325</v>
      </c>
    </row>
    <row r="2">
      <c r="A2" s="10" t="inlineStr">
        <is>
          <t>Days without an order</t>
        </is>
      </c>
      <c r="B2" s="3" t="n">
        <v>90</v>
      </c>
    </row>
    <row r="3">
      <c r="A3" s="10" t="inlineStr">
        <is>
          <t>Settings check</t>
        </is>
      </c>
      <c r="B3" s="12">
        <f>IF(AND(ISNUMBER(B1),ISNUMBER(B2)),IF(AND(B2&gt;=0,B2=INT(B2)),"OK","Days must be a whole number, 0 or more"),"Type a date and a number in the yellow cells")</f>
        <v/>
      </c>
    </row>
    <row r="5">
      <c r="A5" s="5" t="inlineStr">
        <is>
          <t>The as-of date is typed on purpose, so the results do not change when the file is opened later.</t>
        </is>
      </c>
    </row>
  </sheetData>
  <conditionalFormatting sqref="B3">
    <cfRule type="expression" priority="1" dxfId="0">
      <formula>$B$3&lt;&gt;"OK"</formula>
    </cfRule>
  </conditionalFormatting>
  <pageMargins left="0.75" right="0.75" top="1" bottom="1" header="0.5" footer="0.5"/>
  <pageSetup orientation="portrait" paperSize="1" fitToHeight="0" fitToWidth="1"/>
</worksheet>
</file>

<file path=xl/worksheets/sheet4.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3" t="inlineStr">
        <is>
          <t>Tidy Tabs: Flag Customers Who Have Not Ordered in 90 Days</t>
        </is>
      </c>
    </row>
    <row r="2">
      <c r="A2" s="14" t="inlineStr"/>
    </row>
    <row r="3">
      <c r="A3" s="14" t="inlineStr">
        <is>
          <t>1. Settings tab: type the as-of date in B1 (yellow, 10/30/2026) and the number of days in B2 (yellow, 90). B3 shows OK when B1 is a date and B2 is a whole number, 0 or more.</t>
        </is>
      </c>
    </row>
    <row r="4">
      <c r="A4" s="14" t="inlineStr">
        <is>
          <t>2. Orders tab: one row per order in A2:C200 (yellow): date, customer, amount. The sample is 40 fictional orders. Customers tab: type the customer names in A5:A54 (yellow); the sample has 15 fictional names.</t>
        </is>
      </c>
    </row>
    <row r="5">
      <c r="A5" s="14" t="inlineStr">
        <is>
          <t>3. Last order, B5: =IF(COUNTIFS(Orders!$B$2:$B$200,A5,Orders!$A$2:$A$200,"&gt;0")=0,"No orders",MAXIFS(Orders!$A$2:$A$200,Orders!$B$2:$B$200,A5)). MAXIFS needs Excel 2019 or newer; the file stores it as _xlfn.MAXIFS. It is not tested in Excel here. The COUNTIFS part stops a customer with no dated orders from showing 0 (a date of 12/30/1899). An order whose date is typed as text is ignored.</t>
        </is>
      </c>
    </row>
    <row r="6">
      <c r="A6" s="14" t="inlineStr">
        <is>
          <t>4. Days since, C5: =IF(ISNUMBER(B5),Settings!$B$1-B5,""). Status, D5: Lapsed when the days since are more than the cutoff, Active when they are not, No orders when there is no order. Exactly 90 days is still Active; 91 is Lapsed.</t>
        </is>
      </c>
    </row>
    <row r="7">
      <c r="A7" s="14" t="inlineStr">
        <is>
          <t>5. Lifetime spend, E5: =SUMIF(Orders!$B$2:$B$200,A5,Orders!$C$2:$C$200).</t>
        </is>
      </c>
    </row>
    <row r="8">
      <c r="A8" s="14" t="inlineStr">
        <is>
          <t>6. Summary, G5:H12: customers, Active, Lapsed, No orders, the lifetime spend of the lapsed customers, orders whose customer name is not in the list (a different spelling or a trailing space), and orders dated after the as-of date (those give a negative days since, which stays Active). H12 shows OK when the three statuses add up to the customers, every order name is in the list, no name is listed twice, the settings are valid and nothing is typed below row 54.</t>
        </is>
      </c>
    </row>
    <row r="9">
      <c r="A9" s="14" t="inlineStr">
        <is>
          <t>7. To make the answer change every day, type =TODAY() in Settings B1. The flags then move each day and a file you saved last month will show different statuses when you open it.</t>
        </is>
      </c>
    </row>
    <row r="10">
      <c r="A10" s="14" t="inlineStr">
        <is>
          <t>8. These are only labels from dates. They do not say whether or how to contact anyone.</t>
        </is>
      </c>
    </row>
    <row r="11">
      <c r="A11" s="14" t="inlineStr"/>
    </row>
    <row r="12">
      <c r="A12" s="14" t="inlineStr">
        <is>
          <t>Customers, dates and amounts are fictional. Checked in LibreOffice Calc only; not opened in Excel or Google Sheets.</t>
        </is>
      </c>
    </row>
    <row r="13">
      <c r="A13" s="14"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2026-10-29T07:41:14Z</dcterms:created>
  <dcterms:modified xmlns:dcterms="http://purl.org/dc/terms/" xmlns:xsi="http://www.w3.org/2001/XMLSchema-instance" xsi:type="dcterms:W3CDTF">2026-10-29T07:41:14Z</dcterms:modified>
</cp:coreProperties>
</file>