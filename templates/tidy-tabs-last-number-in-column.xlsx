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'Log'!$1:$1</definedName>
    <definedName name="_xlnm.Print_Titles" localSheetId="1">'Summary'!$1:$1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3" borderId="0" pivotButton="0" quotePrefix="0" xfId="0"/>
    <xf numFmtId="166" fontId="0" fillId="3" borderId="0" pivotButton="0" quotePrefix="0" xfId="0"/>
    <xf numFmtId="0" fontId="0" fillId="3" borderId="0" pivotButton="0" quotePrefix="0" xfId="0"/>
    <xf numFmtId="0" fontId="1" fillId="2" borderId="0" pivotButton="0" quotePrefix="0" xfId="0"/>
    <xf numFmtId="166" fontId="0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</cols>
  <sheetData>
    <row r="1" ht="30" customHeight="1">
      <c r="A1" s="1" t="inlineStr">
        <is>
          <t>Date</t>
        </is>
      </c>
      <c r="B1" s="1" t="inlineStr">
        <is>
          <t>Balance</t>
        </is>
      </c>
      <c r="C1" s="1" t="inlineStr">
        <is>
          <t>Note</t>
        </is>
      </c>
    </row>
    <row r="2">
      <c r="A2" s="2" t="n">
        <v>46266</v>
      </c>
      <c r="B2" s="3" t="n">
        <v>1000</v>
      </c>
      <c r="C2" s="4" t="inlineStr">
        <is>
          <t>Opening cash</t>
        </is>
      </c>
    </row>
    <row r="3">
      <c r="A3" s="2" t="n">
        <v>46268</v>
      </c>
      <c r="B3" s="3" t="n">
        <v>1085.5</v>
      </c>
      <c r="C3" s="4" t="inlineStr">
        <is>
          <t>Saturday market</t>
        </is>
      </c>
    </row>
    <row r="4">
      <c r="A4" s="2" t="n"/>
      <c r="B4" s="3" t="n"/>
      <c r="C4" s="4" t="n"/>
    </row>
    <row r="5">
      <c r="A5" s="2" t="n">
        <v>46273</v>
      </c>
      <c r="B5" s="3" t="n">
        <v>1210.25</v>
      </c>
      <c r="C5" s="4" t="inlineStr">
        <is>
          <t>Online orders</t>
        </is>
      </c>
    </row>
    <row r="6">
      <c r="A6" s="2" t="n">
        <v>46277</v>
      </c>
      <c r="B6" s="3" t="n">
        <v>1148</v>
      </c>
      <c r="C6" s="4" t="inlineStr">
        <is>
          <t>Supply order</t>
        </is>
      </c>
    </row>
    <row r="7">
      <c r="A7" s="2" t="n"/>
      <c r="B7" s="3" t="n"/>
      <c r="C7" s="4" t="n"/>
    </row>
    <row r="8">
      <c r="A8" s="2" t="n"/>
      <c r="B8" s="3" t="n"/>
      <c r="C8" s="4" t="n"/>
    </row>
    <row r="9">
      <c r="A9" s="2" t="n">
        <v>46284</v>
      </c>
      <c r="B9" s="3" t="n">
        <v>1320.4</v>
      </c>
      <c r="C9" s="4" t="inlineStr">
        <is>
          <t>Saturday market</t>
        </is>
      </c>
    </row>
    <row r="10">
      <c r="A10" s="2" t="n">
        <v>46289</v>
      </c>
      <c r="B10" s="3" t="n">
        <v>1257.9</v>
      </c>
      <c r="C10" s="4" t="inlineStr">
        <is>
          <t>Booth fee</t>
        </is>
      </c>
    </row>
    <row r="11">
      <c r="A11" s="2" t="n"/>
      <c r="B11" s="3" t="n"/>
      <c r="C11" s="4" t="n"/>
    </row>
    <row r="12">
      <c r="A12" s="2" t="n">
        <v>46297</v>
      </c>
      <c r="B12" s="3" t="n">
        <v>1402.75</v>
      </c>
      <c r="C12" s="4" t="inlineStr">
        <is>
          <t>Online orders</t>
        </is>
      </c>
    </row>
    <row r="13">
      <c r="A13" s="2" t="n"/>
      <c r="B13" s="3" t="n"/>
      <c r="C13" s="4" t="n"/>
    </row>
    <row r="14">
      <c r="A14" s="2" t="n"/>
      <c r="B14" s="3" t="n"/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Latest from the Log tab</t>
        </is>
      </c>
      <c r="B1" s="5" t="inlineStr">
        <is>
          <t>Result</t>
        </is>
      </c>
    </row>
    <row r="2">
      <c r="A2" t="inlineStr">
        <is>
          <t>Latest balance</t>
        </is>
      </c>
      <c r="B2" s="6">
        <f>LOOKUP(9.99E+307,Log!B2:B200)</f>
        <v/>
      </c>
    </row>
    <row r="3">
      <c r="A3" t="inlineStr">
        <is>
          <t>Latest date</t>
        </is>
      </c>
      <c r="B3" s="7">
        <f>LOOKUP(9.99E+307,Log!A2:A200)</f>
        <v/>
      </c>
    </row>
    <row r="4">
      <c r="A4" t="inlineStr">
        <is>
          <t>Entries in the balance column</t>
        </is>
      </c>
      <c r="B4" s="8">
        <f>COUNT(Log!B2:B200)</f>
        <v/>
      </c>
    </row>
    <row r="5">
      <c r="A5" t="inlineStr">
        <is>
          <t>Latest balance, safe for an empty log</t>
        </is>
      </c>
      <c r="B5" s="6">
        <f>IFERROR(LOOKUP(9.99E+307,Log!B2:B200),"No entries")</f>
        <v/>
      </c>
    </row>
    <row r="6">
      <c r="A6" t="inlineStr">
        <is>
          <t>Latest date, safe for an empty log</t>
        </is>
      </c>
      <c r="B6" s="7">
        <f>IFERROR(LOOKUP(9.99E+307,Log!A2:A200),"No entries")</f>
        <v/>
      </c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Tidy Tabs: Get the Last Number in a Column</t>
        </is>
      </c>
    </row>
    <row r="2">
      <c r="A2" s="10" t="inlineStr"/>
    </row>
    <row r="3">
      <c r="A3" s="10" t="inlineStr">
        <is>
          <t>1. Log tab: type each date in column A and the cash balance in column B. Blank rows between entries are fine. Column C is for notes.</t>
        </is>
      </c>
    </row>
    <row r="4">
      <c r="A4" s="10" t="inlineStr">
        <is>
          <t>2. Summary!B2: =LOOKUP(9.99E+307,Log!B2:B200) returns the last number in B2:B200. 9.99E+307 is bigger than any balance you will type, so LOOKUP settles on the last number in the range.</t>
        </is>
      </c>
    </row>
    <row r="5">
      <c r="A5" s="10" t="inlineStr">
        <is>
          <t>3. Summary!B3 does the same for the dates in column A (dates are numbers in a spreadsheet).</t>
        </is>
      </c>
    </row>
    <row r="6">
      <c r="A6" s="10" t="inlineStr">
        <is>
          <t>4. Summary!B4: =COUNT(Log!B2:B200) counts the numbers in the column. It ignores blank cells and text.</t>
        </is>
      </c>
    </row>
    <row r="7">
      <c r="A7" s="10" t="inlineStr">
        <is>
          <t>5. Summary!B5 and B6 wrap the formula in IFERROR. An empty column makes LOOKUP return #N/A, and these show No entries instead.</t>
        </is>
      </c>
    </row>
    <row r="8">
      <c r="A8" s="10" t="inlineStr">
        <is>
          <t>6. Text is ignored. A note typed in column B, or a number stored as text (it is usually left-aligned), is skipped, so the formula returns the number above it. Retype it as a real number.</t>
        </is>
      </c>
    </row>
    <row r="9">
      <c r="A9" s="10" t="inlineStr">
        <is>
          <t>7. A 0 as the last balance is still returned. The formula looks at B2:B200 only; use a longer range if your log grows past row 200.</t>
        </is>
      </c>
    </row>
    <row r="10">
      <c r="A10" s="10" t="inlineStr">
        <is>
          <t>8. This finds numbers and dates only. A text version needs a different formula.</t>
        </is>
      </c>
    </row>
    <row r="11">
      <c r="A11" s="10" t="inlineStr"/>
    </row>
    <row r="12">
      <c r="A12" s="10" t="inlineStr">
        <is>
          <t>Dates and balances are fictional. Checked in LibreOffice Calc only; not opened in Excel or Google Sheets.</t>
        </is>
      </c>
    </row>
    <row r="13">
      <c r="A13" s="10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2026-10-13T07:27:50Z</dcterms:created>
  <dcterms:modified xmlns:dcterms="http://purl.org/dc/terms/" xmlns:xsi="http://www.w3.org/2001/XMLSchema-instance" xsi:type="dcterms:W3CDTF">2026-10-13T07:27:50Z</dcterms:modified>
</cp:coreProperties>
</file>