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5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</cols>
  <sheetData>
    <row r="1" ht="30" customHeight="1">
      <c r="A1" s="1" t="inlineStr">
        <is>
          <t>Order date</t>
        </is>
      </c>
      <c r="B1" s="1" t="inlineStr">
        <is>
          <t>Customer</t>
        </is>
      </c>
      <c r="C1" s="1" t="inlineStr">
        <is>
          <t>Amount</t>
        </is>
      </c>
    </row>
    <row r="2">
      <c r="A2" s="2" t="n">
        <v>46181</v>
      </c>
      <c r="B2" t="inlineStr">
        <is>
          <t>Harbor Coffee</t>
        </is>
      </c>
      <c r="C2" s="3" t="n">
        <v>640</v>
      </c>
    </row>
    <row r="3">
      <c r="A3" s="2" t="n">
        <v>46192</v>
      </c>
      <c r="B3" t="inlineStr">
        <is>
          <t>Maple Street Bakery</t>
        </is>
      </c>
      <c r="C3" s="3" t="n">
        <v>310.5</v>
      </c>
    </row>
    <row r="4">
      <c r="A4" s="2" t="n">
        <v>46217</v>
      </c>
      <c r="B4" t="inlineStr">
        <is>
          <t>Oak &amp; Ember Candles</t>
        </is>
      </c>
      <c r="C4" s="3" t="n">
        <v>455</v>
      </c>
    </row>
    <row r="5">
      <c r="A5" s="2" t="n">
        <v>46231</v>
      </c>
      <c r="B5" t="inlineStr">
        <is>
          <t>Harbor Coffee</t>
        </is>
      </c>
      <c r="C5" s="3" t="n">
        <v>720</v>
      </c>
    </row>
    <row r="6">
      <c r="A6" s="2" t="n">
        <v>46245</v>
      </c>
      <c r="B6" t="inlineStr">
        <is>
          <t>Lakeview Florist</t>
        </is>
      </c>
      <c r="C6" s="3" t="n">
        <v>180.25</v>
      </c>
    </row>
    <row r="7">
      <c r="A7" s="2" t="n">
        <v>46260</v>
      </c>
      <c r="B7" t="inlineStr">
        <is>
          <t>Maple Street Bakery</t>
        </is>
      </c>
      <c r="C7" s="3" t="n">
        <v>395</v>
      </c>
    </row>
    <row r="8">
      <c r="A8" s="2" t="n">
        <v>46274</v>
      </c>
      <c r="B8" t="inlineStr">
        <is>
          <t>Oak &amp; Ember Candles</t>
        </is>
      </c>
      <c r="C8" s="3" t="n">
        <v>510.75</v>
      </c>
    </row>
    <row r="9">
      <c r="A9" s="2" t="n">
        <v>46282</v>
      </c>
      <c r="B9" t="inlineStr">
        <is>
          <t>Harbor Coffee</t>
        </is>
      </c>
      <c r="C9" s="3" t="n">
        <v>865</v>
      </c>
    </row>
    <row r="10">
      <c r="A10" s="2" t="n">
        <v>46289</v>
      </c>
      <c r="B10" t="inlineStr">
        <is>
          <t>Lakeview Florist</t>
        </is>
      </c>
      <c r="C10" s="3" t="n">
        <v>242</v>
      </c>
    </row>
    <row r="11">
      <c r="A11" s="2" t="n">
        <v>46295</v>
      </c>
      <c r="B11" t="inlineStr">
        <is>
          <t>Maple Street Bakery</t>
        </is>
      </c>
      <c r="C11" s="3" t="n">
        <v>428.4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20" customWidth="1" min="4" max="4"/>
    <col width="9" customWidth="1" min="5" max="5"/>
    <col width="14" customWidth="1" min="7" max="7"/>
    <col width="14" customWidth="1" min="8" max="8"/>
  </cols>
  <sheetData>
    <row r="1" ht="30" customHeight="1">
      <c r="A1" s="1" t="inlineStr">
        <is>
          <t>Customer</t>
        </is>
      </c>
      <c r="B1" s="1" t="inlineStr">
        <is>
          <t>Last order date</t>
        </is>
      </c>
      <c r="C1" s="1" t="inlineStr">
        <is>
          <t>Last order amount</t>
        </is>
      </c>
      <c r="D1" s="1" t="inlineStr">
        <is>
          <t>Days since last order</t>
        </is>
      </c>
      <c r="E1" s="1" t="inlineStr">
        <is>
          <t>Orders</t>
        </is>
      </c>
    </row>
    <row r="2">
      <c r="A2" t="inlineStr">
        <is>
          <t>Harbor Coffee</t>
        </is>
      </c>
      <c r="B2" s="4">
        <f>_xlfn.MAXIFS(Orders!$A$2:$A$200,Orders!$B$2:$B$200,A2)</f>
        <v/>
      </c>
      <c r="C2" s="5">
        <f>SUMIFS(Orders!$C$2:$C$200,Orders!$B$2:$B$200,A2,Orders!$A$2:$A$200,B2)</f>
        <v/>
      </c>
      <c r="D2" s="6">
        <f>$H$2-B2</f>
        <v/>
      </c>
      <c r="E2" s="7">
        <f>COUNTIFS(Orders!$B$2:$B$200,A2)</f>
        <v/>
      </c>
      <c r="G2" s="8" t="inlineStr">
        <is>
          <t>Report date</t>
        </is>
      </c>
      <c r="H2" s="9" t="n">
        <v>46304</v>
      </c>
    </row>
    <row r="3">
      <c r="A3" t="inlineStr">
        <is>
          <t>Maple Street Bakery</t>
        </is>
      </c>
      <c r="B3" s="4">
        <f>_xlfn.MAXIFS(Orders!$A$2:$A$200,Orders!$B$2:$B$200,A3)</f>
        <v/>
      </c>
      <c r="C3" s="5">
        <f>SUMIFS(Orders!$C$2:$C$200,Orders!$B$2:$B$200,A3,Orders!$A$2:$A$200,B3)</f>
        <v/>
      </c>
      <c r="D3" s="6">
        <f>$H$2-B3</f>
        <v/>
      </c>
      <c r="E3" s="7">
        <f>COUNTIFS(Orders!$B$2:$B$200,A3)</f>
        <v/>
      </c>
    </row>
    <row r="4">
      <c r="A4" t="inlineStr">
        <is>
          <t>Oak &amp; Ember Candles</t>
        </is>
      </c>
      <c r="B4" s="4">
        <f>_xlfn.MAXIFS(Orders!$A$2:$A$200,Orders!$B$2:$B$200,A4)</f>
        <v/>
      </c>
      <c r="C4" s="5">
        <f>SUMIFS(Orders!$C$2:$C$200,Orders!$B$2:$B$200,A4,Orders!$A$2:$A$200,B4)</f>
        <v/>
      </c>
      <c r="D4" s="6">
        <f>$H$2-B4</f>
        <v/>
      </c>
      <c r="E4" s="7">
        <f>COUNTIFS(Orders!$B$2:$B$200,A4)</f>
        <v/>
      </c>
    </row>
    <row r="5">
      <c r="A5" t="inlineStr">
        <is>
          <t>Lakeview Florist</t>
        </is>
      </c>
      <c r="B5" s="4">
        <f>_xlfn.MAXIFS(Orders!$A$2:$A$200,Orders!$B$2:$B$200,A5)</f>
        <v/>
      </c>
      <c r="C5" s="5">
        <f>SUMIFS(Orders!$C$2:$C$200,Orders!$B$2:$B$200,A5,Orders!$A$2:$A$200,B5)</f>
        <v/>
      </c>
      <c r="D5" s="6">
        <f>$H$2-B5</f>
        <v/>
      </c>
      <c r="E5" s="7">
        <f>COUNTIFS(Orders!$B$2:$B$200,A5)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Last Order Date per Customer With MAXIFS</t>
        </is>
      </c>
    </row>
    <row r="2">
      <c r="A2" t="inlineStr"/>
    </row>
    <row r="3">
      <c r="A3" t="inlineStr">
        <is>
          <t>1. Orders tab: one row per order with a real date, the customer name, and the amount. The Summary formulas read rows 2 to 200.</t>
        </is>
      </c>
    </row>
    <row r="4">
      <c r="A4" t="inlineStr">
        <is>
          <t>2. Summary B: =MAXIFS(Orders!$A$2:$A$200,Orders!$B$2:$B$200,A2). It returns the latest (largest) date among the rows whose customer matches A2.</t>
        </is>
      </c>
    </row>
    <row r="5">
      <c r="A5" t="inlineStr">
        <is>
          <t>3. Summary C: =SUMIFS(Orders!$C$2:$C$200,Orders!$B$2:$B$200,A2,Orders!$A$2:$A$200,B2). It adds the amounts for that customer on that last date. If a customer placed two orders on the same day, you get both added together.</t>
        </is>
      </c>
    </row>
    <row r="6">
      <c r="A6" t="inlineStr">
        <is>
          <t>4. Summary D: report date minus the last order date. Change H2 (or type =TODAY()) to see it move.</t>
        </is>
      </c>
    </row>
    <row r="7">
      <c r="A7" t="inlineStr">
        <is>
          <t>5. If a customer has no orders, MAXIFS returns 0, which shows as a date in 1899 or 1900. Wrap it in IF(COUNTIFS(...)=0,"",...) if your list can include new customers.</t>
        </is>
      </c>
    </row>
    <row r="8">
      <c r="A8" t="inlineStr">
        <is>
          <t>6. MAXIFS is in Excel 2019 and Microsoft 365, and in Google Sheets. It is not in Excel 2016 or earlier; there, use an array formula with MAX and IF.</t>
        </is>
      </c>
    </row>
    <row r="9">
      <c r="A9" t="inlineStr">
        <is>
          <t>7. Dates typed as text (left-aligned, no date format) are ignored by MAXIFS, so convert them to real dates first.</t>
        </is>
      </c>
    </row>
    <row r="10">
      <c r="A10" t="inlineStr"/>
    </row>
    <row r="11">
      <c r="A11" t="inlineStr">
        <is>
          <t>Customers and amounts are fictional. Checked in LibreOffice Calc only; not opened in Excel or Google Sheets.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2026-10-08T07:27:17Z</dcterms:created>
  <dcterms:modified xmlns:dcterms="http://purl.org/dc/terms/" xmlns:xsi="http://www.w3.org/2001/XMLSchema-instance" xsi:type="dcterms:W3CDTF">2026-10-08T07:27:17Z</dcterms:modified>
</cp:coreProperties>
</file>