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gs" sheetId="1" state="visible" r:id="rId1"/>
    <sheet xmlns:r="http://schemas.openxmlformats.org/officeDocument/2006/relationships" name="How to use" sheetId="2" state="visible" r:id="rId2"/>
  </sheets>
  <definedNames>
    <definedName name="_xlnm.Print_Titles" localSheetId="0">'Listings'!$1:$1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3" borderId="0" pivotButton="0" quotePrefix="0" xfId="0"/>
    <xf numFmtId="1" fontId="0" fillId="4" borderId="0" pivotButton="0" quotePrefix="0" xfId="0"/>
    <xf numFmtId="1" fontId="0" fillId="3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2" customWidth="1" min="2" max="2"/>
    <col width="11" customWidth="1" min="3" max="3"/>
    <col width="8" customWidth="1" min="4" max="4"/>
    <col width="13" customWidth="1" min="5" max="5"/>
    <col width="12" customWidth="1" min="6" max="6"/>
    <col width="4" customWidth="1" min="7" max="7"/>
    <col width="36" customWidth="1" min="8" max="8"/>
    <col width="12" customWidth="1" min="9" max="9"/>
  </cols>
  <sheetData>
    <row r="1" ht="30" customHeight="1">
      <c r="A1" s="1" t="inlineStr">
        <is>
          <t>Title</t>
        </is>
      </c>
      <c r="B1" s="1" t="inlineStr">
        <is>
          <t>Tags (separated by commas)</t>
        </is>
      </c>
      <c r="C1" s="1" t="inlineStr">
        <is>
          <t>Characters</t>
        </is>
      </c>
      <c r="D1" s="1" t="inlineStr">
        <is>
          <t>Tags</t>
        </is>
      </c>
      <c r="E1" s="1" t="inlineStr">
        <is>
          <t>Title check</t>
        </is>
      </c>
      <c r="F1" s="1" t="inlineStr">
        <is>
          <t>Tag check</t>
        </is>
      </c>
      <c r="H1" s="2" t="inlineStr">
        <is>
          <t>Limits and summary</t>
        </is>
      </c>
    </row>
    <row r="2">
      <c r="A2" t="inlineStr">
        <is>
          <t>Handmade Lavender Soy Candle 8 oz Gift for Her</t>
        </is>
      </c>
      <c r="B2" t="inlineStr">
        <is>
          <t>lavender candle, soy candle, gift for her, 8 oz candle</t>
        </is>
      </c>
      <c r="C2" s="3">
        <f>IF(A2="","",LEN(A2))</f>
        <v/>
      </c>
      <c r="D2" s="3">
        <f>IF(AND(A2="",B2=""),"",IF(TRIM(B2)="",0,LEN(B2)-LEN(SUBSTITUTE(B2,",",""))+1-(RIGHT(TRIM(B2),1)=",")))</f>
        <v/>
      </c>
      <c r="E2" s="3">
        <f>IF(A2="","",IF(C2&gt;$I$2,"Too long","OK"))</f>
        <v/>
      </c>
      <c r="F2" s="3">
        <f>IF(AND(A2="",B2=""),"",IF(D2&gt;$I$3,"Too many","OK"))</f>
        <v/>
      </c>
      <c r="H2" t="inlineStr">
        <is>
          <t>Title limit (characters), type yours</t>
        </is>
      </c>
      <c r="I2" s="4" t="n">
        <v>60</v>
      </c>
    </row>
    <row r="3">
      <c r="A3" t="inlineStr">
        <is>
          <t>Cedar and Sage Soy Candle Small Batch 8 oz Hand Poured Gift</t>
        </is>
      </c>
      <c r="B3" t="inlineStr">
        <is>
          <t>cedar candle, sage candle, hand poured, soy wax, small batch, housewarming, gift, 8 oz</t>
        </is>
      </c>
      <c r="C3" s="3">
        <f>IF(A3="","",LEN(A3))</f>
        <v/>
      </c>
      <c r="D3" s="3">
        <f>IF(AND(A3="",B3=""),"",IF(TRIM(B3)="",0,LEN(B3)-LEN(SUBSTITUTE(B3,",",""))+1-(RIGHT(TRIM(B3),1)=",")))</f>
        <v/>
      </c>
      <c r="E3" s="3">
        <f>IF(A3="","",IF(C3&gt;$I$2,"Too long","OK"))</f>
        <v/>
      </c>
      <c r="F3" s="3">
        <f>IF(AND(A3="",B3=""),"",IF(D3&gt;$I$3,"Too many","OK"))</f>
        <v/>
      </c>
      <c r="H3" t="inlineStr">
        <is>
          <t>Tag limit, type yours</t>
        </is>
      </c>
      <c r="I3" s="4" t="n">
        <v>8</v>
      </c>
    </row>
    <row r="4">
      <c r="A4" t="inlineStr">
        <is>
          <t>Oatmeal Goat Milk Soap Bar Handmade</t>
        </is>
      </c>
      <c r="B4" t="inlineStr">
        <is>
          <t>oatmeal soap, goat milk soap, handmade soap, gentle soap, bath gift, soap bar, natural soap, sensitive skin, farmers market</t>
        </is>
      </c>
      <c r="C4" s="3">
        <f>IF(A4="","",LEN(A4))</f>
        <v/>
      </c>
      <c r="D4" s="3">
        <f>IF(AND(A4="",B4=""),"",IF(TRIM(B4)="",0,LEN(B4)-LEN(SUBSTITUTE(B4,",",""))+1-(RIGHT(TRIM(B4),1)=",")))</f>
        <v/>
      </c>
      <c r="E4" s="3">
        <f>IF(A4="","",IF(C4&gt;$I$2,"Too long","OK"))</f>
        <v/>
      </c>
      <c r="F4" s="3">
        <f>IF(AND(A4="",B4=""),"",IF(D4&gt;$I$3,"Too many","OK"))</f>
        <v/>
      </c>
      <c r="H4" t="inlineStr">
        <is>
          <t>Listings checked</t>
        </is>
      </c>
      <c r="I4" s="5">
        <f>COUNTA(A2:A30)</f>
        <v/>
      </c>
    </row>
    <row r="5">
      <c r="A5" t="inlineStr">
        <is>
          <t>Brass Hoop Earrings Minimalist Gold Tone Everyday Jewelry for Women Gift Idea</t>
        </is>
      </c>
      <c r="B5" t="inlineStr">
        <is>
          <t>brass hoops, gold hoop earrings, minimalist, everyday earrings</t>
        </is>
      </c>
      <c r="C5" s="3">
        <f>IF(A5="","",LEN(A5))</f>
        <v/>
      </c>
      <c r="D5" s="3">
        <f>IF(AND(A5="",B5=""),"",IF(TRIM(B5)="",0,LEN(B5)-LEN(SUBSTITUTE(B5,",",""))+1-(RIGHT(TRIM(B5),1)=",")))</f>
        <v/>
      </c>
      <c r="E5" s="3">
        <f>IF(A5="","",IF(C5&gt;$I$2,"Too long","OK"))</f>
        <v/>
      </c>
      <c r="F5" s="3">
        <f>IF(AND(A5="",B5=""),"",IF(D5&gt;$I$3,"Too many","OK"))</f>
        <v/>
      </c>
      <c r="H5" t="inlineStr">
        <is>
          <t>Titles too long</t>
        </is>
      </c>
      <c r="I5" s="5">
        <f>COUNTIF(E2:E30,"Too long")</f>
        <v/>
      </c>
    </row>
    <row r="6">
      <c r="A6" t="inlineStr">
        <is>
          <t>Letterpress Birthday Card Blank Inside</t>
        </is>
      </c>
      <c r="B6" t="inlineStr">
        <is>
          <t>birthday card,letterpress,blank card</t>
        </is>
      </c>
      <c r="C6" s="3">
        <f>IF(A6="","",LEN(A6))</f>
        <v/>
      </c>
      <c r="D6" s="3">
        <f>IF(AND(A6="",B6=""),"",IF(TRIM(B6)="",0,LEN(B6)-LEN(SUBSTITUTE(B6,",",""))+1-(RIGHT(TRIM(B6),1)=",")))</f>
        <v/>
      </c>
      <c r="E6" s="3">
        <f>IF(A6="","",IF(C6&gt;$I$2,"Too long","OK"))</f>
        <v/>
      </c>
      <c r="F6" s="3">
        <f>IF(AND(A6="",B6=""),"",IF(D6&gt;$I$3,"Too many","OK"))</f>
        <v/>
      </c>
      <c r="H6" t="inlineStr">
        <is>
          <t>Listings with too many tags</t>
        </is>
      </c>
      <c r="I6" s="5">
        <f>COUNTIF(F2:F30,"Too many")</f>
        <v/>
      </c>
    </row>
    <row r="7">
      <c r="A7" t="inlineStr">
        <is>
          <t>Charcoal Soap Bar Cold Process Vegan</t>
        </is>
      </c>
      <c r="B7" t="inlineStr"/>
      <c r="C7" s="3">
        <f>IF(A7="","",LEN(A7))</f>
        <v/>
      </c>
      <c r="D7" s="3">
        <f>IF(AND(A7="",B7=""),"",IF(TRIM(B7)="",0,LEN(B7)-LEN(SUBSTITUTE(B7,",",""))+1-(RIGHT(TRIM(B7),1)=",")))</f>
        <v/>
      </c>
      <c r="E7" s="3">
        <f>IF(A7="","",IF(C7&gt;$I$2,"Too long","OK"))</f>
        <v/>
      </c>
      <c r="F7" s="3">
        <f>IF(AND(A7="",B7=""),"",IF(D7&gt;$I$3,"Too many","OK"))</f>
        <v/>
      </c>
      <c r="H7" t="inlineStr">
        <is>
          <t>Check: characters add up</t>
        </is>
      </c>
      <c r="I7" s="3">
        <f>IF(SUM(C2:C30)=SUMPRODUCT(LEN(A2:A30)),"OK","CHECK")</f>
        <v/>
      </c>
    </row>
    <row r="8">
      <c r="A8" t="inlineStr">
        <is>
          <t>Eucalyptus Mint Bath Salts 12 oz Jar</t>
        </is>
      </c>
      <c r="B8" t="inlineStr">
        <is>
          <t>bath salts, eucalyptus, spa gift,</t>
        </is>
      </c>
      <c r="C8" s="3">
        <f>IF(A8="","",LEN(A8))</f>
        <v/>
      </c>
      <c r="D8" s="3">
        <f>IF(AND(A8="",B8=""),"",IF(TRIM(B8)="",0,LEN(B8)-LEN(SUBSTITUTE(B8,",",""))+1-(RIGHT(TRIM(B8),1)=",")))</f>
        <v/>
      </c>
      <c r="E8" s="3">
        <f>IF(A8="","",IF(C8&gt;$I$2,"Too long","OK"))</f>
        <v/>
      </c>
      <c r="F8" s="3">
        <f>IF(AND(A8="",B8=""),"",IF(D8&gt;$I$3,"Too many","OK"))</f>
        <v/>
      </c>
    </row>
    <row r="9">
      <c r="A9" t="inlineStr">
        <is>
          <t>Beeswax Taper Candles Pair Natural Unscented</t>
        </is>
      </c>
      <c r="B9" t="inlineStr">
        <is>
          <t>taper candles, beeswax, natural candle, dinner candles, unscented</t>
        </is>
      </c>
      <c r="C9" s="3">
        <f>IF(A9="","",LEN(A9))</f>
        <v/>
      </c>
      <c r="D9" s="3">
        <f>IF(AND(A9="",B9=""),"",IF(TRIM(B9)="",0,LEN(B9)-LEN(SUBSTITUTE(B9,",",""))+1-(RIGHT(TRIM(B9),1)=",")))</f>
        <v/>
      </c>
      <c r="E9" s="3">
        <f>IF(A9="","",IF(C9&gt;$I$2,"Too long","OK"))</f>
        <v/>
      </c>
      <c r="F9" s="3">
        <f>IF(AND(A9="",B9=""),"",IF(D9&gt;$I$3,"Too many","OK"))</f>
        <v/>
      </c>
      <c r="H9" t="inlineStr">
        <is>
          <t>Sample limits only. Copy the real</t>
        </is>
      </c>
    </row>
    <row r="10">
      <c r="A10" t="inlineStr">
        <is>
          <t>Linen Wick Soy Candle Tin Travel Size 4 oz</t>
        </is>
      </c>
      <c r="B10" t="inlineStr">
        <is>
          <t>travel candle, tin candle, soy candle, stocking stuffer, 4 oz, gift, small candle, linen</t>
        </is>
      </c>
      <c r="C10" s="3">
        <f>IF(A10="","",LEN(A10))</f>
        <v/>
      </c>
      <c r="D10" s="3">
        <f>IF(AND(A10="",B10=""),"",IF(TRIM(B10)="",0,LEN(B10)-LEN(SUBSTITUTE(B10,",",""))+1-(RIGHT(TRIM(B10),1)=",")))</f>
        <v/>
      </c>
      <c r="E10" s="3">
        <f>IF(A10="","",IF(C10&gt;$I$2,"Too long","OK"))</f>
        <v/>
      </c>
      <c r="F10" s="3">
        <f>IF(AND(A10="",B10=""),"",IF(D10&gt;$I$3,"Too many","OK"))</f>
        <v/>
      </c>
      <c r="H10" t="inlineStr">
        <is>
          <t>numbers from your marketplace's help page.</t>
        </is>
      </c>
    </row>
    <row r="11">
      <c r="A11" t="inlineStr">
        <is>
          <t>Kraft Gift Box Set Soap and Candle Combo Birthday</t>
        </is>
      </c>
      <c r="B11" t="inlineStr">
        <is>
          <t>gift set, soap and candle, birthday gift, kraft box, self care</t>
        </is>
      </c>
      <c r="C11" s="3">
        <f>IF(A11="","",LEN(A11))</f>
        <v/>
      </c>
      <c r="D11" s="3">
        <f>IF(AND(A11="",B11=""),"",IF(TRIM(B11)="",0,LEN(B11)-LEN(SUBSTITUTE(B11,",",""))+1-(RIGHT(TRIM(B11),1)=",")))</f>
        <v/>
      </c>
      <c r="E11" s="3">
        <f>IF(A11="","",IF(C11&gt;$I$2,"Too long","OK"))</f>
        <v/>
      </c>
      <c r="F11" s="3">
        <f>IF(AND(A11="",B11=""),"",IF(D11&gt;$I$3,"Too many","OK"))</f>
        <v/>
      </c>
    </row>
    <row r="12">
      <c r="C12" s="3">
        <f>IF(A12="","",LEN(A12))</f>
        <v/>
      </c>
      <c r="D12" s="3">
        <f>IF(AND(A12="",B12=""),"",IF(TRIM(B12)="",0,LEN(B12)-LEN(SUBSTITUTE(B12,",",""))+1-(RIGHT(TRIM(B12),1)=",")))</f>
        <v/>
      </c>
      <c r="E12" s="3">
        <f>IF(A12="","",IF(C12&gt;$I$2,"Too long","OK"))</f>
        <v/>
      </c>
      <c r="F12" s="3">
        <f>IF(AND(A12="",B12=""),"",IF(D12&gt;$I$3,"Too many","OK"))</f>
        <v/>
      </c>
    </row>
    <row r="13">
      <c r="C13" s="3">
        <f>IF(A13="","",LEN(A13))</f>
        <v/>
      </c>
      <c r="D13" s="3">
        <f>IF(AND(A13="",B13=""),"",IF(TRIM(B13)="",0,LEN(B13)-LEN(SUBSTITUTE(B13,",",""))+1-(RIGHT(TRIM(B13),1)=",")))</f>
        <v/>
      </c>
      <c r="E13" s="3">
        <f>IF(A13="","",IF(C13&gt;$I$2,"Too long","OK"))</f>
        <v/>
      </c>
      <c r="F13" s="3">
        <f>IF(AND(A13="",B13=""),"",IF(D13&gt;$I$3,"Too many","OK"))</f>
        <v/>
      </c>
    </row>
    <row r="14">
      <c r="C14" s="3">
        <f>IF(A14="","",LEN(A14))</f>
        <v/>
      </c>
      <c r="D14" s="3">
        <f>IF(AND(A14="",B14=""),"",IF(TRIM(B14)="",0,LEN(B14)-LEN(SUBSTITUTE(B14,",",""))+1-(RIGHT(TRIM(B14),1)=",")))</f>
        <v/>
      </c>
      <c r="E14" s="3">
        <f>IF(A14="","",IF(C14&gt;$I$2,"Too long","OK"))</f>
        <v/>
      </c>
      <c r="F14" s="3">
        <f>IF(AND(A14="",B14=""),"",IF(D14&gt;$I$3,"Too many","OK"))</f>
        <v/>
      </c>
    </row>
    <row r="15">
      <c r="C15" s="3">
        <f>IF(A15="","",LEN(A15))</f>
        <v/>
      </c>
      <c r="D15" s="3">
        <f>IF(AND(A15="",B15=""),"",IF(TRIM(B15)="",0,LEN(B15)-LEN(SUBSTITUTE(B15,",",""))+1-(RIGHT(TRIM(B15),1)=",")))</f>
        <v/>
      </c>
      <c r="E15" s="3">
        <f>IF(A15="","",IF(C15&gt;$I$2,"Too long","OK"))</f>
        <v/>
      </c>
      <c r="F15" s="3">
        <f>IF(AND(A15="",B15=""),"",IF(D15&gt;$I$3,"Too many","OK"))</f>
        <v/>
      </c>
    </row>
    <row r="16">
      <c r="C16" s="3">
        <f>IF(A16="","",LEN(A16))</f>
        <v/>
      </c>
      <c r="D16" s="3">
        <f>IF(AND(A16="",B16=""),"",IF(TRIM(B16)="",0,LEN(B16)-LEN(SUBSTITUTE(B16,",",""))+1-(RIGHT(TRIM(B16),1)=",")))</f>
        <v/>
      </c>
      <c r="E16" s="3">
        <f>IF(A16="","",IF(C16&gt;$I$2,"Too long","OK"))</f>
        <v/>
      </c>
      <c r="F16" s="3">
        <f>IF(AND(A16="",B16=""),"",IF(D16&gt;$I$3,"Too many","OK"))</f>
        <v/>
      </c>
    </row>
    <row r="17">
      <c r="C17" s="3">
        <f>IF(A17="","",LEN(A17))</f>
        <v/>
      </c>
      <c r="D17" s="3">
        <f>IF(AND(A17="",B17=""),"",IF(TRIM(B17)="",0,LEN(B17)-LEN(SUBSTITUTE(B17,",",""))+1-(RIGHT(TRIM(B17),1)=",")))</f>
        <v/>
      </c>
      <c r="E17" s="3">
        <f>IF(A17="","",IF(C17&gt;$I$2,"Too long","OK"))</f>
        <v/>
      </c>
      <c r="F17" s="3">
        <f>IF(AND(A17="",B17=""),"",IF(D17&gt;$I$3,"Too many","OK"))</f>
        <v/>
      </c>
    </row>
    <row r="18">
      <c r="C18" s="3">
        <f>IF(A18="","",LEN(A18))</f>
        <v/>
      </c>
      <c r="D18" s="3">
        <f>IF(AND(A18="",B18=""),"",IF(TRIM(B18)="",0,LEN(B18)-LEN(SUBSTITUTE(B18,",",""))+1-(RIGHT(TRIM(B18),1)=",")))</f>
        <v/>
      </c>
      <c r="E18" s="3">
        <f>IF(A18="","",IF(C18&gt;$I$2,"Too long","OK"))</f>
        <v/>
      </c>
      <c r="F18" s="3">
        <f>IF(AND(A18="",B18=""),"",IF(D18&gt;$I$3,"Too many","OK"))</f>
        <v/>
      </c>
    </row>
    <row r="19">
      <c r="C19" s="3">
        <f>IF(A19="","",LEN(A19))</f>
        <v/>
      </c>
      <c r="D19" s="3">
        <f>IF(AND(A19="",B19=""),"",IF(TRIM(B19)="",0,LEN(B19)-LEN(SUBSTITUTE(B19,",",""))+1-(RIGHT(TRIM(B19),1)=",")))</f>
        <v/>
      </c>
      <c r="E19" s="3">
        <f>IF(A19="","",IF(C19&gt;$I$2,"Too long","OK"))</f>
        <v/>
      </c>
      <c r="F19" s="3">
        <f>IF(AND(A19="",B19=""),"",IF(D19&gt;$I$3,"Too many","OK"))</f>
        <v/>
      </c>
    </row>
    <row r="20">
      <c r="C20" s="3">
        <f>IF(A20="","",LEN(A20))</f>
        <v/>
      </c>
      <c r="D20" s="3">
        <f>IF(AND(A20="",B20=""),"",IF(TRIM(B20)="",0,LEN(B20)-LEN(SUBSTITUTE(B20,",",""))+1-(RIGHT(TRIM(B20),1)=",")))</f>
        <v/>
      </c>
      <c r="E20" s="3">
        <f>IF(A20="","",IF(C20&gt;$I$2,"Too long","OK"))</f>
        <v/>
      </c>
      <c r="F20" s="3">
        <f>IF(AND(A20="",B20=""),"",IF(D20&gt;$I$3,"Too many","OK"))</f>
        <v/>
      </c>
    </row>
    <row r="21">
      <c r="C21" s="3">
        <f>IF(A21="","",LEN(A21))</f>
        <v/>
      </c>
      <c r="D21" s="3">
        <f>IF(AND(A21="",B21=""),"",IF(TRIM(B21)="",0,LEN(B21)-LEN(SUBSTITUTE(B21,",",""))+1-(RIGHT(TRIM(B21),1)=",")))</f>
        <v/>
      </c>
      <c r="E21" s="3">
        <f>IF(A21="","",IF(C21&gt;$I$2,"Too long","OK"))</f>
        <v/>
      </c>
      <c r="F21" s="3">
        <f>IF(AND(A21="",B21=""),"",IF(D21&gt;$I$3,"Too many","OK"))</f>
        <v/>
      </c>
    </row>
    <row r="22">
      <c r="C22" s="3">
        <f>IF(A22="","",LEN(A22))</f>
        <v/>
      </c>
      <c r="D22" s="3">
        <f>IF(AND(A22="",B22=""),"",IF(TRIM(B22)="",0,LEN(B22)-LEN(SUBSTITUTE(B22,",",""))+1-(RIGHT(TRIM(B22),1)=",")))</f>
        <v/>
      </c>
      <c r="E22" s="3">
        <f>IF(A22="","",IF(C22&gt;$I$2,"Too long","OK"))</f>
        <v/>
      </c>
      <c r="F22" s="3">
        <f>IF(AND(A22="",B22=""),"",IF(D22&gt;$I$3,"Too many","OK"))</f>
        <v/>
      </c>
    </row>
    <row r="23">
      <c r="C23" s="3">
        <f>IF(A23="","",LEN(A23))</f>
        <v/>
      </c>
      <c r="D23" s="3">
        <f>IF(AND(A23="",B23=""),"",IF(TRIM(B23)="",0,LEN(B23)-LEN(SUBSTITUTE(B23,",",""))+1-(RIGHT(TRIM(B23),1)=",")))</f>
        <v/>
      </c>
      <c r="E23" s="3">
        <f>IF(A23="","",IF(C23&gt;$I$2,"Too long","OK"))</f>
        <v/>
      </c>
      <c r="F23" s="3">
        <f>IF(AND(A23="",B23=""),"",IF(D23&gt;$I$3,"Too many","OK"))</f>
        <v/>
      </c>
    </row>
    <row r="24">
      <c r="C24" s="3">
        <f>IF(A24="","",LEN(A24))</f>
        <v/>
      </c>
      <c r="D24" s="3">
        <f>IF(AND(A24="",B24=""),"",IF(TRIM(B24)="",0,LEN(B24)-LEN(SUBSTITUTE(B24,",",""))+1-(RIGHT(TRIM(B24),1)=",")))</f>
        <v/>
      </c>
      <c r="E24" s="3">
        <f>IF(A24="","",IF(C24&gt;$I$2,"Too long","OK"))</f>
        <v/>
      </c>
      <c r="F24" s="3">
        <f>IF(AND(A24="",B24=""),"",IF(D24&gt;$I$3,"Too many","OK"))</f>
        <v/>
      </c>
    </row>
    <row r="25">
      <c r="C25" s="3">
        <f>IF(A25="","",LEN(A25))</f>
        <v/>
      </c>
      <c r="D25" s="3">
        <f>IF(AND(A25="",B25=""),"",IF(TRIM(B25)="",0,LEN(B25)-LEN(SUBSTITUTE(B25,",",""))+1-(RIGHT(TRIM(B25),1)=",")))</f>
        <v/>
      </c>
      <c r="E25" s="3">
        <f>IF(A25="","",IF(C25&gt;$I$2,"Too long","OK"))</f>
        <v/>
      </c>
      <c r="F25" s="3">
        <f>IF(AND(A25="",B25=""),"",IF(D25&gt;$I$3,"Too many","OK"))</f>
        <v/>
      </c>
    </row>
    <row r="26">
      <c r="C26" s="3">
        <f>IF(A26="","",LEN(A26))</f>
        <v/>
      </c>
      <c r="D26" s="3">
        <f>IF(AND(A26="",B26=""),"",IF(TRIM(B26)="",0,LEN(B26)-LEN(SUBSTITUTE(B26,",",""))+1-(RIGHT(TRIM(B26),1)=",")))</f>
        <v/>
      </c>
      <c r="E26" s="3">
        <f>IF(A26="","",IF(C26&gt;$I$2,"Too long","OK"))</f>
        <v/>
      </c>
      <c r="F26" s="3">
        <f>IF(AND(A26="",B26=""),"",IF(D26&gt;$I$3,"Too many","OK"))</f>
        <v/>
      </c>
    </row>
    <row r="27">
      <c r="C27" s="3">
        <f>IF(A27="","",LEN(A27))</f>
        <v/>
      </c>
      <c r="D27" s="3">
        <f>IF(AND(A27="",B27=""),"",IF(TRIM(B27)="",0,LEN(B27)-LEN(SUBSTITUTE(B27,",",""))+1-(RIGHT(TRIM(B27),1)=",")))</f>
        <v/>
      </c>
      <c r="E27" s="3">
        <f>IF(A27="","",IF(C27&gt;$I$2,"Too long","OK"))</f>
        <v/>
      </c>
      <c r="F27" s="3">
        <f>IF(AND(A27="",B27=""),"",IF(D27&gt;$I$3,"Too many","OK"))</f>
        <v/>
      </c>
    </row>
    <row r="28">
      <c r="C28" s="3">
        <f>IF(A28="","",LEN(A28))</f>
        <v/>
      </c>
      <c r="D28" s="3">
        <f>IF(AND(A28="",B28=""),"",IF(TRIM(B28)="",0,LEN(B28)-LEN(SUBSTITUTE(B28,",",""))+1-(RIGHT(TRIM(B28),1)=",")))</f>
        <v/>
      </c>
      <c r="E28" s="3">
        <f>IF(A28="","",IF(C28&gt;$I$2,"Too long","OK"))</f>
        <v/>
      </c>
      <c r="F28" s="3">
        <f>IF(AND(A28="",B28=""),"",IF(D28&gt;$I$3,"Too many","OK"))</f>
        <v/>
      </c>
    </row>
    <row r="29">
      <c r="C29" s="3">
        <f>IF(A29="","",LEN(A29))</f>
        <v/>
      </c>
      <c r="D29" s="3">
        <f>IF(AND(A29="",B29=""),"",IF(TRIM(B29)="",0,LEN(B29)-LEN(SUBSTITUTE(B29,",",""))+1-(RIGHT(TRIM(B29),1)=",")))</f>
        <v/>
      </c>
      <c r="E29" s="3">
        <f>IF(A29="","",IF(C29&gt;$I$2,"Too long","OK"))</f>
        <v/>
      </c>
      <c r="F29" s="3">
        <f>IF(AND(A29="",B29=""),"",IF(D29&gt;$I$3,"Too many","OK"))</f>
        <v/>
      </c>
    </row>
    <row r="30">
      <c r="C30" s="3">
        <f>IF(A30="","",LEN(A30))</f>
        <v/>
      </c>
      <c r="D30" s="3">
        <f>IF(AND(A30="",B30=""),"",IF(TRIM(B30)="",0,LEN(B30)-LEN(SUBSTITUTE(B30,",",""))+1-(RIGHT(TRIM(B30),1)=",")))</f>
        <v/>
      </c>
      <c r="E30" s="3">
        <f>IF(A30="","",IF(C30&gt;$I$2,"Too long","OK"))</f>
        <v/>
      </c>
      <c r="F30" s="3">
        <f>IF(AND(A30="",B30=""),"",IF(D30&gt;$I$3,"Too many","OK"))</f>
        <v/>
      </c>
    </row>
  </sheetData>
  <conditionalFormatting sqref="E2:F30">
    <cfRule type="expression" priority="1" dxfId="0">
      <formula>OR(E2="Too long",E2="Too many")</formula>
    </cfRule>
  </conditionalFormatting>
  <pageMargins left="0.75" right="0.75" top="1" bottom="1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Tidy Tabs: Count Characters and Tags in a Product Listing</t>
        </is>
      </c>
    </row>
    <row r="2">
      <c r="A2" s="7" t="inlineStr"/>
    </row>
    <row r="3">
      <c r="A3" s="7" t="inlineStr">
        <is>
          <t>1. Listings tab: type or paste each title in column A and its tags in column B, separated by commas. Rows 2 to 30 have formulas ready.</t>
        </is>
      </c>
    </row>
    <row r="4">
      <c r="A4" s="7" t="inlineStr">
        <is>
          <t>2. I2 and I3 are yellow input cells. Type the title limit and the tag limit from your marketplace's own help page. The 60 and 8 in the sample are made-up numbers, not any marketplace's rules.</t>
        </is>
      </c>
    </row>
    <row r="5">
      <c r="A5" s="7" t="inlineStr">
        <is>
          <t>3. C2: =IF(A2="","",LEN(A2)) counts every character in the title, including spaces.</t>
        </is>
      </c>
    </row>
    <row r="6">
      <c r="A6" s="7" t="inlineStr">
        <is>
          <t>4. D2 counts the tags: =LEN(B2)-LEN(SUBSTITUTE(B2,",",""))+1 counts the commas and adds 1. The template wraps it so an empty tags cell gives 0 and a comma left at the end is not counted as a tag.</t>
        </is>
      </c>
    </row>
    <row r="7">
      <c r="A7" s="7" t="inlineStr">
        <is>
          <t>5. E and F show OK, Too long or Too many. A title exactly at the limit is OK.</t>
        </is>
      </c>
    </row>
    <row r="8">
      <c r="A8" s="7" t="inlineStr">
        <is>
          <t>6. I7 adds up the character counts a second way. If it shows CHECK, a formula in column C was overwritten.</t>
        </is>
      </c>
    </row>
    <row r="9">
      <c r="A9" s="7" t="inlineStr">
        <is>
          <t>7. LEN counts spaces at the start and end of a cell. Spaces after commas do not change the tag count, but two commas in a row do (an empty tag is still counted).</t>
        </is>
      </c>
    </row>
    <row r="10">
      <c r="A10" s="7" t="inlineStr"/>
    </row>
    <row r="11">
      <c r="A11" s="7" t="inlineStr">
        <is>
          <t>Listings are fictional. Checked in LibreOffice Calc only; not opened in Excel or Google Sheets.</t>
        </is>
      </c>
    </row>
    <row r="12">
      <c r="A12" s="7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2026-10-13T07:29:06Z</dcterms:created>
  <dcterms:modified xmlns:dcterms="http://purl.org/dc/terms/" xmlns:xsi="http://www.w3.org/2001/XMLSchema-instance" xsi:type="dcterms:W3CDTF">2026-10-13T07:29:06Z</dcterms:modified>
</cp:coreProperties>
</file>