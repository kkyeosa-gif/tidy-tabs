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How to use" sheetId="2" state="visible" r:id="rId2"/>
  </sheets>
  <definedNames>
    <definedName name="_xlnm.Print_Titles" localSheetId="0">'Schedule'!$7:$7</definedName>
    <definedName name="_xlnm.Print_Area" localSheetId="0">'Schedule'!$A$1:$I$43</definedName>
  </definedNames>
  <calcPr calcId="124519" fullCalcOnLoad="1"/>
</workbook>
</file>

<file path=xl/styles.xml><?xml version="1.0" encoding="utf-8"?>
<styleSheet xmlns="http://schemas.openxmlformats.org/spreadsheetml/2006/main">
  <numFmts count="3">
    <numFmt numFmtId="164" formatCode="yyyy-mm-dd"/>
    <numFmt numFmtId="165" formatCode="&quot;$&quot;#,##0.00"/>
    <numFmt numFmtId="166" formatCode="mm/dd/yyyy"/>
  </numFmts>
  <fonts count="5">
    <font>
      <name val="Calibri"/>
      <family val="2"/>
      <color theme="1"/>
      <sz val="11"/>
      <scheme val="minor"/>
    </font>
    <font>
      <b val="1"/>
    </font>
    <font>
      <i val="1"/>
    </font>
    <font>
      <b val="1"/>
      <color rgb="00FFFFFF"/>
    </font>
    <font>
      <b val="1"/>
      <sz val="13"/>
    </font>
  </fonts>
  <fills count="5">
    <fill>
      <patternFill/>
    </fill>
    <fill>
      <patternFill patternType="gray125"/>
    </fill>
    <fill>
      <patternFill patternType="solid">
        <fgColor rgb="00FFF2CC"/>
      </patternFill>
    </fill>
    <fill>
      <patternFill patternType="solid">
        <fgColor rgb="00EDEDED"/>
      </patternFill>
    </fill>
    <fill>
      <patternFill patternType="solid">
        <fgColor rgb="002E5E4E"/>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165" fontId="0" fillId="2" borderId="0" pivotButton="0" quotePrefix="0" xfId="0"/>
    <xf numFmtId="0" fontId="2" fillId="0" borderId="0" pivotButton="0" quotePrefix="0" xfId="0"/>
    <xf numFmtId="165" fontId="0" fillId="3" borderId="0" applyAlignment="1" pivotButton="0" quotePrefix="0" xfId="0">
      <alignment horizontal="right"/>
    </xf>
    <xf numFmtId="10" fontId="0" fillId="2" borderId="0" pivotButton="0" quotePrefix="0" xfId="0"/>
    <xf numFmtId="1" fontId="0" fillId="2" borderId="0" pivotButton="0" quotePrefix="0" xfId="0"/>
    <xf numFmtId="166" fontId="0" fillId="2" borderId="0" pivotButton="0" quotePrefix="0" xfId="0"/>
    <xf numFmtId="0" fontId="0" fillId="3" borderId="0" pivotButton="0" quotePrefix="0" xfId="0"/>
    <xf numFmtId="166" fontId="0" fillId="3" borderId="0" applyAlignment="1" pivotButton="0" quotePrefix="0" xfId="0">
      <alignment horizontal="right"/>
    </xf>
    <xf numFmtId="0" fontId="0" fillId="3" borderId="0" applyAlignment="1" pivotButton="0" quotePrefix="0" xfId="0">
      <alignment horizontal="right"/>
    </xf>
    <xf numFmtId="0" fontId="3" fillId="4" borderId="0" applyAlignment="1" pivotButton="0" quotePrefix="0" xfId="0">
      <alignment vertical="center" wrapText="1"/>
    </xf>
    <xf numFmtId="1" fontId="0" fillId="3" borderId="0" applyAlignment="1" pivotButton="0" quotePrefix="0" xfId="0">
      <alignment horizontal="center"/>
    </xf>
    <xf numFmtId="166" fontId="0" fillId="3" borderId="0" pivotButton="0" quotePrefix="0" xfId="0"/>
    <xf numFmtId="165" fontId="0" fillId="3"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67"/>
  <sheetViews>
    <sheetView workbookViewId="0">
      <pane ySplit="7" topLeftCell="A8" activePane="bottomLeft" state="frozen"/>
      <selection pane="bottomLeft" activeCell="A1" sqref="A1"/>
    </sheetView>
  </sheetViews>
  <sheetFormatPr baseColWidth="8" defaultRowHeight="15"/>
  <cols>
    <col width="12" customWidth="1" min="1" max="1"/>
    <col width="13" customWidth="1" min="2" max="2"/>
    <col width="13" customWidth="1" min="3" max="3"/>
    <col width="13" customWidth="1" min="4" max="4"/>
    <col width="13" customWidth="1" min="5" max="5"/>
    <col width="14" customWidth="1" min="6" max="6"/>
    <col width="3" customWidth="1" min="7" max="7"/>
    <col width="44" customWidth="1" min="8" max="8"/>
    <col width="16" customWidth="1" min="9" max="9"/>
  </cols>
  <sheetData>
    <row r="1">
      <c r="A1" s="1" t="inlineStr">
        <is>
          <t>Loan amount</t>
        </is>
      </c>
      <c r="C1" s="2" t="n">
        <v>12000</v>
      </c>
      <c r="D1" s="3" t="inlineStr">
        <is>
          <t>Fictional loan. Rate is a yearly percent; dates are MM/DD/YYYY.</t>
        </is>
      </c>
      <c r="H1" s="1" t="inlineStr">
        <is>
          <t>Monthly payment</t>
        </is>
      </c>
      <c r="I1" s="4">
        <f>IF(C5="OK",IF(C2=0,ROUND(C1/C3,2),ROUND(-PMT(C2/12,C3,C1),2)),"")</f>
        <v/>
      </c>
    </row>
    <row r="2">
      <c r="A2" s="1" t="inlineStr">
        <is>
          <t>Yearly rate</t>
        </is>
      </c>
      <c r="C2" s="5" t="n">
        <v>0.07000000000000001</v>
      </c>
      <c r="H2" s="1" t="inlineStr">
        <is>
          <t>Last payment</t>
        </is>
      </c>
      <c r="I2" s="4">
        <f>IF(C5="OK",INDEX(C8:C67,C3),"")</f>
        <v/>
      </c>
    </row>
    <row r="3">
      <c r="A3" s="1" t="inlineStr">
        <is>
          <t>Months (1 to 60)</t>
        </is>
      </c>
      <c r="C3" s="6" t="n">
        <v>36</v>
      </c>
      <c r="H3" s="1" t="inlineStr">
        <is>
          <t>Total interest</t>
        </is>
      </c>
      <c r="I3" s="4">
        <f>SUM(D8:D67)</f>
        <v/>
      </c>
    </row>
    <row r="4">
      <c r="A4" s="1" t="inlineStr">
        <is>
          <t>First payment date</t>
        </is>
      </c>
      <c r="C4" s="7" t="n">
        <v>46354</v>
      </c>
      <c r="H4" s="1" t="inlineStr">
        <is>
          <t>Total paid</t>
        </is>
      </c>
      <c r="I4" s="4">
        <f>SUM(C8:C67)</f>
        <v/>
      </c>
    </row>
    <row r="5">
      <c r="A5" s="1" t="inlineStr">
        <is>
          <t>Input check</t>
        </is>
      </c>
      <c r="C5" s="8">
        <f>IF(AND(ISNUMBER(C1),ISNUMBER(C2),ISNUMBER(C3),ISNUMBER(C4)),IF(C1&lt;=0,"Amount must be above 0",IF(OR(C2&lt;0,C2&gt;1),"Rate must be 0% to 100%",IF(OR(C3&lt;1,C3&gt;60,C3&lt;&gt;INT(C3)),"Months must be a whole number from 1 to 60","OK"))),"Type a number in each yellow cell")</f>
        <v/>
      </c>
      <c r="H5" s="1" t="inlineStr">
        <is>
          <t>Last payment date</t>
        </is>
      </c>
      <c r="I5" s="9">
        <f>IF(C5="OK",INDEX(B8:B67,C3),"")</f>
        <v/>
      </c>
    </row>
    <row r="6">
      <c r="H6" s="1" t="inlineStr">
        <is>
          <t>Check: principal adds up, balance ends at $0.00</t>
        </is>
      </c>
      <c r="I6" s="10">
        <f>IF(C5&lt;&gt;"OK","CHECK",IF(AND(ROUND(SUM(E8:E67)-C1,2)=0,INDEX(F8:F67,C3)=0,ROUND(I4-I3-C1,2)=0,COUNT(A8:A67)=C3),"OK","CHECK"))</f>
        <v/>
      </c>
    </row>
    <row r="7" ht="32" customHeight="1">
      <c r="A7" s="11" t="inlineStr">
        <is>
          <t>Payment no.</t>
        </is>
      </c>
      <c r="B7" s="11" t="inlineStr">
        <is>
          <t>Date</t>
        </is>
      </c>
      <c r="C7" s="11" t="inlineStr">
        <is>
          <t>Payment</t>
        </is>
      </c>
      <c r="D7" s="11" t="inlineStr">
        <is>
          <t>Interest</t>
        </is>
      </c>
      <c r="E7" s="11" t="inlineStr">
        <is>
          <t>Principal</t>
        </is>
      </c>
      <c r="F7" s="11" t="inlineStr">
        <is>
          <t>Balance after</t>
        </is>
      </c>
    </row>
    <row r="8">
      <c r="A8" s="12">
        <f>IF($C$5="OK",IF(ROWS(A$8:A8)&lt;=$C$3,ROWS(A$8:A8),""),"")</f>
        <v/>
      </c>
      <c r="B8" s="13">
        <f>IF(A8="","",EDATE($C$4,A8-1))</f>
        <v/>
      </c>
      <c r="C8" s="14">
        <f>IF(A8="","",IF(A8=$C$3,$C$1+D8,$I$1))</f>
        <v/>
      </c>
      <c r="D8" s="14">
        <f>IF(A8="","",IF($C$2=0,0,ROUND(-IPMT($C$2/12,A8,$C$3,$C$1),2)))</f>
        <v/>
      </c>
      <c r="E8" s="14">
        <f>IF(A8="","",ROUND(C8-D8,2))</f>
        <v/>
      </c>
      <c r="F8" s="14">
        <f>IF(A8="","",ROUND($C$1-E8,2))</f>
        <v/>
      </c>
    </row>
    <row r="9">
      <c r="A9" s="12">
        <f>IF($C$5="OK",IF(ROWS(A$8:A9)&lt;=$C$3,ROWS(A$8:A9),""),"")</f>
        <v/>
      </c>
      <c r="B9" s="13">
        <f>IF(A9="","",EDATE($C$4,A9-1))</f>
        <v/>
      </c>
      <c r="C9" s="14">
        <f>IF(A9="","",IF(A9=$C$3,F8+D9,$I$1))</f>
        <v/>
      </c>
      <c r="D9" s="14">
        <f>IF(A9="","",IF($C$2=0,0,ROUND(-IPMT($C$2/12,A9,$C$3,$C$1),2)))</f>
        <v/>
      </c>
      <c r="E9" s="14">
        <f>IF(A9="","",ROUND(C9-D9,2))</f>
        <v/>
      </c>
      <c r="F9" s="14">
        <f>IF(A9="","",ROUND(F8-E9,2))</f>
        <v/>
      </c>
    </row>
    <row r="10">
      <c r="A10" s="12">
        <f>IF($C$5="OK",IF(ROWS(A$8:A10)&lt;=$C$3,ROWS(A$8:A10),""),"")</f>
        <v/>
      </c>
      <c r="B10" s="13">
        <f>IF(A10="","",EDATE($C$4,A10-1))</f>
        <v/>
      </c>
      <c r="C10" s="14">
        <f>IF(A10="","",IF(A10=$C$3,F9+D10,$I$1))</f>
        <v/>
      </c>
      <c r="D10" s="14">
        <f>IF(A10="","",IF($C$2=0,0,ROUND(-IPMT($C$2/12,A10,$C$3,$C$1),2)))</f>
        <v/>
      </c>
      <c r="E10" s="14">
        <f>IF(A10="","",ROUND(C10-D10,2))</f>
        <v/>
      </c>
      <c r="F10" s="14">
        <f>IF(A10="","",ROUND(F9-E10,2))</f>
        <v/>
      </c>
    </row>
    <row r="11">
      <c r="A11" s="12">
        <f>IF($C$5="OK",IF(ROWS(A$8:A11)&lt;=$C$3,ROWS(A$8:A11),""),"")</f>
        <v/>
      </c>
      <c r="B11" s="13">
        <f>IF(A11="","",EDATE($C$4,A11-1))</f>
        <v/>
      </c>
      <c r="C11" s="14">
        <f>IF(A11="","",IF(A11=$C$3,F10+D11,$I$1))</f>
        <v/>
      </c>
      <c r="D11" s="14">
        <f>IF(A11="","",IF($C$2=0,0,ROUND(-IPMT($C$2/12,A11,$C$3,$C$1),2)))</f>
        <v/>
      </c>
      <c r="E11" s="14">
        <f>IF(A11="","",ROUND(C11-D11,2))</f>
        <v/>
      </c>
      <c r="F11" s="14">
        <f>IF(A11="","",ROUND(F10-E11,2))</f>
        <v/>
      </c>
    </row>
    <row r="12">
      <c r="A12" s="12">
        <f>IF($C$5="OK",IF(ROWS(A$8:A12)&lt;=$C$3,ROWS(A$8:A12),""),"")</f>
        <v/>
      </c>
      <c r="B12" s="13">
        <f>IF(A12="","",EDATE($C$4,A12-1))</f>
        <v/>
      </c>
      <c r="C12" s="14">
        <f>IF(A12="","",IF(A12=$C$3,F11+D12,$I$1))</f>
        <v/>
      </c>
      <c r="D12" s="14">
        <f>IF(A12="","",IF($C$2=0,0,ROUND(-IPMT($C$2/12,A12,$C$3,$C$1),2)))</f>
        <v/>
      </c>
      <c r="E12" s="14">
        <f>IF(A12="","",ROUND(C12-D12,2))</f>
        <v/>
      </c>
      <c r="F12" s="14">
        <f>IF(A12="","",ROUND(F11-E12,2))</f>
        <v/>
      </c>
    </row>
    <row r="13">
      <c r="A13" s="12">
        <f>IF($C$5="OK",IF(ROWS(A$8:A13)&lt;=$C$3,ROWS(A$8:A13),""),"")</f>
        <v/>
      </c>
      <c r="B13" s="13">
        <f>IF(A13="","",EDATE($C$4,A13-1))</f>
        <v/>
      </c>
      <c r="C13" s="14">
        <f>IF(A13="","",IF(A13=$C$3,F12+D13,$I$1))</f>
        <v/>
      </c>
      <c r="D13" s="14">
        <f>IF(A13="","",IF($C$2=0,0,ROUND(-IPMT($C$2/12,A13,$C$3,$C$1),2)))</f>
        <v/>
      </c>
      <c r="E13" s="14">
        <f>IF(A13="","",ROUND(C13-D13,2))</f>
        <v/>
      </c>
      <c r="F13" s="14">
        <f>IF(A13="","",ROUND(F12-E13,2))</f>
        <v/>
      </c>
    </row>
    <row r="14">
      <c r="A14" s="12">
        <f>IF($C$5="OK",IF(ROWS(A$8:A14)&lt;=$C$3,ROWS(A$8:A14),""),"")</f>
        <v/>
      </c>
      <c r="B14" s="13">
        <f>IF(A14="","",EDATE($C$4,A14-1))</f>
        <v/>
      </c>
      <c r="C14" s="14">
        <f>IF(A14="","",IF(A14=$C$3,F13+D14,$I$1))</f>
        <v/>
      </c>
      <c r="D14" s="14">
        <f>IF(A14="","",IF($C$2=0,0,ROUND(-IPMT($C$2/12,A14,$C$3,$C$1),2)))</f>
        <v/>
      </c>
      <c r="E14" s="14">
        <f>IF(A14="","",ROUND(C14-D14,2))</f>
        <v/>
      </c>
      <c r="F14" s="14">
        <f>IF(A14="","",ROUND(F13-E14,2))</f>
        <v/>
      </c>
    </row>
    <row r="15">
      <c r="A15" s="12">
        <f>IF($C$5="OK",IF(ROWS(A$8:A15)&lt;=$C$3,ROWS(A$8:A15),""),"")</f>
        <v/>
      </c>
      <c r="B15" s="13">
        <f>IF(A15="","",EDATE($C$4,A15-1))</f>
        <v/>
      </c>
      <c r="C15" s="14">
        <f>IF(A15="","",IF(A15=$C$3,F14+D15,$I$1))</f>
        <v/>
      </c>
      <c r="D15" s="14">
        <f>IF(A15="","",IF($C$2=0,0,ROUND(-IPMT($C$2/12,A15,$C$3,$C$1),2)))</f>
        <v/>
      </c>
      <c r="E15" s="14">
        <f>IF(A15="","",ROUND(C15-D15,2))</f>
        <v/>
      </c>
      <c r="F15" s="14">
        <f>IF(A15="","",ROUND(F14-E15,2))</f>
        <v/>
      </c>
    </row>
    <row r="16">
      <c r="A16" s="12">
        <f>IF($C$5="OK",IF(ROWS(A$8:A16)&lt;=$C$3,ROWS(A$8:A16),""),"")</f>
        <v/>
      </c>
      <c r="B16" s="13">
        <f>IF(A16="","",EDATE($C$4,A16-1))</f>
        <v/>
      </c>
      <c r="C16" s="14">
        <f>IF(A16="","",IF(A16=$C$3,F15+D16,$I$1))</f>
        <v/>
      </c>
      <c r="D16" s="14">
        <f>IF(A16="","",IF($C$2=0,0,ROUND(-IPMT($C$2/12,A16,$C$3,$C$1),2)))</f>
        <v/>
      </c>
      <c r="E16" s="14">
        <f>IF(A16="","",ROUND(C16-D16,2))</f>
        <v/>
      </c>
      <c r="F16" s="14">
        <f>IF(A16="","",ROUND(F15-E16,2))</f>
        <v/>
      </c>
    </row>
    <row r="17">
      <c r="A17" s="12">
        <f>IF($C$5="OK",IF(ROWS(A$8:A17)&lt;=$C$3,ROWS(A$8:A17),""),"")</f>
        <v/>
      </c>
      <c r="B17" s="13">
        <f>IF(A17="","",EDATE($C$4,A17-1))</f>
        <v/>
      </c>
      <c r="C17" s="14">
        <f>IF(A17="","",IF(A17=$C$3,F16+D17,$I$1))</f>
        <v/>
      </c>
      <c r="D17" s="14">
        <f>IF(A17="","",IF($C$2=0,0,ROUND(-IPMT($C$2/12,A17,$C$3,$C$1),2)))</f>
        <v/>
      </c>
      <c r="E17" s="14">
        <f>IF(A17="","",ROUND(C17-D17,2))</f>
        <v/>
      </c>
      <c r="F17" s="14">
        <f>IF(A17="","",ROUND(F16-E17,2))</f>
        <v/>
      </c>
    </row>
    <row r="18">
      <c r="A18" s="12">
        <f>IF($C$5="OK",IF(ROWS(A$8:A18)&lt;=$C$3,ROWS(A$8:A18),""),"")</f>
        <v/>
      </c>
      <c r="B18" s="13">
        <f>IF(A18="","",EDATE($C$4,A18-1))</f>
        <v/>
      </c>
      <c r="C18" s="14">
        <f>IF(A18="","",IF(A18=$C$3,F17+D18,$I$1))</f>
        <v/>
      </c>
      <c r="D18" s="14">
        <f>IF(A18="","",IF($C$2=0,0,ROUND(-IPMT($C$2/12,A18,$C$3,$C$1),2)))</f>
        <v/>
      </c>
      <c r="E18" s="14">
        <f>IF(A18="","",ROUND(C18-D18,2))</f>
        <v/>
      </c>
      <c r="F18" s="14">
        <f>IF(A18="","",ROUND(F17-E18,2))</f>
        <v/>
      </c>
    </row>
    <row r="19">
      <c r="A19" s="12">
        <f>IF($C$5="OK",IF(ROWS(A$8:A19)&lt;=$C$3,ROWS(A$8:A19),""),"")</f>
        <v/>
      </c>
      <c r="B19" s="13">
        <f>IF(A19="","",EDATE($C$4,A19-1))</f>
        <v/>
      </c>
      <c r="C19" s="14">
        <f>IF(A19="","",IF(A19=$C$3,F18+D19,$I$1))</f>
        <v/>
      </c>
      <c r="D19" s="14">
        <f>IF(A19="","",IF($C$2=0,0,ROUND(-IPMT($C$2/12,A19,$C$3,$C$1),2)))</f>
        <v/>
      </c>
      <c r="E19" s="14">
        <f>IF(A19="","",ROUND(C19-D19,2))</f>
        <v/>
      </c>
      <c r="F19" s="14">
        <f>IF(A19="","",ROUND(F18-E19,2))</f>
        <v/>
      </c>
    </row>
    <row r="20">
      <c r="A20" s="12">
        <f>IF($C$5="OK",IF(ROWS(A$8:A20)&lt;=$C$3,ROWS(A$8:A20),""),"")</f>
        <v/>
      </c>
      <c r="B20" s="13">
        <f>IF(A20="","",EDATE($C$4,A20-1))</f>
        <v/>
      </c>
      <c r="C20" s="14">
        <f>IF(A20="","",IF(A20=$C$3,F19+D20,$I$1))</f>
        <v/>
      </c>
      <c r="D20" s="14">
        <f>IF(A20="","",IF($C$2=0,0,ROUND(-IPMT($C$2/12,A20,$C$3,$C$1),2)))</f>
        <v/>
      </c>
      <c r="E20" s="14">
        <f>IF(A20="","",ROUND(C20-D20,2))</f>
        <v/>
      </c>
      <c r="F20" s="14">
        <f>IF(A20="","",ROUND(F19-E20,2))</f>
        <v/>
      </c>
    </row>
    <row r="21">
      <c r="A21" s="12">
        <f>IF($C$5="OK",IF(ROWS(A$8:A21)&lt;=$C$3,ROWS(A$8:A21),""),"")</f>
        <v/>
      </c>
      <c r="B21" s="13">
        <f>IF(A21="","",EDATE($C$4,A21-1))</f>
        <v/>
      </c>
      <c r="C21" s="14">
        <f>IF(A21="","",IF(A21=$C$3,F20+D21,$I$1))</f>
        <v/>
      </c>
      <c r="D21" s="14">
        <f>IF(A21="","",IF($C$2=0,0,ROUND(-IPMT($C$2/12,A21,$C$3,$C$1),2)))</f>
        <v/>
      </c>
      <c r="E21" s="14">
        <f>IF(A21="","",ROUND(C21-D21,2))</f>
        <v/>
      </c>
      <c r="F21" s="14">
        <f>IF(A21="","",ROUND(F20-E21,2))</f>
        <v/>
      </c>
    </row>
    <row r="22">
      <c r="A22" s="12">
        <f>IF($C$5="OK",IF(ROWS(A$8:A22)&lt;=$C$3,ROWS(A$8:A22),""),"")</f>
        <v/>
      </c>
      <c r="B22" s="13">
        <f>IF(A22="","",EDATE($C$4,A22-1))</f>
        <v/>
      </c>
      <c r="C22" s="14">
        <f>IF(A22="","",IF(A22=$C$3,F21+D22,$I$1))</f>
        <v/>
      </c>
      <c r="D22" s="14">
        <f>IF(A22="","",IF($C$2=0,0,ROUND(-IPMT($C$2/12,A22,$C$3,$C$1),2)))</f>
        <v/>
      </c>
      <c r="E22" s="14">
        <f>IF(A22="","",ROUND(C22-D22,2))</f>
        <v/>
      </c>
      <c r="F22" s="14">
        <f>IF(A22="","",ROUND(F21-E22,2))</f>
        <v/>
      </c>
    </row>
    <row r="23">
      <c r="A23" s="12">
        <f>IF($C$5="OK",IF(ROWS(A$8:A23)&lt;=$C$3,ROWS(A$8:A23),""),"")</f>
        <v/>
      </c>
      <c r="B23" s="13">
        <f>IF(A23="","",EDATE($C$4,A23-1))</f>
        <v/>
      </c>
      <c r="C23" s="14">
        <f>IF(A23="","",IF(A23=$C$3,F22+D23,$I$1))</f>
        <v/>
      </c>
      <c r="D23" s="14">
        <f>IF(A23="","",IF($C$2=0,0,ROUND(-IPMT($C$2/12,A23,$C$3,$C$1),2)))</f>
        <v/>
      </c>
      <c r="E23" s="14">
        <f>IF(A23="","",ROUND(C23-D23,2))</f>
        <v/>
      </c>
      <c r="F23" s="14">
        <f>IF(A23="","",ROUND(F22-E23,2))</f>
        <v/>
      </c>
    </row>
    <row r="24">
      <c r="A24" s="12">
        <f>IF($C$5="OK",IF(ROWS(A$8:A24)&lt;=$C$3,ROWS(A$8:A24),""),"")</f>
        <v/>
      </c>
      <c r="B24" s="13">
        <f>IF(A24="","",EDATE($C$4,A24-1))</f>
        <v/>
      </c>
      <c r="C24" s="14">
        <f>IF(A24="","",IF(A24=$C$3,F23+D24,$I$1))</f>
        <v/>
      </c>
      <c r="D24" s="14">
        <f>IF(A24="","",IF($C$2=0,0,ROUND(-IPMT($C$2/12,A24,$C$3,$C$1),2)))</f>
        <v/>
      </c>
      <c r="E24" s="14">
        <f>IF(A24="","",ROUND(C24-D24,2))</f>
        <v/>
      </c>
      <c r="F24" s="14">
        <f>IF(A24="","",ROUND(F23-E24,2))</f>
        <v/>
      </c>
    </row>
    <row r="25">
      <c r="A25" s="12">
        <f>IF($C$5="OK",IF(ROWS(A$8:A25)&lt;=$C$3,ROWS(A$8:A25),""),"")</f>
        <v/>
      </c>
      <c r="B25" s="13">
        <f>IF(A25="","",EDATE($C$4,A25-1))</f>
        <v/>
      </c>
      <c r="C25" s="14">
        <f>IF(A25="","",IF(A25=$C$3,F24+D25,$I$1))</f>
        <v/>
      </c>
      <c r="D25" s="14">
        <f>IF(A25="","",IF($C$2=0,0,ROUND(-IPMT($C$2/12,A25,$C$3,$C$1),2)))</f>
        <v/>
      </c>
      <c r="E25" s="14">
        <f>IF(A25="","",ROUND(C25-D25,2))</f>
        <v/>
      </c>
      <c r="F25" s="14">
        <f>IF(A25="","",ROUND(F24-E25,2))</f>
        <v/>
      </c>
    </row>
    <row r="26">
      <c r="A26" s="12">
        <f>IF($C$5="OK",IF(ROWS(A$8:A26)&lt;=$C$3,ROWS(A$8:A26),""),"")</f>
        <v/>
      </c>
      <c r="B26" s="13">
        <f>IF(A26="","",EDATE($C$4,A26-1))</f>
        <v/>
      </c>
      <c r="C26" s="14">
        <f>IF(A26="","",IF(A26=$C$3,F25+D26,$I$1))</f>
        <v/>
      </c>
      <c r="D26" s="14">
        <f>IF(A26="","",IF($C$2=0,0,ROUND(-IPMT($C$2/12,A26,$C$3,$C$1),2)))</f>
        <v/>
      </c>
      <c r="E26" s="14">
        <f>IF(A26="","",ROUND(C26-D26,2))</f>
        <v/>
      </c>
      <c r="F26" s="14">
        <f>IF(A26="","",ROUND(F25-E26,2))</f>
        <v/>
      </c>
    </row>
    <row r="27">
      <c r="A27" s="12">
        <f>IF($C$5="OK",IF(ROWS(A$8:A27)&lt;=$C$3,ROWS(A$8:A27),""),"")</f>
        <v/>
      </c>
      <c r="B27" s="13">
        <f>IF(A27="","",EDATE($C$4,A27-1))</f>
        <v/>
      </c>
      <c r="C27" s="14">
        <f>IF(A27="","",IF(A27=$C$3,F26+D27,$I$1))</f>
        <v/>
      </c>
      <c r="D27" s="14">
        <f>IF(A27="","",IF($C$2=0,0,ROUND(-IPMT($C$2/12,A27,$C$3,$C$1),2)))</f>
        <v/>
      </c>
      <c r="E27" s="14">
        <f>IF(A27="","",ROUND(C27-D27,2))</f>
        <v/>
      </c>
      <c r="F27" s="14">
        <f>IF(A27="","",ROUND(F26-E27,2))</f>
        <v/>
      </c>
    </row>
    <row r="28">
      <c r="A28" s="12">
        <f>IF($C$5="OK",IF(ROWS(A$8:A28)&lt;=$C$3,ROWS(A$8:A28),""),"")</f>
        <v/>
      </c>
      <c r="B28" s="13">
        <f>IF(A28="","",EDATE($C$4,A28-1))</f>
        <v/>
      </c>
      <c r="C28" s="14">
        <f>IF(A28="","",IF(A28=$C$3,F27+D28,$I$1))</f>
        <v/>
      </c>
      <c r="D28" s="14">
        <f>IF(A28="","",IF($C$2=0,0,ROUND(-IPMT($C$2/12,A28,$C$3,$C$1),2)))</f>
        <v/>
      </c>
      <c r="E28" s="14">
        <f>IF(A28="","",ROUND(C28-D28,2))</f>
        <v/>
      </c>
      <c r="F28" s="14">
        <f>IF(A28="","",ROUND(F27-E28,2))</f>
        <v/>
      </c>
    </row>
    <row r="29">
      <c r="A29" s="12">
        <f>IF($C$5="OK",IF(ROWS(A$8:A29)&lt;=$C$3,ROWS(A$8:A29),""),"")</f>
        <v/>
      </c>
      <c r="B29" s="13">
        <f>IF(A29="","",EDATE($C$4,A29-1))</f>
        <v/>
      </c>
      <c r="C29" s="14">
        <f>IF(A29="","",IF(A29=$C$3,F28+D29,$I$1))</f>
        <v/>
      </c>
      <c r="D29" s="14">
        <f>IF(A29="","",IF($C$2=0,0,ROUND(-IPMT($C$2/12,A29,$C$3,$C$1),2)))</f>
        <v/>
      </c>
      <c r="E29" s="14">
        <f>IF(A29="","",ROUND(C29-D29,2))</f>
        <v/>
      </c>
      <c r="F29" s="14">
        <f>IF(A29="","",ROUND(F28-E29,2))</f>
        <v/>
      </c>
    </row>
    <row r="30">
      <c r="A30" s="12">
        <f>IF($C$5="OK",IF(ROWS(A$8:A30)&lt;=$C$3,ROWS(A$8:A30),""),"")</f>
        <v/>
      </c>
      <c r="B30" s="13">
        <f>IF(A30="","",EDATE($C$4,A30-1))</f>
        <v/>
      </c>
      <c r="C30" s="14">
        <f>IF(A30="","",IF(A30=$C$3,F29+D30,$I$1))</f>
        <v/>
      </c>
      <c r="D30" s="14">
        <f>IF(A30="","",IF($C$2=0,0,ROUND(-IPMT($C$2/12,A30,$C$3,$C$1),2)))</f>
        <v/>
      </c>
      <c r="E30" s="14">
        <f>IF(A30="","",ROUND(C30-D30,2))</f>
        <v/>
      </c>
      <c r="F30" s="14">
        <f>IF(A30="","",ROUND(F29-E30,2))</f>
        <v/>
      </c>
    </row>
    <row r="31">
      <c r="A31" s="12">
        <f>IF($C$5="OK",IF(ROWS(A$8:A31)&lt;=$C$3,ROWS(A$8:A31),""),"")</f>
        <v/>
      </c>
      <c r="B31" s="13">
        <f>IF(A31="","",EDATE($C$4,A31-1))</f>
        <v/>
      </c>
      <c r="C31" s="14">
        <f>IF(A31="","",IF(A31=$C$3,F30+D31,$I$1))</f>
        <v/>
      </c>
      <c r="D31" s="14">
        <f>IF(A31="","",IF($C$2=0,0,ROUND(-IPMT($C$2/12,A31,$C$3,$C$1),2)))</f>
        <v/>
      </c>
      <c r="E31" s="14">
        <f>IF(A31="","",ROUND(C31-D31,2))</f>
        <v/>
      </c>
      <c r="F31" s="14">
        <f>IF(A31="","",ROUND(F30-E31,2))</f>
        <v/>
      </c>
    </row>
    <row r="32">
      <c r="A32" s="12">
        <f>IF($C$5="OK",IF(ROWS(A$8:A32)&lt;=$C$3,ROWS(A$8:A32),""),"")</f>
        <v/>
      </c>
      <c r="B32" s="13">
        <f>IF(A32="","",EDATE($C$4,A32-1))</f>
        <v/>
      </c>
      <c r="C32" s="14">
        <f>IF(A32="","",IF(A32=$C$3,F31+D32,$I$1))</f>
        <v/>
      </c>
      <c r="D32" s="14">
        <f>IF(A32="","",IF($C$2=0,0,ROUND(-IPMT($C$2/12,A32,$C$3,$C$1),2)))</f>
        <v/>
      </c>
      <c r="E32" s="14">
        <f>IF(A32="","",ROUND(C32-D32,2))</f>
        <v/>
      </c>
      <c r="F32" s="14">
        <f>IF(A32="","",ROUND(F31-E32,2))</f>
        <v/>
      </c>
    </row>
    <row r="33">
      <c r="A33" s="12">
        <f>IF($C$5="OK",IF(ROWS(A$8:A33)&lt;=$C$3,ROWS(A$8:A33),""),"")</f>
        <v/>
      </c>
      <c r="B33" s="13">
        <f>IF(A33="","",EDATE($C$4,A33-1))</f>
        <v/>
      </c>
      <c r="C33" s="14">
        <f>IF(A33="","",IF(A33=$C$3,F32+D33,$I$1))</f>
        <v/>
      </c>
      <c r="D33" s="14">
        <f>IF(A33="","",IF($C$2=0,0,ROUND(-IPMT($C$2/12,A33,$C$3,$C$1),2)))</f>
        <v/>
      </c>
      <c r="E33" s="14">
        <f>IF(A33="","",ROUND(C33-D33,2))</f>
        <v/>
      </c>
      <c r="F33" s="14">
        <f>IF(A33="","",ROUND(F32-E33,2))</f>
        <v/>
      </c>
    </row>
    <row r="34">
      <c r="A34" s="12">
        <f>IF($C$5="OK",IF(ROWS(A$8:A34)&lt;=$C$3,ROWS(A$8:A34),""),"")</f>
        <v/>
      </c>
      <c r="B34" s="13">
        <f>IF(A34="","",EDATE($C$4,A34-1))</f>
        <v/>
      </c>
      <c r="C34" s="14">
        <f>IF(A34="","",IF(A34=$C$3,F33+D34,$I$1))</f>
        <v/>
      </c>
      <c r="D34" s="14">
        <f>IF(A34="","",IF($C$2=0,0,ROUND(-IPMT($C$2/12,A34,$C$3,$C$1),2)))</f>
        <v/>
      </c>
      <c r="E34" s="14">
        <f>IF(A34="","",ROUND(C34-D34,2))</f>
        <v/>
      </c>
      <c r="F34" s="14">
        <f>IF(A34="","",ROUND(F33-E34,2))</f>
        <v/>
      </c>
    </row>
    <row r="35">
      <c r="A35" s="12">
        <f>IF($C$5="OK",IF(ROWS(A$8:A35)&lt;=$C$3,ROWS(A$8:A35),""),"")</f>
        <v/>
      </c>
      <c r="B35" s="13">
        <f>IF(A35="","",EDATE($C$4,A35-1))</f>
        <v/>
      </c>
      <c r="C35" s="14">
        <f>IF(A35="","",IF(A35=$C$3,F34+D35,$I$1))</f>
        <v/>
      </c>
      <c r="D35" s="14">
        <f>IF(A35="","",IF($C$2=0,0,ROUND(-IPMT($C$2/12,A35,$C$3,$C$1),2)))</f>
        <v/>
      </c>
      <c r="E35" s="14">
        <f>IF(A35="","",ROUND(C35-D35,2))</f>
        <v/>
      </c>
      <c r="F35" s="14">
        <f>IF(A35="","",ROUND(F34-E35,2))</f>
        <v/>
      </c>
    </row>
    <row r="36">
      <c r="A36" s="12">
        <f>IF($C$5="OK",IF(ROWS(A$8:A36)&lt;=$C$3,ROWS(A$8:A36),""),"")</f>
        <v/>
      </c>
      <c r="B36" s="13">
        <f>IF(A36="","",EDATE($C$4,A36-1))</f>
        <v/>
      </c>
      <c r="C36" s="14">
        <f>IF(A36="","",IF(A36=$C$3,F35+D36,$I$1))</f>
        <v/>
      </c>
      <c r="D36" s="14">
        <f>IF(A36="","",IF($C$2=0,0,ROUND(-IPMT($C$2/12,A36,$C$3,$C$1),2)))</f>
        <v/>
      </c>
      <c r="E36" s="14">
        <f>IF(A36="","",ROUND(C36-D36,2))</f>
        <v/>
      </c>
      <c r="F36" s="14">
        <f>IF(A36="","",ROUND(F35-E36,2))</f>
        <v/>
      </c>
    </row>
    <row r="37">
      <c r="A37" s="12">
        <f>IF($C$5="OK",IF(ROWS(A$8:A37)&lt;=$C$3,ROWS(A$8:A37),""),"")</f>
        <v/>
      </c>
      <c r="B37" s="13">
        <f>IF(A37="","",EDATE($C$4,A37-1))</f>
        <v/>
      </c>
      <c r="C37" s="14">
        <f>IF(A37="","",IF(A37=$C$3,F36+D37,$I$1))</f>
        <v/>
      </c>
      <c r="D37" s="14">
        <f>IF(A37="","",IF($C$2=0,0,ROUND(-IPMT($C$2/12,A37,$C$3,$C$1),2)))</f>
        <v/>
      </c>
      <c r="E37" s="14">
        <f>IF(A37="","",ROUND(C37-D37,2))</f>
        <v/>
      </c>
      <c r="F37" s="14">
        <f>IF(A37="","",ROUND(F36-E37,2))</f>
        <v/>
      </c>
    </row>
    <row r="38">
      <c r="A38" s="12">
        <f>IF($C$5="OK",IF(ROWS(A$8:A38)&lt;=$C$3,ROWS(A$8:A38),""),"")</f>
        <v/>
      </c>
      <c r="B38" s="13">
        <f>IF(A38="","",EDATE($C$4,A38-1))</f>
        <v/>
      </c>
      <c r="C38" s="14">
        <f>IF(A38="","",IF(A38=$C$3,F37+D38,$I$1))</f>
        <v/>
      </c>
      <c r="D38" s="14">
        <f>IF(A38="","",IF($C$2=0,0,ROUND(-IPMT($C$2/12,A38,$C$3,$C$1),2)))</f>
        <v/>
      </c>
      <c r="E38" s="14">
        <f>IF(A38="","",ROUND(C38-D38,2))</f>
        <v/>
      </c>
      <c r="F38" s="14">
        <f>IF(A38="","",ROUND(F37-E38,2))</f>
        <v/>
      </c>
    </row>
    <row r="39">
      <c r="A39" s="12">
        <f>IF($C$5="OK",IF(ROWS(A$8:A39)&lt;=$C$3,ROWS(A$8:A39),""),"")</f>
        <v/>
      </c>
      <c r="B39" s="13">
        <f>IF(A39="","",EDATE($C$4,A39-1))</f>
        <v/>
      </c>
      <c r="C39" s="14">
        <f>IF(A39="","",IF(A39=$C$3,F38+D39,$I$1))</f>
        <v/>
      </c>
      <c r="D39" s="14">
        <f>IF(A39="","",IF($C$2=0,0,ROUND(-IPMT($C$2/12,A39,$C$3,$C$1),2)))</f>
        <v/>
      </c>
      <c r="E39" s="14">
        <f>IF(A39="","",ROUND(C39-D39,2))</f>
        <v/>
      </c>
      <c r="F39" s="14">
        <f>IF(A39="","",ROUND(F38-E39,2))</f>
        <v/>
      </c>
    </row>
    <row r="40">
      <c r="A40" s="12">
        <f>IF($C$5="OK",IF(ROWS(A$8:A40)&lt;=$C$3,ROWS(A$8:A40),""),"")</f>
        <v/>
      </c>
      <c r="B40" s="13">
        <f>IF(A40="","",EDATE($C$4,A40-1))</f>
        <v/>
      </c>
      <c r="C40" s="14">
        <f>IF(A40="","",IF(A40=$C$3,F39+D40,$I$1))</f>
        <v/>
      </c>
      <c r="D40" s="14">
        <f>IF(A40="","",IF($C$2=0,0,ROUND(-IPMT($C$2/12,A40,$C$3,$C$1),2)))</f>
        <v/>
      </c>
      <c r="E40" s="14">
        <f>IF(A40="","",ROUND(C40-D40,2))</f>
        <v/>
      </c>
      <c r="F40" s="14">
        <f>IF(A40="","",ROUND(F39-E40,2))</f>
        <v/>
      </c>
    </row>
    <row r="41">
      <c r="A41" s="12">
        <f>IF($C$5="OK",IF(ROWS(A$8:A41)&lt;=$C$3,ROWS(A$8:A41),""),"")</f>
        <v/>
      </c>
      <c r="B41" s="13">
        <f>IF(A41="","",EDATE($C$4,A41-1))</f>
        <v/>
      </c>
      <c r="C41" s="14">
        <f>IF(A41="","",IF(A41=$C$3,F40+D41,$I$1))</f>
        <v/>
      </c>
      <c r="D41" s="14">
        <f>IF(A41="","",IF($C$2=0,0,ROUND(-IPMT($C$2/12,A41,$C$3,$C$1),2)))</f>
        <v/>
      </c>
      <c r="E41" s="14">
        <f>IF(A41="","",ROUND(C41-D41,2))</f>
        <v/>
      </c>
      <c r="F41" s="14">
        <f>IF(A41="","",ROUND(F40-E41,2))</f>
        <v/>
      </c>
    </row>
    <row r="42">
      <c r="A42" s="12">
        <f>IF($C$5="OK",IF(ROWS(A$8:A42)&lt;=$C$3,ROWS(A$8:A42),""),"")</f>
        <v/>
      </c>
      <c r="B42" s="13">
        <f>IF(A42="","",EDATE($C$4,A42-1))</f>
        <v/>
      </c>
      <c r="C42" s="14">
        <f>IF(A42="","",IF(A42=$C$3,F41+D42,$I$1))</f>
        <v/>
      </c>
      <c r="D42" s="14">
        <f>IF(A42="","",IF($C$2=0,0,ROUND(-IPMT($C$2/12,A42,$C$3,$C$1),2)))</f>
        <v/>
      </c>
      <c r="E42" s="14">
        <f>IF(A42="","",ROUND(C42-D42,2))</f>
        <v/>
      </c>
      <c r="F42" s="14">
        <f>IF(A42="","",ROUND(F41-E42,2))</f>
        <v/>
      </c>
    </row>
    <row r="43">
      <c r="A43" s="12">
        <f>IF($C$5="OK",IF(ROWS(A$8:A43)&lt;=$C$3,ROWS(A$8:A43),""),"")</f>
        <v/>
      </c>
      <c r="B43" s="13">
        <f>IF(A43="","",EDATE($C$4,A43-1))</f>
        <v/>
      </c>
      <c r="C43" s="14">
        <f>IF(A43="","",IF(A43=$C$3,F42+D43,$I$1))</f>
        <v/>
      </c>
      <c r="D43" s="14">
        <f>IF(A43="","",IF($C$2=0,0,ROUND(-IPMT($C$2/12,A43,$C$3,$C$1),2)))</f>
        <v/>
      </c>
      <c r="E43" s="14">
        <f>IF(A43="","",ROUND(C43-D43,2))</f>
        <v/>
      </c>
      <c r="F43" s="14">
        <f>IF(A43="","",ROUND(F42-E43,2))</f>
        <v/>
      </c>
    </row>
    <row r="44">
      <c r="A44" s="12">
        <f>IF($C$5="OK",IF(ROWS(A$8:A44)&lt;=$C$3,ROWS(A$8:A44),""),"")</f>
        <v/>
      </c>
      <c r="B44" s="13">
        <f>IF(A44="","",EDATE($C$4,A44-1))</f>
        <v/>
      </c>
      <c r="C44" s="14">
        <f>IF(A44="","",IF(A44=$C$3,F43+D44,$I$1))</f>
        <v/>
      </c>
      <c r="D44" s="14">
        <f>IF(A44="","",IF($C$2=0,0,ROUND(-IPMT($C$2/12,A44,$C$3,$C$1),2)))</f>
        <v/>
      </c>
      <c r="E44" s="14">
        <f>IF(A44="","",ROUND(C44-D44,2))</f>
        <v/>
      </c>
      <c r="F44" s="14">
        <f>IF(A44="","",ROUND(F43-E44,2))</f>
        <v/>
      </c>
    </row>
    <row r="45">
      <c r="A45" s="12">
        <f>IF($C$5="OK",IF(ROWS(A$8:A45)&lt;=$C$3,ROWS(A$8:A45),""),"")</f>
        <v/>
      </c>
      <c r="B45" s="13">
        <f>IF(A45="","",EDATE($C$4,A45-1))</f>
        <v/>
      </c>
      <c r="C45" s="14">
        <f>IF(A45="","",IF(A45=$C$3,F44+D45,$I$1))</f>
        <v/>
      </c>
      <c r="D45" s="14">
        <f>IF(A45="","",IF($C$2=0,0,ROUND(-IPMT($C$2/12,A45,$C$3,$C$1),2)))</f>
        <v/>
      </c>
      <c r="E45" s="14">
        <f>IF(A45="","",ROUND(C45-D45,2))</f>
        <v/>
      </c>
      <c r="F45" s="14">
        <f>IF(A45="","",ROUND(F44-E45,2))</f>
        <v/>
      </c>
    </row>
    <row r="46">
      <c r="A46" s="12">
        <f>IF($C$5="OK",IF(ROWS(A$8:A46)&lt;=$C$3,ROWS(A$8:A46),""),"")</f>
        <v/>
      </c>
      <c r="B46" s="13">
        <f>IF(A46="","",EDATE($C$4,A46-1))</f>
        <v/>
      </c>
      <c r="C46" s="14">
        <f>IF(A46="","",IF(A46=$C$3,F45+D46,$I$1))</f>
        <v/>
      </c>
      <c r="D46" s="14">
        <f>IF(A46="","",IF($C$2=0,0,ROUND(-IPMT($C$2/12,A46,$C$3,$C$1),2)))</f>
        <v/>
      </c>
      <c r="E46" s="14">
        <f>IF(A46="","",ROUND(C46-D46,2))</f>
        <v/>
      </c>
      <c r="F46" s="14">
        <f>IF(A46="","",ROUND(F45-E46,2))</f>
        <v/>
      </c>
    </row>
    <row r="47">
      <c r="A47" s="12">
        <f>IF($C$5="OK",IF(ROWS(A$8:A47)&lt;=$C$3,ROWS(A$8:A47),""),"")</f>
        <v/>
      </c>
      <c r="B47" s="13">
        <f>IF(A47="","",EDATE($C$4,A47-1))</f>
        <v/>
      </c>
      <c r="C47" s="14">
        <f>IF(A47="","",IF(A47=$C$3,F46+D47,$I$1))</f>
        <v/>
      </c>
      <c r="D47" s="14">
        <f>IF(A47="","",IF($C$2=0,0,ROUND(-IPMT($C$2/12,A47,$C$3,$C$1),2)))</f>
        <v/>
      </c>
      <c r="E47" s="14">
        <f>IF(A47="","",ROUND(C47-D47,2))</f>
        <v/>
      </c>
      <c r="F47" s="14">
        <f>IF(A47="","",ROUND(F46-E47,2))</f>
        <v/>
      </c>
    </row>
    <row r="48">
      <c r="A48" s="12">
        <f>IF($C$5="OK",IF(ROWS(A$8:A48)&lt;=$C$3,ROWS(A$8:A48),""),"")</f>
        <v/>
      </c>
      <c r="B48" s="13">
        <f>IF(A48="","",EDATE($C$4,A48-1))</f>
        <v/>
      </c>
      <c r="C48" s="14">
        <f>IF(A48="","",IF(A48=$C$3,F47+D48,$I$1))</f>
        <v/>
      </c>
      <c r="D48" s="14">
        <f>IF(A48="","",IF($C$2=0,0,ROUND(-IPMT($C$2/12,A48,$C$3,$C$1),2)))</f>
        <v/>
      </c>
      <c r="E48" s="14">
        <f>IF(A48="","",ROUND(C48-D48,2))</f>
        <v/>
      </c>
      <c r="F48" s="14">
        <f>IF(A48="","",ROUND(F47-E48,2))</f>
        <v/>
      </c>
    </row>
    <row r="49">
      <c r="A49" s="12">
        <f>IF($C$5="OK",IF(ROWS(A$8:A49)&lt;=$C$3,ROWS(A$8:A49),""),"")</f>
        <v/>
      </c>
      <c r="B49" s="13">
        <f>IF(A49="","",EDATE($C$4,A49-1))</f>
        <v/>
      </c>
      <c r="C49" s="14">
        <f>IF(A49="","",IF(A49=$C$3,F48+D49,$I$1))</f>
        <v/>
      </c>
      <c r="D49" s="14">
        <f>IF(A49="","",IF($C$2=0,0,ROUND(-IPMT($C$2/12,A49,$C$3,$C$1),2)))</f>
        <v/>
      </c>
      <c r="E49" s="14">
        <f>IF(A49="","",ROUND(C49-D49,2))</f>
        <v/>
      </c>
      <c r="F49" s="14">
        <f>IF(A49="","",ROUND(F48-E49,2))</f>
        <v/>
      </c>
    </row>
    <row r="50">
      <c r="A50" s="12">
        <f>IF($C$5="OK",IF(ROWS(A$8:A50)&lt;=$C$3,ROWS(A$8:A50),""),"")</f>
        <v/>
      </c>
      <c r="B50" s="13">
        <f>IF(A50="","",EDATE($C$4,A50-1))</f>
        <v/>
      </c>
      <c r="C50" s="14">
        <f>IF(A50="","",IF(A50=$C$3,F49+D50,$I$1))</f>
        <v/>
      </c>
      <c r="D50" s="14">
        <f>IF(A50="","",IF($C$2=0,0,ROUND(-IPMT($C$2/12,A50,$C$3,$C$1),2)))</f>
        <v/>
      </c>
      <c r="E50" s="14">
        <f>IF(A50="","",ROUND(C50-D50,2))</f>
        <v/>
      </c>
      <c r="F50" s="14">
        <f>IF(A50="","",ROUND(F49-E50,2))</f>
        <v/>
      </c>
    </row>
    <row r="51">
      <c r="A51" s="12">
        <f>IF($C$5="OK",IF(ROWS(A$8:A51)&lt;=$C$3,ROWS(A$8:A51),""),"")</f>
        <v/>
      </c>
      <c r="B51" s="13">
        <f>IF(A51="","",EDATE($C$4,A51-1))</f>
        <v/>
      </c>
      <c r="C51" s="14">
        <f>IF(A51="","",IF(A51=$C$3,F50+D51,$I$1))</f>
        <v/>
      </c>
      <c r="D51" s="14">
        <f>IF(A51="","",IF($C$2=0,0,ROUND(-IPMT($C$2/12,A51,$C$3,$C$1),2)))</f>
        <v/>
      </c>
      <c r="E51" s="14">
        <f>IF(A51="","",ROUND(C51-D51,2))</f>
        <v/>
      </c>
      <c r="F51" s="14">
        <f>IF(A51="","",ROUND(F50-E51,2))</f>
        <v/>
      </c>
    </row>
    <row r="52">
      <c r="A52" s="12">
        <f>IF($C$5="OK",IF(ROWS(A$8:A52)&lt;=$C$3,ROWS(A$8:A52),""),"")</f>
        <v/>
      </c>
      <c r="B52" s="13">
        <f>IF(A52="","",EDATE($C$4,A52-1))</f>
        <v/>
      </c>
      <c r="C52" s="14">
        <f>IF(A52="","",IF(A52=$C$3,F51+D52,$I$1))</f>
        <v/>
      </c>
      <c r="D52" s="14">
        <f>IF(A52="","",IF($C$2=0,0,ROUND(-IPMT($C$2/12,A52,$C$3,$C$1),2)))</f>
        <v/>
      </c>
      <c r="E52" s="14">
        <f>IF(A52="","",ROUND(C52-D52,2))</f>
        <v/>
      </c>
      <c r="F52" s="14">
        <f>IF(A52="","",ROUND(F51-E52,2))</f>
        <v/>
      </c>
    </row>
    <row r="53">
      <c r="A53" s="12">
        <f>IF($C$5="OK",IF(ROWS(A$8:A53)&lt;=$C$3,ROWS(A$8:A53),""),"")</f>
        <v/>
      </c>
      <c r="B53" s="13">
        <f>IF(A53="","",EDATE($C$4,A53-1))</f>
        <v/>
      </c>
      <c r="C53" s="14">
        <f>IF(A53="","",IF(A53=$C$3,F52+D53,$I$1))</f>
        <v/>
      </c>
      <c r="D53" s="14">
        <f>IF(A53="","",IF($C$2=0,0,ROUND(-IPMT($C$2/12,A53,$C$3,$C$1),2)))</f>
        <v/>
      </c>
      <c r="E53" s="14">
        <f>IF(A53="","",ROUND(C53-D53,2))</f>
        <v/>
      </c>
      <c r="F53" s="14">
        <f>IF(A53="","",ROUND(F52-E53,2))</f>
        <v/>
      </c>
    </row>
    <row r="54">
      <c r="A54" s="12">
        <f>IF($C$5="OK",IF(ROWS(A$8:A54)&lt;=$C$3,ROWS(A$8:A54),""),"")</f>
        <v/>
      </c>
      <c r="B54" s="13">
        <f>IF(A54="","",EDATE($C$4,A54-1))</f>
        <v/>
      </c>
      <c r="C54" s="14">
        <f>IF(A54="","",IF(A54=$C$3,F53+D54,$I$1))</f>
        <v/>
      </c>
      <c r="D54" s="14">
        <f>IF(A54="","",IF($C$2=0,0,ROUND(-IPMT($C$2/12,A54,$C$3,$C$1),2)))</f>
        <v/>
      </c>
      <c r="E54" s="14">
        <f>IF(A54="","",ROUND(C54-D54,2))</f>
        <v/>
      </c>
      <c r="F54" s="14">
        <f>IF(A54="","",ROUND(F53-E54,2))</f>
        <v/>
      </c>
    </row>
    <row r="55">
      <c r="A55" s="12">
        <f>IF($C$5="OK",IF(ROWS(A$8:A55)&lt;=$C$3,ROWS(A$8:A55),""),"")</f>
        <v/>
      </c>
      <c r="B55" s="13">
        <f>IF(A55="","",EDATE($C$4,A55-1))</f>
        <v/>
      </c>
      <c r="C55" s="14">
        <f>IF(A55="","",IF(A55=$C$3,F54+D55,$I$1))</f>
        <v/>
      </c>
      <c r="D55" s="14">
        <f>IF(A55="","",IF($C$2=0,0,ROUND(-IPMT($C$2/12,A55,$C$3,$C$1),2)))</f>
        <v/>
      </c>
      <c r="E55" s="14">
        <f>IF(A55="","",ROUND(C55-D55,2))</f>
        <v/>
      </c>
      <c r="F55" s="14">
        <f>IF(A55="","",ROUND(F54-E55,2))</f>
        <v/>
      </c>
    </row>
    <row r="56">
      <c r="A56" s="12">
        <f>IF($C$5="OK",IF(ROWS(A$8:A56)&lt;=$C$3,ROWS(A$8:A56),""),"")</f>
        <v/>
      </c>
      <c r="B56" s="13">
        <f>IF(A56="","",EDATE($C$4,A56-1))</f>
        <v/>
      </c>
      <c r="C56" s="14">
        <f>IF(A56="","",IF(A56=$C$3,F55+D56,$I$1))</f>
        <v/>
      </c>
      <c r="D56" s="14">
        <f>IF(A56="","",IF($C$2=0,0,ROUND(-IPMT($C$2/12,A56,$C$3,$C$1),2)))</f>
        <v/>
      </c>
      <c r="E56" s="14">
        <f>IF(A56="","",ROUND(C56-D56,2))</f>
        <v/>
      </c>
      <c r="F56" s="14">
        <f>IF(A56="","",ROUND(F55-E56,2))</f>
        <v/>
      </c>
    </row>
    <row r="57">
      <c r="A57" s="12">
        <f>IF($C$5="OK",IF(ROWS(A$8:A57)&lt;=$C$3,ROWS(A$8:A57),""),"")</f>
        <v/>
      </c>
      <c r="B57" s="13">
        <f>IF(A57="","",EDATE($C$4,A57-1))</f>
        <v/>
      </c>
      <c r="C57" s="14">
        <f>IF(A57="","",IF(A57=$C$3,F56+D57,$I$1))</f>
        <v/>
      </c>
      <c r="D57" s="14">
        <f>IF(A57="","",IF($C$2=0,0,ROUND(-IPMT($C$2/12,A57,$C$3,$C$1),2)))</f>
        <v/>
      </c>
      <c r="E57" s="14">
        <f>IF(A57="","",ROUND(C57-D57,2))</f>
        <v/>
      </c>
      <c r="F57" s="14">
        <f>IF(A57="","",ROUND(F56-E57,2))</f>
        <v/>
      </c>
    </row>
    <row r="58">
      <c r="A58" s="12">
        <f>IF($C$5="OK",IF(ROWS(A$8:A58)&lt;=$C$3,ROWS(A$8:A58),""),"")</f>
        <v/>
      </c>
      <c r="B58" s="13">
        <f>IF(A58="","",EDATE($C$4,A58-1))</f>
        <v/>
      </c>
      <c r="C58" s="14">
        <f>IF(A58="","",IF(A58=$C$3,F57+D58,$I$1))</f>
        <v/>
      </c>
      <c r="D58" s="14">
        <f>IF(A58="","",IF($C$2=0,0,ROUND(-IPMT($C$2/12,A58,$C$3,$C$1),2)))</f>
        <v/>
      </c>
      <c r="E58" s="14">
        <f>IF(A58="","",ROUND(C58-D58,2))</f>
        <v/>
      </c>
      <c r="F58" s="14">
        <f>IF(A58="","",ROUND(F57-E58,2))</f>
        <v/>
      </c>
    </row>
    <row r="59">
      <c r="A59" s="12">
        <f>IF($C$5="OK",IF(ROWS(A$8:A59)&lt;=$C$3,ROWS(A$8:A59),""),"")</f>
        <v/>
      </c>
      <c r="B59" s="13">
        <f>IF(A59="","",EDATE($C$4,A59-1))</f>
        <v/>
      </c>
      <c r="C59" s="14">
        <f>IF(A59="","",IF(A59=$C$3,F58+D59,$I$1))</f>
        <v/>
      </c>
      <c r="D59" s="14">
        <f>IF(A59="","",IF($C$2=0,0,ROUND(-IPMT($C$2/12,A59,$C$3,$C$1),2)))</f>
        <v/>
      </c>
      <c r="E59" s="14">
        <f>IF(A59="","",ROUND(C59-D59,2))</f>
        <v/>
      </c>
      <c r="F59" s="14">
        <f>IF(A59="","",ROUND(F58-E59,2))</f>
        <v/>
      </c>
    </row>
    <row r="60">
      <c r="A60" s="12">
        <f>IF($C$5="OK",IF(ROWS(A$8:A60)&lt;=$C$3,ROWS(A$8:A60),""),"")</f>
        <v/>
      </c>
      <c r="B60" s="13">
        <f>IF(A60="","",EDATE($C$4,A60-1))</f>
        <v/>
      </c>
      <c r="C60" s="14">
        <f>IF(A60="","",IF(A60=$C$3,F59+D60,$I$1))</f>
        <v/>
      </c>
      <c r="D60" s="14">
        <f>IF(A60="","",IF($C$2=0,0,ROUND(-IPMT($C$2/12,A60,$C$3,$C$1),2)))</f>
        <v/>
      </c>
      <c r="E60" s="14">
        <f>IF(A60="","",ROUND(C60-D60,2))</f>
        <v/>
      </c>
      <c r="F60" s="14">
        <f>IF(A60="","",ROUND(F59-E60,2))</f>
        <v/>
      </c>
    </row>
    <row r="61">
      <c r="A61" s="12">
        <f>IF($C$5="OK",IF(ROWS(A$8:A61)&lt;=$C$3,ROWS(A$8:A61),""),"")</f>
        <v/>
      </c>
      <c r="B61" s="13">
        <f>IF(A61="","",EDATE($C$4,A61-1))</f>
        <v/>
      </c>
      <c r="C61" s="14">
        <f>IF(A61="","",IF(A61=$C$3,F60+D61,$I$1))</f>
        <v/>
      </c>
      <c r="D61" s="14">
        <f>IF(A61="","",IF($C$2=0,0,ROUND(-IPMT($C$2/12,A61,$C$3,$C$1),2)))</f>
        <v/>
      </c>
      <c r="E61" s="14">
        <f>IF(A61="","",ROUND(C61-D61,2))</f>
        <v/>
      </c>
      <c r="F61" s="14">
        <f>IF(A61="","",ROUND(F60-E61,2))</f>
        <v/>
      </c>
    </row>
    <row r="62">
      <c r="A62" s="12">
        <f>IF($C$5="OK",IF(ROWS(A$8:A62)&lt;=$C$3,ROWS(A$8:A62),""),"")</f>
        <v/>
      </c>
      <c r="B62" s="13">
        <f>IF(A62="","",EDATE($C$4,A62-1))</f>
        <v/>
      </c>
      <c r="C62" s="14">
        <f>IF(A62="","",IF(A62=$C$3,F61+D62,$I$1))</f>
        <v/>
      </c>
      <c r="D62" s="14">
        <f>IF(A62="","",IF($C$2=0,0,ROUND(-IPMT($C$2/12,A62,$C$3,$C$1),2)))</f>
        <v/>
      </c>
      <c r="E62" s="14">
        <f>IF(A62="","",ROUND(C62-D62,2))</f>
        <v/>
      </c>
      <c r="F62" s="14">
        <f>IF(A62="","",ROUND(F61-E62,2))</f>
        <v/>
      </c>
    </row>
    <row r="63">
      <c r="A63" s="12">
        <f>IF($C$5="OK",IF(ROWS(A$8:A63)&lt;=$C$3,ROWS(A$8:A63),""),"")</f>
        <v/>
      </c>
      <c r="B63" s="13">
        <f>IF(A63="","",EDATE($C$4,A63-1))</f>
        <v/>
      </c>
      <c r="C63" s="14">
        <f>IF(A63="","",IF(A63=$C$3,F62+D63,$I$1))</f>
        <v/>
      </c>
      <c r="D63" s="14">
        <f>IF(A63="","",IF($C$2=0,0,ROUND(-IPMT($C$2/12,A63,$C$3,$C$1),2)))</f>
        <v/>
      </c>
      <c r="E63" s="14">
        <f>IF(A63="","",ROUND(C63-D63,2))</f>
        <v/>
      </c>
      <c r="F63" s="14">
        <f>IF(A63="","",ROUND(F62-E63,2))</f>
        <v/>
      </c>
    </row>
    <row r="64">
      <c r="A64" s="12">
        <f>IF($C$5="OK",IF(ROWS(A$8:A64)&lt;=$C$3,ROWS(A$8:A64),""),"")</f>
        <v/>
      </c>
      <c r="B64" s="13">
        <f>IF(A64="","",EDATE($C$4,A64-1))</f>
        <v/>
      </c>
      <c r="C64" s="14">
        <f>IF(A64="","",IF(A64=$C$3,F63+D64,$I$1))</f>
        <v/>
      </c>
      <c r="D64" s="14">
        <f>IF(A64="","",IF($C$2=0,0,ROUND(-IPMT($C$2/12,A64,$C$3,$C$1),2)))</f>
        <v/>
      </c>
      <c r="E64" s="14">
        <f>IF(A64="","",ROUND(C64-D64,2))</f>
        <v/>
      </c>
      <c r="F64" s="14">
        <f>IF(A64="","",ROUND(F63-E64,2))</f>
        <v/>
      </c>
    </row>
    <row r="65">
      <c r="A65" s="12">
        <f>IF($C$5="OK",IF(ROWS(A$8:A65)&lt;=$C$3,ROWS(A$8:A65),""),"")</f>
        <v/>
      </c>
      <c r="B65" s="13">
        <f>IF(A65="","",EDATE($C$4,A65-1))</f>
        <v/>
      </c>
      <c r="C65" s="14">
        <f>IF(A65="","",IF(A65=$C$3,F64+D65,$I$1))</f>
        <v/>
      </c>
      <c r="D65" s="14">
        <f>IF(A65="","",IF($C$2=0,0,ROUND(-IPMT($C$2/12,A65,$C$3,$C$1),2)))</f>
        <v/>
      </c>
      <c r="E65" s="14">
        <f>IF(A65="","",ROUND(C65-D65,2))</f>
        <v/>
      </c>
      <c r="F65" s="14">
        <f>IF(A65="","",ROUND(F64-E65,2))</f>
        <v/>
      </c>
    </row>
    <row r="66">
      <c r="A66" s="12">
        <f>IF($C$5="OK",IF(ROWS(A$8:A66)&lt;=$C$3,ROWS(A$8:A66),""),"")</f>
        <v/>
      </c>
      <c r="B66" s="13">
        <f>IF(A66="","",EDATE($C$4,A66-1))</f>
        <v/>
      </c>
      <c r="C66" s="14">
        <f>IF(A66="","",IF(A66=$C$3,F65+D66,$I$1))</f>
        <v/>
      </c>
      <c r="D66" s="14">
        <f>IF(A66="","",IF($C$2=0,0,ROUND(-IPMT($C$2/12,A66,$C$3,$C$1),2)))</f>
        <v/>
      </c>
      <c r="E66" s="14">
        <f>IF(A66="","",ROUND(C66-D66,2))</f>
        <v/>
      </c>
      <c r="F66" s="14">
        <f>IF(A66="","",ROUND(F65-E66,2))</f>
        <v/>
      </c>
    </row>
    <row r="67">
      <c r="A67" s="12">
        <f>IF($C$5="OK",IF(ROWS(A$8:A67)&lt;=$C$3,ROWS(A$8:A67),""),"")</f>
        <v/>
      </c>
      <c r="B67" s="13">
        <f>IF(A67="","",EDATE($C$4,A67-1))</f>
        <v/>
      </c>
      <c r="C67" s="14">
        <f>IF(A67="","",IF(A67=$C$3,F66+D67,$I$1))</f>
        <v/>
      </c>
      <c r="D67" s="14">
        <f>IF(A67="","",IF($C$2=0,0,ROUND(-IPMT($C$2/12,A67,$C$3,$C$1),2)))</f>
        <v/>
      </c>
      <c r="E67" s="14">
        <f>IF(A67="","",ROUND(C67-D67,2))</f>
        <v/>
      </c>
      <c r="F67" s="14">
        <f>IF(A67="","",ROUND(F66-E67,2))</f>
        <v/>
      </c>
    </row>
  </sheetData>
  <conditionalFormatting sqref="I6">
    <cfRule type="expression" priority="1" dxfId="0">
      <formula>AND(I6&lt;&gt;"OK",I6&lt;&gt;"")</formula>
    </cfRule>
  </conditionalFormatting>
  <conditionalFormatting sqref="C5">
    <cfRule type="expression" priority="2" dxfId="0">
      <formula>$C$5&lt;&gt;"OK"</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A14"/>
  <sheetViews>
    <sheetView workbookViewId="0">
      <selection activeCell="A1" sqref="A1"/>
    </sheetView>
  </sheetViews>
  <sheetFormatPr baseColWidth="8" defaultRowHeight="15"/>
  <cols>
    <col width="100" customWidth="1" min="1" max="1"/>
  </cols>
  <sheetData>
    <row r="1">
      <c r="A1" s="15" t="inlineStr">
        <is>
          <t>Tidy Tabs: Loan Payment Schedule With Interest and Principal</t>
        </is>
      </c>
    </row>
    <row r="2">
      <c r="A2" s="16" t="inlineStr"/>
    </row>
    <row r="3">
      <c r="A3" s="16" t="inlineStr">
        <is>
          <t>1. Schedule tab: type the loan amount (C1), the yearly rate as a percent (C2), the number of monthly payments (C3, 1 to 60) and the first payment date (C4). Yellow. The sample is a fictional $12,000.00 loan at 7.00% over 36 months with the first payment on 11/28/2026.</t>
        </is>
      </c>
    </row>
    <row r="4">
      <c r="A4" s="16" t="inlineStr">
        <is>
          <t>2. C5 shows OK when all four are numbers, the amount is above 0, the rate is 0% to 100% and the months are a whole number from 1 to 60. Anything else shows a message and the table stays empty.</t>
        </is>
      </c>
    </row>
    <row r="5">
      <c r="A5" s="16" t="inlineStr">
        <is>
          <t>3. Monthly payment, I1: =ROUND(-PMT(C2/12,C3,C1),2). With a 0% rate PMT has nothing to divide by interest, so the sheet uses =ROUND(C1/C3,2). The payment is rounded to cents because a real bill is.</t>
        </is>
      </c>
    </row>
    <row r="6">
      <c r="A6" s="16" t="inlineStr">
        <is>
          <t>4. Interest, D8: =ROUND(-IPMT($C$2/12,A8,$C$3,$C$1),2). IPMT is the interest part of payment number A8. Principal, E8: =ROUND(C8-D8,2), what is left of the payment after interest. Balance after, F8: =ROUND(C1-E8,2) for the first row, then the balance above minus this row's principal.</t>
        </is>
      </c>
    </row>
    <row r="7">
      <c r="A7" s="16" t="inlineStr">
        <is>
          <t>5. Rounding: every payment but the last is the rounded monthly payment. The last payment is the balance still owed plus that month's interest, so the balance ends at exactly $0.00 and the principal column adds up to the loan amount. The last payment can differ from the others by a few cents; I2 shows it (in the sample, $370.38 against $370.53). Interest uses IPMT on the exact schedule and is rounded each month, so a very small loan over many months can have a last payment that differs by more.</t>
        </is>
      </c>
    </row>
    <row r="8">
      <c r="A8" s="16" t="inlineStr">
        <is>
          <t>6. Date, B8: =EDATE($C$4,A8-1). EDATE counts from the first date each time, so a first payment on 01/31 gives 02/28 (or 02/29), then 03/31, not 03/28.</t>
        </is>
      </c>
    </row>
    <row r="9">
      <c r="A9" s="16" t="inlineStr">
        <is>
          <t>7. Rows are numbered 1 to the number of months; rows after that stay blank. The table has room for 60 payments (rows 8 to 67). The print area covers the first 36 rows.</t>
        </is>
      </c>
    </row>
    <row r="10">
      <c r="A10" s="16" t="inlineStr">
        <is>
          <t>8. Summary, H1:I6: monthly payment, last payment, total interest (sum of the Interest column), total paid, last payment date. I6 shows OK when the principal adds up to the loan amount, the last balance is $0.00, total paid minus total interest equals the loan and every payment row is filled.</t>
        </is>
      </c>
    </row>
    <row r="11">
      <c r="A11" s="16" t="inlineStr">
        <is>
          <t>9. This shows arithmetic on the numbers you type. It does not say whether to borrow, what a lender will charge, or how interest is treated for tax. A real lender's schedule can differ by a few cents or by days (for example daily interest).</t>
        </is>
      </c>
    </row>
    <row r="12">
      <c r="A12" s="16" t="inlineStr"/>
    </row>
    <row r="13">
      <c r="A13" s="16" t="inlineStr">
        <is>
          <t>Loan is fictional. Checked in LibreOffice Calc only; not opened in Excel or Google Sheets.</t>
        </is>
      </c>
    </row>
    <row r="14">
      <c r="A14" s="16"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2026-10-27T07:37:10Z</dcterms:created>
  <dcterms:modified xmlns:dcterms="http://purl.org/dc/terms/" xmlns:xsi="http://www.w3.org/2001/XMLSchema-instance" xsi:type="dcterms:W3CDTF">2026-10-27T07:37:10Z</dcterms:modified>
</cp:coreProperties>
</file>