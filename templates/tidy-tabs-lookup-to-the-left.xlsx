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'Products'!$4:$4</definedName>
    <definedName name="_xlnm.Print_Area" localSheetId="0">'Products'!$A$1:$D$34</definedName>
    <definedName name="_xlnm.Print_Titles" localSheetId="1">'Lookup'!$4:$4</definedName>
    <definedName name="_xlnm.Print_Area" localSheetId="1">'Lookup'!$A$1:$J$64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" fontId="0" fillId="3" borderId="0" pivotButton="0" quotePrefix="0" xfId="0"/>
    <xf numFmtId="49" fontId="0" fillId="3" borderId="0" pivotButton="0" quotePrefix="0" xfId="0"/>
    <xf numFmtId="0" fontId="0" fillId="4" borderId="0" applyAlignment="1" pivotButton="0" quotePrefix="0" xfId="0">
      <alignment horizontal="left"/>
    </xf>
    <xf numFmtId="164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pivotButton="0" quotePrefix="0" xfId="0"/>
    <xf numFmtId="1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9" customWidth="1" min="4" max="4"/>
  </cols>
  <sheetData>
    <row r="1">
      <c r="A1" s="1" t="inlineStr">
        <is>
          <t>Fictional shop catalog. The SKU is in column B, to the RIGHT of the product name in column A. Yellow cells are yours to replace.</t>
        </is>
      </c>
    </row>
    <row r="4" ht="24" customHeight="1">
      <c r="A4" s="2" t="inlineStr">
        <is>
          <t>Product name</t>
        </is>
      </c>
      <c r="B4" s="2" t="inlineStr">
        <is>
          <t>SKU</t>
        </is>
      </c>
      <c r="C4" s="2" t="inlineStr">
        <is>
          <t>Price</t>
        </is>
      </c>
      <c r="D4" s="2" t="inlineStr">
        <is>
          <t>Stock</t>
        </is>
      </c>
    </row>
    <row r="5">
      <c r="A5" s="3" t="inlineStr">
        <is>
          <t>Lavender candle, 8 oz</t>
        </is>
      </c>
      <c r="B5" s="3" t="inlineStr">
        <is>
          <t>CND-001</t>
        </is>
      </c>
      <c r="C5" s="4" t="n">
        <v>18</v>
      </c>
      <c r="D5" s="5" t="n">
        <v>24</v>
      </c>
    </row>
    <row r="6">
      <c r="A6" s="3" t="inlineStr">
        <is>
          <t>Cedar candle, 8 oz</t>
        </is>
      </c>
      <c r="B6" s="3" t="inlineStr">
        <is>
          <t>CND-002</t>
        </is>
      </c>
      <c r="C6" s="4" t="n">
        <v>18</v>
      </c>
      <c r="D6" s="5" t="n">
        <v>17</v>
      </c>
    </row>
    <row r="7">
      <c r="A7" s="3" t="inlineStr">
        <is>
          <t>Vanilla bean candle, 4 oz</t>
        </is>
      </c>
      <c r="B7" s="3" t="inlineStr">
        <is>
          <t>CND-003</t>
        </is>
      </c>
      <c r="C7" s="4" t="n">
        <v>12.5</v>
      </c>
      <c r="D7" s="5" t="n">
        <v>31</v>
      </c>
    </row>
    <row r="8">
      <c r="A8" s="3" t="inlineStr">
        <is>
          <t>Citrus grove candle, 8 oz</t>
        </is>
      </c>
      <c r="B8" s="3" t="inlineStr">
        <is>
          <t>CND-004</t>
        </is>
      </c>
      <c r="C8" s="4" t="n">
        <v>18</v>
      </c>
      <c r="D8" s="5" t="n">
        <v>9</v>
      </c>
    </row>
    <row r="9">
      <c r="A9" s="3" t="inlineStr">
        <is>
          <t>Pine forest candle, 12 oz</t>
        </is>
      </c>
      <c r="B9" s="3" t="inlineStr">
        <is>
          <t>CND-005</t>
        </is>
      </c>
      <c r="C9" s="4" t="n">
        <v>24</v>
      </c>
      <c r="D9" s="5" t="n">
        <v>12</v>
      </c>
    </row>
    <row r="10">
      <c r="A10" s="3" t="inlineStr">
        <is>
          <t>Beeswax taper pair</t>
        </is>
      </c>
      <c r="B10" s="3" t="inlineStr">
        <is>
          <t>CND-006</t>
        </is>
      </c>
      <c r="C10" s="4" t="n">
        <v>14</v>
      </c>
      <c r="D10" s="5" t="n">
        <v>20</v>
      </c>
    </row>
    <row r="11">
      <c r="A11" s="3" t="inlineStr">
        <is>
          <t>Oatmeal goat milk soap</t>
        </is>
      </c>
      <c r="B11" s="3" t="inlineStr">
        <is>
          <t>SOP-010</t>
        </is>
      </c>
      <c r="C11" s="4" t="n">
        <v>8</v>
      </c>
      <c r="D11" s="5" t="n">
        <v>48</v>
      </c>
    </row>
    <row r="12">
      <c r="A12" s="3" t="inlineStr">
        <is>
          <t>Charcoal soap bar</t>
        </is>
      </c>
      <c r="B12" s="3" t="inlineStr">
        <is>
          <t>SOP-011</t>
        </is>
      </c>
      <c r="C12" s="4" t="n">
        <v>8.5</v>
      </c>
      <c r="D12" s="5" t="n">
        <v>36</v>
      </c>
    </row>
    <row r="13">
      <c r="A13" s="3" t="inlineStr">
        <is>
          <t>Rose clay soap</t>
        </is>
      </c>
      <c r="B13" s="3" t="inlineStr">
        <is>
          <t>SOP-012</t>
        </is>
      </c>
      <c r="C13" s="4" t="n">
        <v>9</v>
      </c>
      <c r="D13" s="5" t="n">
        <v>22</v>
      </c>
    </row>
    <row r="14">
      <c r="A14" s="3" t="inlineStr">
        <is>
          <t>Honey almond soap</t>
        </is>
      </c>
      <c r="B14" s="3" t="inlineStr">
        <is>
          <t>SOP-013</t>
        </is>
      </c>
      <c r="C14" s="4" t="n">
        <v>8</v>
      </c>
      <c r="D14" s="5" t="n">
        <v>40</v>
      </c>
    </row>
    <row r="15">
      <c r="A15" s="3" t="inlineStr">
        <is>
          <t>Lemon poppy seed soap</t>
        </is>
      </c>
      <c r="B15" s="3" t="inlineStr">
        <is>
          <t>SOP-014</t>
        </is>
      </c>
      <c r="C15" s="4" t="n">
        <v>8.5</v>
      </c>
      <c r="D15" s="5" t="n">
        <v>15</v>
      </c>
    </row>
    <row r="16">
      <c r="A16" s="3" t="inlineStr">
        <is>
          <t>Peppermint shaving soap</t>
        </is>
      </c>
      <c r="B16" s="3" t="inlineStr">
        <is>
          <t>SOP-015</t>
        </is>
      </c>
      <c r="C16" s="4" t="n">
        <v>10</v>
      </c>
      <c r="D16" s="5" t="n">
        <v>8</v>
      </c>
    </row>
    <row r="17">
      <c r="A17" s="3" t="inlineStr">
        <is>
          <t>Sandalwood reed diffuser</t>
        </is>
      </c>
      <c r="B17" s="3" t="inlineStr">
        <is>
          <t>SND-010</t>
        </is>
      </c>
      <c r="C17" s="4" t="n">
        <v>26</v>
      </c>
      <c r="D17" s="5" t="n">
        <v>11</v>
      </c>
    </row>
    <row r="18">
      <c r="A18" s="3" t="inlineStr">
        <is>
          <t>Lavender reed diffuser</t>
        </is>
      </c>
      <c r="B18" s="3" t="inlineStr">
        <is>
          <t>SND-011</t>
        </is>
      </c>
      <c r="C18" s="4" t="n">
        <v>26</v>
      </c>
      <c r="D18" s="5" t="n">
        <v>14</v>
      </c>
    </row>
    <row r="19">
      <c r="A19" s="3" t="inlineStr">
        <is>
          <t>Eucalyptus reed diffuser</t>
        </is>
      </c>
      <c r="B19" s="3" t="inlineStr">
        <is>
          <t>SND-012</t>
        </is>
      </c>
      <c r="C19" s="4" t="n">
        <v>26</v>
      </c>
      <c r="D19" s="5" t="n">
        <v>6</v>
      </c>
    </row>
    <row r="20">
      <c r="A20" s="3" t="inlineStr">
        <is>
          <t>Diffuser refill oil, 4 oz</t>
        </is>
      </c>
      <c r="B20" s="3" t="inlineStr">
        <is>
          <t>SND-020</t>
        </is>
      </c>
      <c r="C20" s="4" t="n">
        <v>15</v>
      </c>
      <c r="D20" s="5" t="n">
        <v>33</v>
      </c>
    </row>
    <row r="21">
      <c r="A21" s="3" t="inlineStr">
        <is>
          <t>Wooden wick trimmer</t>
        </is>
      </c>
      <c r="B21" s="3" t="inlineStr">
        <is>
          <t>ACC-001</t>
        </is>
      </c>
      <c r="C21" s="4" t="n">
        <v>9.5</v>
      </c>
      <c r="D21" s="5" t="n">
        <v>19</v>
      </c>
    </row>
    <row r="22">
      <c r="A22" s="3" t="inlineStr">
        <is>
          <t>Brass candle snuffer</t>
        </is>
      </c>
      <c r="B22" s="3" t="inlineStr">
        <is>
          <t>ACC-002</t>
        </is>
      </c>
      <c r="C22" s="4" t="n">
        <v>16</v>
      </c>
      <c r="D22" s="5" t="n">
        <v>7</v>
      </c>
    </row>
    <row r="23">
      <c r="A23" s="3" t="inlineStr">
        <is>
          <t>Soap dish, ceramic</t>
        </is>
      </c>
      <c r="B23" s="3" t="inlineStr">
        <is>
          <t>ACC-003</t>
        </is>
      </c>
      <c r="C23" s="4" t="n">
        <v>12</v>
      </c>
      <c r="D23" s="5" t="n">
        <v>25</v>
      </c>
    </row>
    <row r="24">
      <c r="A24" s="3" t="inlineStr">
        <is>
          <t>Linen gift bag</t>
        </is>
      </c>
      <c r="B24" s="3" t="inlineStr">
        <is>
          <t>ACC-004</t>
        </is>
      </c>
      <c r="C24" s="4" t="n">
        <v>4</v>
      </c>
      <c r="D24" s="5" t="n">
        <v>60</v>
      </c>
    </row>
    <row r="25">
      <c r="A25" s="3" t="inlineStr">
        <is>
          <t>Gift set: soap and candle</t>
        </is>
      </c>
      <c r="B25" s="3" t="inlineStr">
        <is>
          <t>SET-001</t>
        </is>
      </c>
      <c r="C25" s="4" t="n">
        <v>28</v>
      </c>
      <c r="D25" s="5" t="n">
        <v>13</v>
      </c>
    </row>
    <row r="26">
      <c r="A26" s="3" t="inlineStr">
        <is>
          <t>Gift set: three soaps</t>
        </is>
      </c>
      <c r="B26" s="3" t="inlineStr">
        <is>
          <t>SET-002</t>
        </is>
      </c>
      <c r="C26" s="4" t="n">
        <v>22</v>
      </c>
      <c r="D26" s="5" t="n">
        <v>10</v>
      </c>
    </row>
    <row r="27">
      <c r="A27" s="3" t="inlineStr">
        <is>
          <t>Travel tin candle, 2 oz</t>
        </is>
      </c>
      <c r="B27" s="3" t="inlineStr">
        <is>
          <t>TRV-001</t>
        </is>
      </c>
      <c r="C27" s="4" t="n">
        <v>7.5</v>
      </c>
      <c r="D27" s="5" t="n">
        <v>44</v>
      </c>
    </row>
    <row r="28">
      <c r="A28" s="3" t="inlineStr">
        <is>
          <t>Travel soap, 1 oz</t>
        </is>
      </c>
      <c r="B28" s="3" t="inlineStr">
        <is>
          <t>TRV-002</t>
        </is>
      </c>
      <c r="C28" s="4" t="n">
        <v>3.5</v>
      </c>
      <c r="D28" s="5" t="n">
        <v>52</v>
      </c>
    </row>
    <row r="29">
      <c r="A29" s="3" t="inlineStr">
        <is>
          <t>Sample card, assorted scents</t>
        </is>
      </c>
      <c r="B29" s="3" t="inlineStr">
        <is>
          <t>TRV-003</t>
        </is>
      </c>
      <c r="C29" s="4" t="n">
        <v>5</v>
      </c>
      <c r="D29" s="5" t="n">
        <v>70</v>
      </c>
    </row>
    <row r="30">
      <c r="A30" s="3" t="n"/>
      <c r="B30" s="3" t="n"/>
      <c r="C30" s="4" t="n"/>
      <c r="D30" s="5" t="n"/>
    </row>
    <row r="31">
      <c r="A31" s="3" t="n"/>
      <c r="B31" s="3" t="n"/>
      <c r="C31" s="4" t="n"/>
      <c r="D31" s="5" t="n"/>
    </row>
    <row r="32">
      <c r="A32" s="3" t="n"/>
      <c r="B32" s="3" t="n"/>
      <c r="C32" s="4" t="n"/>
      <c r="D32" s="5" t="n"/>
    </row>
    <row r="33">
      <c r="A33" s="3" t="n"/>
      <c r="B33" s="3" t="n"/>
      <c r="C33" s="4" t="n"/>
      <c r="D33" s="5" t="n"/>
    </row>
    <row r="34">
      <c r="A34" s="3" t="n"/>
      <c r="B34" s="3" t="n"/>
      <c r="C34" s="4" t="n"/>
      <c r="D34" s="5" t="n"/>
    </row>
    <row r="35">
      <c r="A35" s="3" t="n"/>
      <c r="B35" s="3" t="n"/>
      <c r="C35" s="4" t="n"/>
      <c r="D35" s="5" t="n"/>
    </row>
    <row r="36">
      <c r="A36" s="3" t="n"/>
      <c r="B36" s="3" t="n"/>
      <c r="C36" s="4" t="n"/>
      <c r="D36" s="5" t="n"/>
    </row>
    <row r="37">
      <c r="A37" s="3" t="n"/>
      <c r="B37" s="3" t="n"/>
      <c r="C37" s="4" t="n"/>
      <c r="D37" s="5" t="n"/>
    </row>
    <row r="38">
      <c r="A38" s="3" t="n"/>
      <c r="B38" s="3" t="n"/>
      <c r="C38" s="4" t="n"/>
      <c r="D38" s="5" t="n"/>
    </row>
    <row r="39">
      <c r="A39" s="3" t="n"/>
      <c r="B39" s="3" t="n"/>
      <c r="C39" s="4" t="n"/>
      <c r="D39" s="5" t="n"/>
    </row>
    <row r="40">
      <c r="A40" s="3" t="n"/>
      <c r="B40" s="3" t="n"/>
      <c r="C40" s="4" t="n"/>
      <c r="D40" s="5" t="n"/>
    </row>
    <row r="41">
      <c r="A41" s="3" t="n"/>
      <c r="B41" s="3" t="n"/>
      <c r="C41" s="4" t="n"/>
      <c r="D41" s="5" t="n"/>
    </row>
    <row r="42">
      <c r="A42" s="3" t="n"/>
      <c r="B42" s="3" t="n"/>
      <c r="C42" s="4" t="n"/>
      <c r="D42" s="5" t="n"/>
    </row>
    <row r="43">
      <c r="A43" s="3" t="n"/>
      <c r="B43" s="3" t="n"/>
      <c r="C43" s="4" t="n"/>
      <c r="D43" s="5" t="n"/>
    </row>
    <row r="44">
      <c r="A44" s="3" t="n"/>
      <c r="B44" s="3" t="n"/>
      <c r="C44" s="4" t="n"/>
      <c r="D44" s="5" t="n"/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1" customWidth="1" min="4" max="4"/>
    <col width="22" customWidth="1" min="5" max="5"/>
    <col width="20" customWidth="1" min="6" max="6"/>
    <col width="12" customWidth="1" min="7" max="7"/>
    <col width="3" customWidth="1" min="8" max="8"/>
    <col width="44" customWidth="1" min="9" max="9"/>
    <col width="14" customWidth="1" min="10" max="10"/>
  </cols>
  <sheetData>
    <row r="1">
      <c r="A1" s="1" t="inlineStr">
        <is>
          <t>Type or paste a SKU in column A. Column B finds the product NAME, which sits to the left of the SKU, with INDEX and MATCH. Column E shows why VLOOKUP cannot do it.</t>
        </is>
      </c>
    </row>
    <row r="2">
      <c r="A2" s="1" t="inlineStr">
        <is>
          <t>Fictional lookups: two SKUs are not in the catalog, one has a trailing space, one is typed in lower case, and one row is blank.</t>
        </is>
      </c>
    </row>
    <row r="4" ht="62" customHeight="1">
      <c r="A4" s="2" t="inlineStr">
        <is>
          <t>SKU to look up</t>
        </is>
      </c>
      <c r="B4" s="2" t="inlineStr">
        <is>
          <t>Product name (INDEX/MATCH, left of SKU)</t>
        </is>
      </c>
      <c r="C4" s="2" t="inlineStr">
        <is>
          <t>Price (INDEX/MATCH)</t>
        </is>
      </c>
      <c r="D4" s="2" t="inlineStr">
        <is>
          <t>Stock (INDEX/MATCH)</t>
        </is>
      </c>
      <c r="E4" s="2" t="inlineStr">
        <is>
          <t>VLOOKUP to the left (searches column A)</t>
        </is>
      </c>
      <c r="F4" s="2" t="inlineStr">
        <is>
          <t>VLOOKUP to the right (price, works)</t>
        </is>
      </c>
      <c r="G4" s="2" t="inlineStr">
        <is>
          <t>Row found in list</t>
        </is>
      </c>
    </row>
    <row r="5">
      <c r="A5" s="6" t="inlineStr">
        <is>
          <t>CND-001</t>
        </is>
      </c>
      <c r="B5" s="7">
        <f>IF(A5="","",IFERROR(INDEX(Products!$A$5:$A$44,MATCH(TRIM(A5),Products!$B$5:$B$44,0)),"Not found"))</f>
        <v/>
      </c>
      <c r="C5" s="8">
        <f>IF(A5="","",IFERROR(INDEX(Products!$C$5:$C$44,MATCH(TRIM(A5),Products!$B$5:$B$44,0)),"Not found"))</f>
        <v/>
      </c>
      <c r="D5" s="9">
        <f>IF(A5="","",IFERROR(INDEX(Products!$D$5:$D$44,MATCH(TRIM(A5),Products!$B$5:$B$44,0)),"Not found"))</f>
        <v/>
      </c>
      <c r="E5" s="9">
        <f>IF(A5="","",IFERROR(VLOOKUP(A5,Products!$A$5:$D$44,1,FALSE),"Not found"))</f>
        <v/>
      </c>
      <c r="F5" s="8">
        <f>IF(A5="","",IFERROR(VLOOKUP(TRIM(A5),Products!$B$5:$D$44,2,FALSE),"Not found"))</f>
        <v/>
      </c>
      <c r="G5" s="9">
        <f>IF(A5="","",IFERROR(MATCH(TRIM(A5),Products!$B$5:$B$44,0),"Not found"))</f>
        <v/>
      </c>
      <c r="I5" s="10" t="inlineStr">
        <is>
          <t>Lookups entered</t>
        </is>
      </c>
      <c r="J5" s="11">
        <f>COUNTA(A5:A64)</f>
        <v/>
      </c>
    </row>
    <row r="6">
      <c r="A6" s="6" t="inlineStr">
        <is>
          <t>SOP-014</t>
        </is>
      </c>
      <c r="B6" s="7">
        <f>IF(A6="","",IFERROR(INDEX(Products!$A$5:$A$44,MATCH(TRIM(A6),Products!$B$5:$B$44,0)),"Not found"))</f>
        <v/>
      </c>
      <c r="C6" s="8">
        <f>IF(A6="","",IFERROR(INDEX(Products!$C$5:$C$44,MATCH(TRIM(A6),Products!$B$5:$B$44,0)),"Not found"))</f>
        <v/>
      </c>
      <c r="D6" s="9">
        <f>IF(A6="","",IFERROR(INDEX(Products!$D$5:$D$44,MATCH(TRIM(A6),Products!$B$5:$B$44,0)),"Not found"))</f>
        <v/>
      </c>
      <c r="E6" s="9">
        <f>IF(A6="","",IFERROR(VLOOKUP(A6,Products!$A$5:$D$44,1,FALSE),"Not found"))</f>
        <v/>
      </c>
      <c r="F6" s="8">
        <f>IF(A6="","",IFERROR(VLOOKUP(TRIM(A6),Products!$B$5:$D$44,2,FALSE),"Not found"))</f>
        <v/>
      </c>
      <c r="G6" s="9">
        <f>IF(A6="","",IFERROR(MATCH(TRIM(A6),Products!$B$5:$B$44,0),"Not found"))</f>
        <v/>
      </c>
      <c r="I6" s="10" t="inlineStr">
        <is>
          <t>Found</t>
        </is>
      </c>
      <c r="J6" s="11">
        <f>SUMPRODUCT((A5:A64&lt;&gt;"")*(B5:B64&lt;&gt;"Not found"))</f>
        <v/>
      </c>
    </row>
    <row r="7">
      <c r="A7" s="6" t="inlineStr">
        <is>
          <t xml:space="preserve">CND-004 </t>
        </is>
      </c>
      <c r="B7" s="7">
        <f>IF(A7="","",IFERROR(INDEX(Products!$A$5:$A$44,MATCH(TRIM(A7),Products!$B$5:$B$44,0)),"Not found"))</f>
        <v/>
      </c>
      <c r="C7" s="8">
        <f>IF(A7="","",IFERROR(INDEX(Products!$C$5:$C$44,MATCH(TRIM(A7),Products!$B$5:$B$44,0)),"Not found"))</f>
        <v/>
      </c>
      <c r="D7" s="9">
        <f>IF(A7="","",IFERROR(INDEX(Products!$D$5:$D$44,MATCH(TRIM(A7),Products!$B$5:$B$44,0)),"Not found"))</f>
        <v/>
      </c>
      <c r="E7" s="9">
        <f>IF(A7="","",IFERROR(VLOOKUP(A7,Products!$A$5:$D$44,1,FALSE),"Not found"))</f>
        <v/>
      </c>
      <c r="F7" s="8">
        <f>IF(A7="","",IFERROR(VLOOKUP(TRIM(A7),Products!$B$5:$D$44,2,FALSE),"Not found"))</f>
        <v/>
      </c>
      <c r="G7" s="9">
        <f>IF(A7="","",IFERROR(MATCH(TRIM(A7),Products!$B$5:$B$44,0),"Not found"))</f>
        <v/>
      </c>
      <c r="I7" s="10" t="inlineStr">
        <is>
          <t>Not found</t>
        </is>
      </c>
      <c r="J7" s="11">
        <f>SUMPRODUCT((A5:A64&lt;&gt;"")*(B5:B64="Not found"))</f>
        <v/>
      </c>
    </row>
    <row r="8">
      <c r="A8" s="6" t="inlineStr">
        <is>
          <t>snd-010</t>
        </is>
      </c>
      <c r="B8" s="7">
        <f>IF(A8="","",IFERROR(INDEX(Products!$A$5:$A$44,MATCH(TRIM(A8),Products!$B$5:$B$44,0)),"Not found"))</f>
        <v/>
      </c>
      <c r="C8" s="8">
        <f>IF(A8="","",IFERROR(INDEX(Products!$C$5:$C$44,MATCH(TRIM(A8),Products!$B$5:$B$44,0)),"Not found"))</f>
        <v/>
      </c>
      <c r="D8" s="9">
        <f>IF(A8="","",IFERROR(INDEX(Products!$D$5:$D$44,MATCH(TRIM(A8),Products!$B$5:$B$44,0)),"Not found"))</f>
        <v/>
      </c>
      <c r="E8" s="9">
        <f>IF(A8="","",IFERROR(VLOOKUP(A8,Products!$A$5:$D$44,1,FALSE),"Not found"))</f>
        <v/>
      </c>
      <c r="F8" s="8">
        <f>IF(A8="","",IFERROR(VLOOKUP(TRIM(A8),Products!$B$5:$D$44,2,FALSE),"Not found"))</f>
        <v/>
      </c>
      <c r="G8" s="9">
        <f>IF(A8="","",IFERROR(MATCH(TRIM(A8),Products!$B$5:$B$44,0),"Not found"))</f>
        <v/>
      </c>
      <c r="I8" s="10" t="inlineStr">
        <is>
          <t>SKUs listed in Products</t>
        </is>
      </c>
      <c r="J8" s="11">
        <f>COUNTA(Products!$B$5:$B$44)</f>
        <v/>
      </c>
    </row>
    <row r="9" ht="32" customHeight="1">
      <c r="A9" s="6" t="n"/>
      <c r="B9" s="7">
        <f>IF(A9="","",IFERROR(INDEX(Products!$A$5:$A$44,MATCH(TRIM(A9),Products!$B$5:$B$44,0)),"Not found"))</f>
        <v/>
      </c>
      <c r="C9" s="8">
        <f>IF(A9="","",IFERROR(INDEX(Products!$C$5:$C$44,MATCH(TRIM(A9),Products!$B$5:$B$44,0)),"Not found"))</f>
        <v/>
      </c>
      <c r="D9" s="9">
        <f>IF(A9="","",IFERROR(INDEX(Products!$D$5:$D$44,MATCH(TRIM(A9),Products!$B$5:$B$44,0)),"Not found"))</f>
        <v/>
      </c>
      <c r="E9" s="9">
        <f>IF(A9="","",IFERROR(VLOOKUP(A9,Products!$A$5:$D$44,1,FALSE),"Not found"))</f>
        <v/>
      </c>
      <c r="F9" s="8">
        <f>IF(A9="","",IFERROR(VLOOKUP(TRIM(A9),Products!$B$5:$D$44,2,FALSE),"Not found"))</f>
        <v/>
      </c>
      <c r="G9" s="9">
        <f>IF(A9="","",IFERROR(MATCH(TRIM(A9),Products!$B$5:$B$44,0),"Not found"))</f>
        <v/>
      </c>
      <c r="I9" s="12" t="inlineStr">
        <is>
          <t>Duplicate SKUs in Products (first match wins)</t>
        </is>
      </c>
      <c r="J9" s="11">
        <f>SUMPRODUCT((Products!$B$5:$B$44&lt;&gt;"")*(COUNTIF(Products!$B$5:$B$44,Products!$B$5:$B$44)&gt;1))</f>
        <v/>
      </c>
    </row>
    <row r="10" ht="46" customHeight="1">
      <c r="A10" s="6" t="inlineStr">
        <is>
          <t>ZZZ-999</t>
        </is>
      </c>
      <c r="B10" s="7">
        <f>IF(A10="","",IFERROR(INDEX(Products!$A$5:$A$44,MATCH(TRIM(A10),Products!$B$5:$B$44,0)),"Not found"))</f>
        <v/>
      </c>
      <c r="C10" s="8">
        <f>IF(A10="","",IFERROR(INDEX(Products!$C$5:$C$44,MATCH(TRIM(A10),Products!$B$5:$B$44,0)),"Not found"))</f>
        <v/>
      </c>
      <c r="D10" s="9">
        <f>IF(A10="","",IFERROR(INDEX(Products!$D$5:$D$44,MATCH(TRIM(A10),Products!$B$5:$B$44,0)),"Not found"))</f>
        <v/>
      </c>
      <c r="E10" s="9">
        <f>IF(A10="","",IFERROR(VLOOKUP(A10,Products!$A$5:$D$44,1,FALSE),"Not found"))</f>
        <v/>
      </c>
      <c r="F10" s="8">
        <f>IF(A10="","",IFERROR(VLOOKUP(TRIM(A10),Products!$B$5:$D$44,2,FALSE),"Not found"))</f>
        <v/>
      </c>
      <c r="G10" s="9">
        <f>IF(A10="","",IFERROR(MATCH(TRIM(A10),Products!$B$5:$B$44,0),"Not found"))</f>
        <v/>
      </c>
      <c r="I10" s="12" t="inlineStr">
        <is>
          <t>Check: found + not found = entered, row numbers agree, no duplicate SKUs, nothing below the tables</t>
        </is>
      </c>
      <c r="J10" s="9">
        <f>IF(AND(J6+J7=J5,COUNT(G5:G64)=J6,J9=0,COUNTA(A65:A500)=0,COUNTA(Products!B45:B500)=0),"OK","CHECK")</f>
        <v/>
      </c>
    </row>
    <row r="11">
      <c r="A11" s="6" t="inlineStr">
        <is>
          <t>TRV-003</t>
        </is>
      </c>
      <c r="B11" s="7">
        <f>IF(A11="","",IFERROR(INDEX(Products!$A$5:$A$44,MATCH(TRIM(A11),Products!$B$5:$B$44,0)),"Not found"))</f>
        <v/>
      </c>
      <c r="C11" s="8">
        <f>IF(A11="","",IFERROR(INDEX(Products!$C$5:$C$44,MATCH(TRIM(A11),Products!$B$5:$B$44,0)),"Not found"))</f>
        <v/>
      </c>
      <c r="D11" s="9">
        <f>IF(A11="","",IFERROR(INDEX(Products!$D$5:$D$44,MATCH(TRIM(A11),Products!$B$5:$B$44,0)),"Not found"))</f>
        <v/>
      </c>
      <c r="E11" s="9">
        <f>IF(A11="","",IFERROR(VLOOKUP(A11,Products!$A$5:$D$44,1,FALSE),"Not found"))</f>
        <v/>
      </c>
      <c r="F11" s="8">
        <f>IF(A11="","",IFERROR(VLOOKUP(TRIM(A11),Products!$B$5:$D$44,2,FALSE),"Not found"))</f>
        <v/>
      </c>
      <c r="G11" s="9">
        <f>IF(A11="","",IFERROR(MATCH(TRIM(A11),Products!$B$5:$B$44,0),"Not found"))</f>
        <v/>
      </c>
    </row>
    <row r="12">
      <c r="A12" s="6" t="inlineStr">
        <is>
          <t>ACC-002</t>
        </is>
      </c>
      <c r="B12" s="7">
        <f>IF(A12="","",IFERROR(INDEX(Products!$A$5:$A$44,MATCH(TRIM(A12),Products!$B$5:$B$44,0)),"Not found"))</f>
        <v/>
      </c>
      <c r="C12" s="8">
        <f>IF(A12="","",IFERROR(INDEX(Products!$C$5:$C$44,MATCH(TRIM(A12),Products!$B$5:$B$44,0)),"Not found"))</f>
        <v/>
      </c>
      <c r="D12" s="9">
        <f>IF(A12="","",IFERROR(INDEX(Products!$D$5:$D$44,MATCH(TRIM(A12),Products!$B$5:$B$44,0)),"Not found"))</f>
        <v/>
      </c>
      <c r="E12" s="9">
        <f>IF(A12="","",IFERROR(VLOOKUP(A12,Products!$A$5:$D$44,1,FALSE),"Not found"))</f>
        <v/>
      </c>
      <c r="F12" s="8">
        <f>IF(A12="","",IFERROR(VLOOKUP(TRIM(A12),Products!$B$5:$D$44,2,FALSE),"Not found"))</f>
        <v/>
      </c>
      <c r="G12" s="9">
        <f>IF(A12="","",IFERROR(MATCH(TRIM(A12),Products!$B$5:$B$44,0),"Not found"))</f>
        <v/>
      </c>
    </row>
    <row r="13">
      <c r="A13" s="6" t="inlineStr">
        <is>
          <t>SET-001</t>
        </is>
      </c>
      <c r="B13" s="7">
        <f>IF(A13="","",IFERROR(INDEX(Products!$A$5:$A$44,MATCH(TRIM(A13),Products!$B$5:$B$44,0)),"Not found"))</f>
        <v/>
      </c>
      <c r="C13" s="8">
        <f>IF(A13="","",IFERROR(INDEX(Products!$C$5:$C$44,MATCH(TRIM(A13),Products!$B$5:$B$44,0)),"Not found"))</f>
        <v/>
      </c>
      <c r="D13" s="9">
        <f>IF(A13="","",IFERROR(INDEX(Products!$D$5:$D$44,MATCH(TRIM(A13),Products!$B$5:$B$44,0)),"Not found"))</f>
        <v/>
      </c>
      <c r="E13" s="9">
        <f>IF(A13="","",IFERROR(VLOOKUP(A13,Products!$A$5:$D$44,1,FALSE),"Not found"))</f>
        <v/>
      </c>
      <c r="F13" s="8">
        <f>IF(A13="","",IFERROR(VLOOKUP(TRIM(A13),Products!$B$5:$D$44,2,FALSE),"Not found"))</f>
        <v/>
      </c>
      <c r="G13" s="9">
        <f>IF(A13="","",IFERROR(MATCH(TRIM(A13),Products!$B$5:$B$44,0),"Not found"))</f>
        <v/>
      </c>
    </row>
    <row r="14">
      <c r="A14" s="6" t="inlineStr">
        <is>
          <t>CND-777</t>
        </is>
      </c>
      <c r="B14" s="7">
        <f>IF(A14="","",IFERROR(INDEX(Products!$A$5:$A$44,MATCH(TRIM(A14),Products!$B$5:$B$44,0)),"Not found"))</f>
        <v/>
      </c>
      <c r="C14" s="8">
        <f>IF(A14="","",IFERROR(INDEX(Products!$C$5:$C$44,MATCH(TRIM(A14),Products!$B$5:$B$44,0)),"Not found"))</f>
        <v/>
      </c>
      <c r="D14" s="9">
        <f>IF(A14="","",IFERROR(INDEX(Products!$D$5:$D$44,MATCH(TRIM(A14),Products!$B$5:$B$44,0)),"Not found"))</f>
        <v/>
      </c>
      <c r="E14" s="9">
        <f>IF(A14="","",IFERROR(VLOOKUP(A14,Products!$A$5:$D$44,1,FALSE),"Not found"))</f>
        <v/>
      </c>
      <c r="F14" s="8">
        <f>IF(A14="","",IFERROR(VLOOKUP(TRIM(A14),Products!$B$5:$D$44,2,FALSE),"Not found"))</f>
        <v/>
      </c>
      <c r="G14" s="9">
        <f>IF(A14="","",IFERROR(MATCH(TRIM(A14),Products!$B$5:$B$44,0),"Not found"))</f>
        <v/>
      </c>
    </row>
    <row r="15">
      <c r="A15" s="6" t="inlineStr">
        <is>
          <t>SOP-010</t>
        </is>
      </c>
      <c r="B15" s="7">
        <f>IF(A15="","",IFERROR(INDEX(Products!$A$5:$A$44,MATCH(TRIM(A15),Products!$B$5:$B$44,0)),"Not found"))</f>
        <v/>
      </c>
      <c r="C15" s="8">
        <f>IF(A15="","",IFERROR(INDEX(Products!$C$5:$C$44,MATCH(TRIM(A15),Products!$B$5:$B$44,0)),"Not found"))</f>
        <v/>
      </c>
      <c r="D15" s="9">
        <f>IF(A15="","",IFERROR(INDEX(Products!$D$5:$D$44,MATCH(TRIM(A15),Products!$B$5:$B$44,0)),"Not found"))</f>
        <v/>
      </c>
      <c r="E15" s="9">
        <f>IF(A15="","",IFERROR(VLOOKUP(A15,Products!$A$5:$D$44,1,FALSE),"Not found"))</f>
        <v/>
      </c>
      <c r="F15" s="8">
        <f>IF(A15="","",IFERROR(VLOOKUP(TRIM(A15),Products!$B$5:$D$44,2,FALSE),"Not found"))</f>
        <v/>
      </c>
      <c r="G15" s="9">
        <f>IF(A15="","",IFERROR(MATCH(TRIM(A15),Products!$B$5:$B$44,0),"Not found"))</f>
        <v/>
      </c>
    </row>
    <row r="16">
      <c r="A16" s="6" t="inlineStr">
        <is>
          <t>SND-020</t>
        </is>
      </c>
      <c r="B16" s="7">
        <f>IF(A16="","",IFERROR(INDEX(Products!$A$5:$A$44,MATCH(TRIM(A16),Products!$B$5:$B$44,0)),"Not found"))</f>
        <v/>
      </c>
      <c r="C16" s="8">
        <f>IF(A16="","",IFERROR(INDEX(Products!$C$5:$C$44,MATCH(TRIM(A16),Products!$B$5:$B$44,0)),"Not found"))</f>
        <v/>
      </c>
      <c r="D16" s="9">
        <f>IF(A16="","",IFERROR(INDEX(Products!$D$5:$D$44,MATCH(TRIM(A16),Products!$B$5:$B$44,0)),"Not found"))</f>
        <v/>
      </c>
      <c r="E16" s="9">
        <f>IF(A16="","",IFERROR(VLOOKUP(A16,Products!$A$5:$D$44,1,FALSE),"Not found"))</f>
        <v/>
      </c>
      <c r="F16" s="8">
        <f>IF(A16="","",IFERROR(VLOOKUP(TRIM(A16),Products!$B$5:$D$44,2,FALSE),"Not found"))</f>
        <v/>
      </c>
      <c r="G16" s="9">
        <f>IF(A16="","",IFERROR(MATCH(TRIM(A16),Products!$B$5:$B$44,0),"Not found"))</f>
        <v/>
      </c>
    </row>
    <row r="17">
      <c r="A17" s="6" t="inlineStr">
        <is>
          <t>ACC-004</t>
        </is>
      </c>
      <c r="B17" s="7">
        <f>IF(A17="","",IFERROR(INDEX(Products!$A$5:$A$44,MATCH(TRIM(A17),Products!$B$5:$B$44,0)),"Not found"))</f>
        <v/>
      </c>
      <c r="C17" s="8">
        <f>IF(A17="","",IFERROR(INDEX(Products!$C$5:$C$44,MATCH(TRIM(A17),Products!$B$5:$B$44,0)),"Not found"))</f>
        <v/>
      </c>
      <c r="D17" s="9">
        <f>IF(A17="","",IFERROR(INDEX(Products!$D$5:$D$44,MATCH(TRIM(A17),Products!$B$5:$B$44,0)),"Not found"))</f>
        <v/>
      </c>
      <c r="E17" s="9">
        <f>IF(A17="","",IFERROR(VLOOKUP(A17,Products!$A$5:$D$44,1,FALSE),"Not found"))</f>
        <v/>
      </c>
      <c r="F17" s="8">
        <f>IF(A17="","",IFERROR(VLOOKUP(TRIM(A17),Products!$B$5:$D$44,2,FALSE),"Not found"))</f>
        <v/>
      </c>
      <c r="G17" s="9">
        <f>IF(A17="","",IFERROR(MATCH(TRIM(A17),Products!$B$5:$B$44,0),"Not found"))</f>
        <v/>
      </c>
    </row>
    <row r="18">
      <c r="A18" s="6" t="inlineStr">
        <is>
          <t>TRV-001</t>
        </is>
      </c>
      <c r="B18" s="7">
        <f>IF(A18="","",IFERROR(INDEX(Products!$A$5:$A$44,MATCH(TRIM(A18),Products!$B$5:$B$44,0)),"Not found"))</f>
        <v/>
      </c>
      <c r="C18" s="8">
        <f>IF(A18="","",IFERROR(INDEX(Products!$C$5:$C$44,MATCH(TRIM(A18),Products!$B$5:$B$44,0)),"Not found"))</f>
        <v/>
      </c>
      <c r="D18" s="9">
        <f>IF(A18="","",IFERROR(INDEX(Products!$D$5:$D$44,MATCH(TRIM(A18),Products!$B$5:$B$44,0)),"Not found"))</f>
        <v/>
      </c>
      <c r="E18" s="9">
        <f>IF(A18="","",IFERROR(VLOOKUP(A18,Products!$A$5:$D$44,1,FALSE),"Not found"))</f>
        <v/>
      </c>
      <c r="F18" s="8">
        <f>IF(A18="","",IFERROR(VLOOKUP(TRIM(A18),Products!$B$5:$D$44,2,FALSE),"Not found"))</f>
        <v/>
      </c>
      <c r="G18" s="9">
        <f>IF(A18="","",IFERROR(MATCH(TRIM(A18),Products!$B$5:$B$44,0),"Not found"))</f>
        <v/>
      </c>
    </row>
    <row r="19">
      <c r="A19" s="6" t="inlineStr">
        <is>
          <t>SND-012</t>
        </is>
      </c>
      <c r="B19" s="7">
        <f>IF(A19="","",IFERROR(INDEX(Products!$A$5:$A$44,MATCH(TRIM(A19),Products!$B$5:$B$44,0)),"Not found"))</f>
        <v/>
      </c>
      <c r="C19" s="8">
        <f>IF(A19="","",IFERROR(INDEX(Products!$C$5:$C$44,MATCH(TRIM(A19),Products!$B$5:$B$44,0)),"Not found"))</f>
        <v/>
      </c>
      <c r="D19" s="9">
        <f>IF(A19="","",IFERROR(INDEX(Products!$D$5:$D$44,MATCH(TRIM(A19),Products!$B$5:$B$44,0)),"Not found"))</f>
        <v/>
      </c>
      <c r="E19" s="9">
        <f>IF(A19="","",IFERROR(VLOOKUP(A19,Products!$A$5:$D$44,1,FALSE),"Not found"))</f>
        <v/>
      </c>
      <c r="F19" s="8">
        <f>IF(A19="","",IFERROR(VLOOKUP(TRIM(A19),Products!$B$5:$D$44,2,FALSE),"Not found"))</f>
        <v/>
      </c>
      <c r="G19" s="9">
        <f>IF(A19="","",IFERROR(MATCH(TRIM(A19),Products!$B$5:$B$44,0),"Not found"))</f>
        <v/>
      </c>
    </row>
    <row r="20">
      <c r="A20" s="6" t="inlineStr">
        <is>
          <t>CND-006</t>
        </is>
      </c>
      <c r="B20" s="7">
        <f>IF(A20="","",IFERROR(INDEX(Products!$A$5:$A$44,MATCH(TRIM(A20),Products!$B$5:$B$44,0)),"Not found"))</f>
        <v/>
      </c>
      <c r="C20" s="8">
        <f>IF(A20="","",IFERROR(INDEX(Products!$C$5:$C$44,MATCH(TRIM(A20),Products!$B$5:$B$44,0)),"Not found"))</f>
        <v/>
      </c>
      <c r="D20" s="9">
        <f>IF(A20="","",IFERROR(INDEX(Products!$D$5:$D$44,MATCH(TRIM(A20),Products!$B$5:$B$44,0)),"Not found"))</f>
        <v/>
      </c>
      <c r="E20" s="9">
        <f>IF(A20="","",IFERROR(VLOOKUP(A20,Products!$A$5:$D$44,1,FALSE),"Not found"))</f>
        <v/>
      </c>
      <c r="F20" s="8">
        <f>IF(A20="","",IFERROR(VLOOKUP(TRIM(A20),Products!$B$5:$D$44,2,FALSE),"Not found"))</f>
        <v/>
      </c>
      <c r="G20" s="9">
        <f>IF(A20="","",IFERROR(MATCH(TRIM(A20),Products!$B$5:$B$44,0),"Not found"))</f>
        <v/>
      </c>
    </row>
    <row r="21">
      <c r="A21" s="6" t="n"/>
      <c r="B21" s="7">
        <f>IF(A21="","",IFERROR(INDEX(Products!$A$5:$A$44,MATCH(TRIM(A21),Products!$B$5:$B$44,0)),"Not found"))</f>
        <v/>
      </c>
      <c r="C21" s="8">
        <f>IF(A21="","",IFERROR(INDEX(Products!$C$5:$C$44,MATCH(TRIM(A21),Products!$B$5:$B$44,0)),"Not found"))</f>
        <v/>
      </c>
      <c r="D21" s="9">
        <f>IF(A21="","",IFERROR(INDEX(Products!$D$5:$D$44,MATCH(TRIM(A21),Products!$B$5:$B$44,0)),"Not found"))</f>
        <v/>
      </c>
      <c r="E21" s="9">
        <f>IF(A21="","",IFERROR(VLOOKUP(A21,Products!$A$5:$D$44,1,FALSE),"Not found"))</f>
        <v/>
      </c>
      <c r="F21" s="8">
        <f>IF(A21="","",IFERROR(VLOOKUP(TRIM(A21),Products!$B$5:$D$44,2,FALSE),"Not found"))</f>
        <v/>
      </c>
      <c r="G21" s="9">
        <f>IF(A21="","",IFERROR(MATCH(TRIM(A21),Products!$B$5:$B$44,0),"Not found"))</f>
        <v/>
      </c>
    </row>
    <row r="22">
      <c r="A22" s="6" t="n"/>
      <c r="B22" s="7">
        <f>IF(A22="","",IFERROR(INDEX(Products!$A$5:$A$44,MATCH(TRIM(A22),Products!$B$5:$B$44,0)),"Not found"))</f>
        <v/>
      </c>
      <c r="C22" s="8">
        <f>IF(A22="","",IFERROR(INDEX(Products!$C$5:$C$44,MATCH(TRIM(A22),Products!$B$5:$B$44,0)),"Not found"))</f>
        <v/>
      </c>
      <c r="D22" s="9">
        <f>IF(A22="","",IFERROR(INDEX(Products!$D$5:$D$44,MATCH(TRIM(A22),Products!$B$5:$B$44,0)),"Not found"))</f>
        <v/>
      </c>
      <c r="E22" s="9">
        <f>IF(A22="","",IFERROR(VLOOKUP(A22,Products!$A$5:$D$44,1,FALSE),"Not found"))</f>
        <v/>
      </c>
      <c r="F22" s="8">
        <f>IF(A22="","",IFERROR(VLOOKUP(TRIM(A22),Products!$B$5:$D$44,2,FALSE),"Not found"))</f>
        <v/>
      </c>
      <c r="G22" s="9">
        <f>IF(A22="","",IFERROR(MATCH(TRIM(A22),Products!$B$5:$B$44,0),"Not found"))</f>
        <v/>
      </c>
    </row>
    <row r="23">
      <c r="A23" s="6" t="n"/>
      <c r="B23" s="7">
        <f>IF(A23="","",IFERROR(INDEX(Products!$A$5:$A$44,MATCH(TRIM(A23),Products!$B$5:$B$44,0)),"Not found"))</f>
        <v/>
      </c>
      <c r="C23" s="8">
        <f>IF(A23="","",IFERROR(INDEX(Products!$C$5:$C$44,MATCH(TRIM(A23),Products!$B$5:$B$44,0)),"Not found"))</f>
        <v/>
      </c>
      <c r="D23" s="9">
        <f>IF(A23="","",IFERROR(INDEX(Products!$D$5:$D$44,MATCH(TRIM(A23),Products!$B$5:$B$44,0)),"Not found"))</f>
        <v/>
      </c>
      <c r="E23" s="9">
        <f>IF(A23="","",IFERROR(VLOOKUP(A23,Products!$A$5:$D$44,1,FALSE),"Not found"))</f>
        <v/>
      </c>
      <c r="F23" s="8">
        <f>IF(A23="","",IFERROR(VLOOKUP(TRIM(A23),Products!$B$5:$D$44,2,FALSE),"Not found"))</f>
        <v/>
      </c>
      <c r="G23" s="9">
        <f>IF(A23="","",IFERROR(MATCH(TRIM(A23),Products!$B$5:$B$44,0),"Not found"))</f>
        <v/>
      </c>
    </row>
    <row r="24">
      <c r="A24" s="6" t="n"/>
      <c r="B24" s="7">
        <f>IF(A24="","",IFERROR(INDEX(Products!$A$5:$A$44,MATCH(TRIM(A24),Products!$B$5:$B$44,0)),"Not found"))</f>
        <v/>
      </c>
      <c r="C24" s="8">
        <f>IF(A24="","",IFERROR(INDEX(Products!$C$5:$C$44,MATCH(TRIM(A24),Products!$B$5:$B$44,0)),"Not found"))</f>
        <v/>
      </c>
      <c r="D24" s="9">
        <f>IF(A24="","",IFERROR(INDEX(Products!$D$5:$D$44,MATCH(TRIM(A24),Products!$B$5:$B$44,0)),"Not found"))</f>
        <v/>
      </c>
      <c r="E24" s="9">
        <f>IF(A24="","",IFERROR(VLOOKUP(A24,Products!$A$5:$D$44,1,FALSE),"Not found"))</f>
        <v/>
      </c>
      <c r="F24" s="8">
        <f>IF(A24="","",IFERROR(VLOOKUP(TRIM(A24),Products!$B$5:$D$44,2,FALSE),"Not found"))</f>
        <v/>
      </c>
      <c r="G24" s="9">
        <f>IF(A24="","",IFERROR(MATCH(TRIM(A24),Products!$B$5:$B$44,0),"Not found"))</f>
        <v/>
      </c>
    </row>
    <row r="25">
      <c r="A25" s="6" t="n"/>
      <c r="B25" s="7">
        <f>IF(A25="","",IFERROR(INDEX(Products!$A$5:$A$44,MATCH(TRIM(A25),Products!$B$5:$B$44,0)),"Not found"))</f>
        <v/>
      </c>
      <c r="C25" s="8">
        <f>IF(A25="","",IFERROR(INDEX(Products!$C$5:$C$44,MATCH(TRIM(A25),Products!$B$5:$B$44,0)),"Not found"))</f>
        <v/>
      </c>
      <c r="D25" s="9">
        <f>IF(A25="","",IFERROR(INDEX(Products!$D$5:$D$44,MATCH(TRIM(A25),Products!$B$5:$B$44,0)),"Not found"))</f>
        <v/>
      </c>
      <c r="E25" s="9">
        <f>IF(A25="","",IFERROR(VLOOKUP(A25,Products!$A$5:$D$44,1,FALSE),"Not found"))</f>
        <v/>
      </c>
      <c r="F25" s="8">
        <f>IF(A25="","",IFERROR(VLOOKUP(TRIM(A25),Products!$B$5:$D$44,2,FALSE),"Not found"))</f>
        <v/>
      </c>
      <c r="G25" s="9">
        <f>IF(A25="","",IFERROR(MATCH(TRIM(A25),Products!$B$5:$B$44,0),"Not found"))</f>
        <v/>
      </c>
    </row>
    <row r="26">
      <c r="A26" s="6" t="n"/>
      <c r="B26" s="7">
        <f>IF(A26="","",IFERROR(INDEX(Products!$A$5:$A$44,MATCH(TRIM(A26),Products!$B$5:$B$44,0)),"Not found"))</f>
        <v/>
      </c>
      <c r="C26" s="8">
        <f>IF(A26="","",IFERROR(INDEX(Products!$C$5:$C$44,MATCH(TRIM(A26),Products!$B$5:$B$44,0)),"Not found"))</f>
        <v/>
      </c>
      <c r="D26" s="9">
        <f>IF(A26="","",IFERROR(INDEX(Products!$D$5:$D$44,MATCH(TRIM(A26),Products!$B$5:$B$44,0)),"Not found"))</f>
        <v/>
      </c>
      <c r="E26" s="9">
        <f>IF(A26="","",IFERROR(VLOOKUP(A26,Products!$A$5:$D$44,1,FALSE),"Not found"))</f>
        <v/>
      </c>
      <c r="F26" s="8">
        <f>IF(A26="","",IFERROR(VLOOKUP(TRIM(A26),Products!$B$5:$D$44,2,FALSE),"Not found"))</f>
        <v/>
      </c>
      <c r="G26" s="9">
        <f>IF(A26="","",IFERROR(MATCH(TRIM(A26),Products!$B$5:$B$44,0),"Not found"))</f>
        <v/>
      </c>
    </row>
    <row r="27">
      <c r="A27" s="6" t="n"/>
      <c r="B27" s="7">
        <f>IF(A27="","",IFERROR(INDEX(Products!$A$5:$A$44,MATCH(TRIM(A27),Products!$B$5:$B$44,0)),"Not found"))</f>
        <v/>
      </c>
      <c r="C27" s="8">
        <f>IF(A27="","",IFERROR(INDEX(Products!$C$5:$C$44,MATCH(TRIM(A27),Products!$B$5:$B$44,0)),"Not found"))</f>
        <v/>
      </c>
      <c r="D27" s="9">
        <f>IF(A27="","",IFERROR(INDEX(Products!$D$5:$D$44,MATCH(TRIM(A27),Products!$B$5:$B$44,0)),"Not found"))</f>
        <v/>
      </c>
      <c r="E27" s="9">
        <f>IF(A27="","",IFERROR(VLOOKUP(A27,Products!$A$5:$D$44,1,FALSE),"Not found"))</f>
        <v/>
      </c>
      <c r="F27" s="8">
        <f>IF(A27="","",IFERROR(VLOOKUP(TRIM(A27),Products!$B$5:$D$44,2,FALSE),"Not found"))</f>
        <v/>
      </c>
      <c r="G27" s="9">
        <f>IF(A27="","",IFERROR(MATCH(TRIM(A27),Products!$B$5:$B$44,0),"Not found"))</f>
        <v/>
      </c>
    </row>
    <row r="28">
      <c r="A28" s="6" t="n"/>
      <c r="B28" s="7">
        <f>IF(A28="","",IFERROR(INDEX(Products!$A$5:$A$44,MATCH(TRIM(A28),Products!$B$5:$B$44,0)),"Not found"))</f>
        <v/>
      </c>
      <c r="C28" s="8">
        <f>IF(A28="","",IFERROR(INDEX(Products!$C$5:$C$44,MATCH(TRIM(A28),Products!$B$5:$B$44,0)),"Not found"))</f>
        <v/>
      </c>
      <c r="D28" s="9">
        <f>IF(A28="","",IFERROR(INDEX(Products!$D$5:$D$44,MATCH(TRIM(A28),Products!$B$5:$B$44,0)),"Not found"))</f>
        <v/>
      </c>
      <c r="E28" s="9">
        <f>IF(A28="","",IFERROR(VLOOKUP(A28,Products!$A$5:$D$44,1,FALSE),"Not found"))</f>
        <v/>
      </c>
      <c r="F28" s="8">
        <f>IF(A28="","",IFERROR(VLOOKUP(TRIM(A28),Products!$B$5:$D$44,2,FALSE),"Not found"))</f>
        <v/>
      </c>
      <c r="G28" s="9">
        <f>IF(A28="","",IFERROR(MATCH(TRIM(A28),Products!$B$5:$B$44,0),"Not found"))</f>
        <v/>
      </c>
    </row>
    <row r="29">
      <c r="A29" s="6" t="n"/>
      <c r="B29" s="7">
        <f>IF(A29="","",IFERROR(INDEX(Products!$A$5:$A$44,MATCH(TRIM(A29),Products!$B$5:$B$44,0)),"Not found"))</f>
        <v/>
      </c>
      <c r="C29" s="8">
        <f>IF(A29="","",IFERROR(INDEX(Products!$C$5:$C$44,MATCH(TRIM(A29),Products!$B$5:$B$44,0)),"Not found"))</f>
        <v/>
      </c>
      <c r="D29" s="9">
        <f>IF(A29="","",IFERROR(INDEX(Products!$D$5:$D$44,MATCH(TRIM(A29),Products!$B$5:$B$44,0)),"Not found"))</f>
        <v/>
      </c>
      <c r="E29" s="9">
        <f>IF(A29="","",IFERROR(VLOOKUP(A29,Products!$A$5:$D$44,1,FALSE),"Not found"))</f>
        <v/>
      </c>
      <c r="F29" s="8">
        <f>IF(A29="","",IFERROR(VLOOKUP(TRIM(A29),Products!$B$5:$D$44,2,FALSE),"Not found"))</f>
        <v/>
      </c>
      <c r="G29" s="9">
        <f>IF(A29="","",IFERROR(MATCH(TRIM(A29),Products!$B$5:$B$44,0),"Not found"))</f>
        <v/>
      </c>
    </row>
    <row r="30">
      <c r="A30" s="6" t="n"/>
      <c r="B30" s="7">
        <f>IF(A30="","",IFERROR(INDEX(Products!$A$5:$A$44,MATCH(TRIM(A30),Products!$B$5:$B$44,0)),"Not found"))</f>
        <v/>
      </c>
      <c r="C30" s="8">
        <f>IF(A30="","",IFERROR(INDEX(Products!$C$5:$C$44,MATCH(TRIM(A30),Products!$B$5:$B$44,0)),"Not found"))</f>
        <v/>
      </c>
      <c r="D30" s="9">
        <f>IF(A30="","",IFERROR(INDEX(Products!$D$5:$D$44,MATCH(TRIM(A30),Products!$B$5:$B$44,0)),"Not found"))</f>
        <v/>
      </c>
      <c r="E30" s="9">
        <f>IF(A30="","",IFERROR(VLOOKUP(A30,Products!$A$5:$D$44,1,FALSE),"Not found"))</f>
        <v/>
      </c>
      <c r="F30" s="8">
        <f>IF(A30="","",IFERROR(VLOOKUP(TRIM(A30),Products!$B$5:$D$44,2,FALSE),"Not found"))</f>
        <v/>
      </c>
      <c r="G30" s="9">
        <f>IF(A30="","",IFERROR(MATCH(TRIM(A30),Products!$B$5:$B$44,0),"Not found"))</f>
        <v/>
      </c>
    </row>
    <row r="31">
      <c r="A31" s="6" t="n"/>
      <c r="B31" s="7">
        <f>IF(A31="","",IFERROR(INDEX(Products!$A$5:$A$44,MATCH(TRIM(A31),Products!$B$5:$B$44,0)),"Not found"))</f>
        <v/>
      </c>
      <c r="C31" s="8">
        <f>IF(A31="","",IFERROR(INDEX(Products!$C$5:$C$44,MATCH(TRIM(A31),Products!$B$5:$B$44,0)),"Not found"))</f>
        <v/>
      </c>
      <c r="D31" s="9">
        <f>IF(A31="","",IFERROR(INDEX(Products!$D$5:$D$44,MATCH(TRIM(A31),Products!$B$5:$B$44,0)),"Not found"))</f>
        <v/>
      </c>
      <c r="E31" s="9">
        <f>IF(A31="","",IFERROR(VLOOKUP(A31,Products!$A$5:$D$44,1,FALSE),"Not found"))</f>
        <v/>
      </c>
      <c r="F31" s="8">
        <f>IF(A31="","",IFERROR(VLOOKUP(TRIM(A31),Products!$B$5:$D$44,2,FALSE),"Not found"))</f>
        <v/>
      </c>
      <c r="G31" s="9">
        <f>IF(A31="","",IFERROR(MATCH(TRIM(A31),Products!$B$5:$B$44,0),"Not found"))</f>
        <v/>
      </c>
    </row>
    <row r="32">
      <c r="A32" s="6" t="n"/>
      <c r="B32" s="7">
        <f>IF(A32="","",IFERROR(INDEX(Products!$A$5:$A$44,MATCH(TRIM(A32),Products!$B$5:$B$44,0)),"Not found"))</f>
        <v/>
      </c>
      <c r="C32" s="8">
        <f>IF(A32="","",IFERROR(INDEX(Products!$C$5:$C$44,MATCH(TRIM(A32),Products!$B$5:$B$44,0)),"Not found"))</f>
        <v/>
      </c>
      <c r="D32" s="9">
        <f>IF(A32="","",IFERROR(INDEX(Products!$D$5:$D$44,MATCH(TRIM(A32),Products!$B$5:$B$44,0)),"Not found"))</f>
        <v/>
      </c>
      <c r="E32" s="9">
        <f>IF(A32="","",IFERROR(VLOOKUP(A32,Products!$A$5:$D$44,1,FALSE),"Not found"))</f>
        <v/>
      </c>
      <c r="F32" s="8">
        <f>IF(A32="","",IFERROR(VLOOKUP(TRIM(A32),Products!$B$5:$D$44,2,FALSE),"Not found"))</f>
        <v/>
      </c>
      <c r="G32" s="9">
        <f>IF(A32="","",IFERROR(MATCH(TRIM(A32),Products!$B$5:$B$44,0),"Not found"))</f>
        <v/>
      </c>
    </row>
    <row r="33">
      <c r="A33" s="6" t="n"/>
      <c r="B33" s="7">
        <f>IF(A33="","",IFERROR(INDEX(Products!$A$5:$A$44,MATCH(TRIM(A33),Products!$B$5:$B$44,0)),"Not found"))</f>
        <v/>
      </c>
      <c r="C33" s="8">
        <f>IF(A33="","",IFERROR(INDEX(Products!$C$5:$C$44,MATCH(TRIM(A33),Products!$B$5:$B$44,0)),"Not found"))</f>
        <v/>
      </c>
      <c r="D33" s="9">
        <f>IF(A33="","",IFERROR(INDEX(Products!$D$5:$D$44,MATCH(TRIM(A33),Products!$B$5:$B$44,0)),"Not found"))</f>
        <v/>
      </c>
      <c r="E33" s="9">
        <f>IF(A33="","",IFERROR(VLOOKUP(A33,Products!$A$5:$D$44,1,FALSE),"Not found"))</f>
        <v/>
      </c>
      <c r="F33" s="8">
        <f>IF(A33="","",IFERROR(VLOOKUP(TRIM(A33),Products!$B$5:$D$44,2,FALSE),"Not found"))</f>
        <v/>
      </c>
      <c r="G33" s="9">
        <f>IF(A33="","",IFERROR(MATCH(TRIM(A33),Products!$B$5:$B$44,0),"Not found"))</f>
        <v/>
      </c>
    </row>
    <row r="34">
      <c r="A34" s="6" t="n"/>
      <c r="B34" s="7">
        <f>IF(A34="","",IFERROR(INDEX(Products!$A$5:$A$44,MATCH(TRIM(A34),Products!$B$5:$B$44,0)),"Not found"))</f>
        <v/>
      </c>
      <c r="C34" s="8">
        <f>IF(A34="","",IFERROR(INDEX(Products!$C$5:$C$44,MATCH(TRIM(A34),Products!$B$5:$B$44,0)),"Not found"))</f>
        <v/>
      </c>
      <c r="D34" s="9">
        <f>IF(A34="","",IFERROR(INDEX(Products!$D$5:$D$44,MATCH(TRIM(A34),Products!$B$5:$B$44,0)),"Not found"))</f>
        <v/>
      </c>
      <c r="E34" s="9">
        <f>IF(A34="","",IFERROR(VLOOKUP(A34,Products!$A$5:$D$44,1,FALSE),"Not found"))</f>
        <v/>
      </c>
      <c r="F34" s="8">
        <f>IF(A34="","",IFERROR(VLOOKUP(TRIM(A34),Products!$B$5:$D$44,2,FALSE),"Not found"))</f>
        <v/>
      </c>
      <c r="G34" s="9">
        <f>IF(A34="","",IFERROR(MATCH(TRIM(A34),Products!$B$5:$B$44,0),"Not found"))</f>
        <v/>
      </c>
    </row>
    <row r="35">
      <c r="A35" s="6" t="n"/>
      <c r="B35" s="7">
        <f>IF(A35="","",IFERROR(INDEX(Products!$A$5:$A$44,MATCH(TRIM(A35),Products!$B$5:$B$44,0)),"Not found"))</f>
        <v/>
      </c>
      <c r="C35" s="8">
        <f>IF(A35="","",IFERROR(INDEX(Products!$C$5:$C$44,MATCH(TRIM(A35),Products!$B$5:$B$44,0)),"Not found"))</f>
        <v/>
      </c>
      <c r="D35" s="9">
        <f>IF(A35="","",IFERROR(INDEX(Products!$D$5:$D$44,MATCH(TRIM(A35),Products!$B$5:$B$44,0)),"Not found"))</f>
        <v/>
      </c>
      <c r="E35" s="9">
        <f>IF(A35="","",IFERROR(VLOOKUP(A35,Products!$A$5:$D$44,1,FALSE),"Not found"))</f>
        <v/>
      </c>
      <c r="F35" s="8">
        <f>IF(A35="","",IFERROR(VLOOKUP(TRIM(A35),Products!$B$5:$D$44,2,FALSE),"Not found"))</f>
        <v/>
      </c>
      <c r="G35" s="9">
        <f>IF(A35="","",IFERROR(MATCH(TRIM(A35),Products!$B$5:$B$44,0),"Not found"))</f>
        <v/>
      </c>
    </row>
    <row r="36">
      <c r="A36" s="6" t="n"/>
      <c r="B36" s="7">
        <f>IF(A36="","",IFERROR(INDEX(Products!$A$5:$A$44,MATCH(TRIM(A36),Products!$B$5:$B$44,0)),"Not found"))</f>
        <v/>
      </c>
      <c r="C36" s="8">
        <f>IF(A36="","",IFERROR(INDEX(Products!$C$5:$C$44,MATCH(TRIM(A36),Products!$B$5:$B$44,0)),"Not found"))</f>
        <v/>
      </c>
      <c r="D36" s="9">
        <f>IF(A36="","",IFERROR(INDEX(Products!$D$5:$D$44,MATCH(TRIM(A36),Products!$B$5:$B$44,0)),"Not found"))</f>
        <v/>
      </c>
      <c r="E36" s="9">
        <f>IF(A36="","",IFERROR(VLOOKUP(A36,Products!$A$5:$D$44,1,FALSE),"Not found"))</f>
        <v/>
      </c>
      <c r="F36" s="8">
        <f>IF(A36="","",IFERROR(VLOOKUP(TRIM(A36),Products!$B$5:$D$44,2,FALSE),"Not found"))</f>
        <v/>
      </c>
      <c r="G36" s="9">
        <f>IF(A36="","",IFERROR(MATCH(TRIM(A36),Products!$B$5:$B$44,0),"Not found"))</f>
        <v/>
      </c>
    </row>
    <row r="37">
      <c r="A37" s="6" t="n"/>
      <c r="B37" s="7">
        <f>IF(A37="","",IFERROR(INDEX(Products!$A$5:$A$44,MATCH(TRIM(A37),Products!$B$5:$B$44,0)),"Not found"))</f>
        <v/>
      </c>
      <c r="C37" s="8">
        <f>IF(A37="","",IFERROR(INDEX(Products!$C$5:$C$44,MATCH(TRIM(A37),Products!$B$5:$B$44,0)),"Not found"))</f>
        <v/>
      </c>
      <c r="D37" s="9">
        <f>IF(A37="","",IFERROR(INDEX(Products!$D$5:$D$44,MATCH(TRIM(A37),Products!$B$5:$B$44,0)),"Not found"))</f>
        <v/>
      </c>
      <c r="E37" s="9">
        <f>IF(A37="","",IFERROR(VLOOKUP(A37,Products!$A$5:$D$44,1,FALSE),"Not found"))</f>
        <v/>
      </c>
      <c r="F37" s="8">
        <f>IF(A37="","",IFERROR(VLOOKUP(TRIM(A37),Products!$B$5:$D$44,2,FALSE),"Not found"))</f>
        <v/>
      </c>
      <c r="G37" s="9">
        <f>IF(A37="","",IFERROR(MATCH(TRIM(A37),Products!$B$5:$B$44,0),"Not found"))</f>
        <v/>
      </c>
    </row>
    <row r="38">
      <c r="A38" s="6" t="n"/>
      <c r="B38" s="7">
        <f>IF(A38="","",IFERROR(INDEX(Products!$A$5:$A$44,MATCH(TRIM(A38),Products!$B$5:$B$44,0)),"Not found"))</f>
        <v/>
      </c>
      <c r="C38" s="8">
        <f>IF(A38="","",IFERROR(INDEX(Products!$C$5:$C$44,MATCH(TRIM(A38),Products!$B$5:$B$44,0)),"Not found"))</f>
        <v/>
      </c>
      <c r="D38" s="9">
        <f>IF(A38="","",IFERROR(INDEX(Products!$D$5:$D$44,MATCH(TRIM(A38),Products!$B$5:$B$44,0)),"Not found"))</f>
        <v/>
      </c>
      <c r="E38" s="9">
        <f>IF(A38="","",IFERROR(VLOOKUP(A38,Products!$A$5:$D$44,1,FALSE),"Not found"))</f>
        <v/>
      </c>
      <c r="F38" s="8">
        <f>IF(A38="","",IFERROR(VLOOKUP(TRIM(A38),Products!$B$5:$D$44,2,FALSE),"Not found"))</f>
        <v/>
      </c>
      <c r="G38" s="9">
        <f>IF(A38="","",IFERROR(MATCH(TRIM(A38),Products!$B$5:$B$44,0),"Not found"))</f>
        <v/>
      </c>
    </row>
    <row r="39">
      <c r="A39" s="6" t="n"/>
      <c r="B39" s="7">
        <f>IF(A39="","",IFERROR(INDEX(Products!$A$5:$A$44,MATCH(TRIM(A39),Products!$B$5:$B$44,0)),"Not found"))</f>
        <v/>
      </c>
      <c r="C39" s="8">
        <f>IF(A39="","",IFERROR(INDEX(Products!$C$5:$C$44,MATCH(TRIM(A39),Products!$B$5:$B$44,0)),"Not found"))</f>
        <v/>
      </c>
      <c r="D39" s="9">
        <f>IF(A39="","",IFERROR(INDEX(Products!$D$5:$D$44,MATCH(TRIM(A39),Products!$B$5:$B$44,0)),"Not found"))</f>
        <v/>
      </c>
      <c r="E39" s="9">
        <f>IF(A39="","",IFERROR(VLOOKUP(A39,Products!$A$5:$D$44,1,FALSE),"Not found"))</f>
        <v/>
      </c>
      <c r="F39" s="8">
        <f>IF(A39="","",IFERROR(VLOOKUP(TRIM(A39),Products!$B$5:$D$44,2,FALSE),"Not found"))</f>
        <v/>
      </c>
      <c r="G39" s="9">
        <f>IF(A39="","",IFERROR(MATCH(TRIM(A39),Products!$B$5:$B$44,0),"Not found"))</f>
        <v/>
      </c>
    </row>
    <row r="40">
      <c r="A40" s="6" t="n"/>
      <c r="B40" s="7">
        <f>IF(A40="","",IFERROR(INDEX(Products!$A$5:$A$44,MATCH(TRIM(A40),Products!$B$5:$B$44,0)),"Not found"))</f>
        <v/>
      </c>
      <c r="C40" s="8">
        <f>IF(A40="","",IFERROR(INDEX(Products!$C$5:$C$44,MATCH(TRIM(A40),Products!$B$5:$B$44,0)),"Not found"))</f>
        <v/>
      </c>
      <c r="D40" s="9">
        <f>IF(A40="","",IFERROR(INDEX(Products!$D$5:$D$44,MATCH(TRIM(A40),Products!$B$5:$B$44,0)),"Not found"))</f>
        <v/>
      </c>
      <c r="E40" s="9">
        <f>IF(A40="","",IFERROR(VLOOKUP(A40,Products!$A$5:$D$44,1,FALSE),"Not found"))</f>
        <v/>
      </c>
      <c r="F40" s="8">
        <f>IF(A40="","",IFERROR(VLOOKUP(TRIM(A40),Products!$B$5:$D$44,2,FALSE),"Not found"))</f>
        <v/>
      </c>
      <c r="G40" s="9">
        <f>IF(A40="","",IFERROR(MATCH(TRIM(A40),Products!$B$5:$B$44,0),"Not found"))</f>
        <v/>
      </c>
    </row>
    <row r="41">
      <c r="A41" s="6" t="n"/>
      <c r="B41" s="7">
        <f>IF(A41="","",IFERROR(INDEX(Products!$A$5:$A$44,MATCH(TRIM(A41),Products!$B$5:$B$44,0)),"Not found"))</f>
        <v/>
      </c>
      <c r="C41" s="8">
        <f>IF(A41="","",IFERROR(INDEX(Products!$C$5:$C$44,MATCH(TRIM(A41),Products!$B$5:$B$44,0)),"Not found"))</f>
        <v/>
      </c>
      <c r="D41" s="9">
        <f>IF(A41="","",IFERROR(INDEX(Products!$D$5:$D$44,MATCH(TRIM(A41),Products!$B$5:$B$44,0)),"Not found"))</f>
        <v/>
      </c>
      <c r="E41" s="9">
        <f>IF(A41="","",IFERROR(VLOOKUP(A41,Products!$A$5:$D$44,1,FALSE),"Not found"))</f>
        <v/>
      </c>
      <c r="F41" s="8">
        <f>IF(A41="","",IFERROR(VLOOKUP(TRIM(A41),Products!$B$5:$D$44,2,FALSE),"Not found"))</f>
        <v/>
      </c>
      <c r="G41" s="9">
        <f>IF(A41="","",IFERROR(MATCH(TRIM(A41),Products!$B$5:$B$44,0),"Not found"))</f>
        <v/>
      </c>
    </row>
    <row r="42">
      <c r="A42" s="6" t="n"/>
      <c r="B42" s="7">
        <f>IF(A42="","",IFERROR(INDEX(Products!$A$5:$A$44,MATCH(TRIM(A42),Products!$B$5:$B$44,0)),"Not found"))</f>
        <v/>
      </c>
      <c r="C42" s="8">
        <f>IF(A42="","",IFERROR(INDEX(Products!$C$5:$C$44,MATCH(TRIM(A42),Products!$B$5:$B$44,0)),"Not found"))</f>
        <v/>
      </c>
      <c r="D42" s="9">
        <f>IF(A42="","",IFERROR(INDEX(Products!$D$5:$D$44,MATCH(TRIM(A42),Products!$B$5:$B$44,0)),"Not found"))</f>
        <v/>
      </c>
      <c r="E42" s="9">
        <f>IF(A42="","",IFERROR(VLOOKUP(A42,Products!$A$5:$D$44,1,FALSE),"Not found"))</f>
        <v/>
      </c>
      <c r="F42" s="8">
        <f>IF(A42="","",IFERROR(VLOOKUP(TRIM(A42),Products!$B$5:$D$44,2,FALSE),"Not found"))</f>
        <v/>
      </c>
      <c r="G42" s="9">
        <f>IF(A42="","",IFERROR(MATCH(TRIM(A42),Products!$B$5:$B$44,0),"Not found"))</f>
        <v/>
      </c>
    </row>
    <row r="43">
      <c r="A43" s="6" t="n"/>
      <c r="B43" s="7">
        <f>IF(A43="","",IFERROR(INDEX(Products!$A$5:$A$44,MATCH(TRIM(A43),Products!$B$5:$B$44,0)),"Not found"))</f>
        <v/>
      </c>
      <c r="C43" s="8">
        <f>IF(A43="","",IFERROR(INDEX(Products!$C$5:$C$44,MATCH(TRIM(A43),Products!$B$5:$B$44,0)),"Not found"))</f>
        <v/>
      </c>
      <c r="D43" s="9">
        <f>IF(A43="","",IFERROR(INDEX(Products!$D$5:$D$44,MATCH(TRIM(A43),Products!$B$5:$B$44,0)),"Not found"))</f>
        <v/>
      </c>
      <c r="E43" s="9">
        <f>IF(A43="","",IFERROR(VLOOKUP(A43,Products!$A$5:$D$44,1,FALSE),"Not found"))</f>
        <v/>
      </c>
      <c r="F43" s="8">
        <f>IF(A43="","",IFERROR(VLOOKUP(TRIM(A43),Products!$B$5:$D$44,2,FALSE),"Not found"))</f>
        <v/>
      </c>
      <c r="G43" s="9">
        <f>IF(A43="","",IFERROR(MATCH(TRIM(A43),Products!$B$5:$B$44,0),"Not found"))</f>
        <v/>
      </c>
    </row>
    <row r="44">
      <c r="A44" s="6" t="n"/>
      <c r="B44" s="7">
        <f>IF(A44="","",IFERROR(INDEX(Products!$A$5:$A$44,MATCH(TRIM(A44),Products!$B$5:$B$44,0)),"Not found"))</f>
        <v/>
      </c>
      <c r="C44" s="8">
        <f>IF(A44="","",IFERROR(INDEX(Products!$C$5:$C$44,MATCH(TRIM(A44),Products!$B$5:$B$44,0)),"Not found"))</f>
        <v/>
      </c>
      <c r="D44" s="9">
        <f>IF(A44="","",IFERROR(INDEX(Products!$D$5:$D$44,MATCH(TRIM(A44),Products!$B$5:$B$44,0)),"Not found"))</f>
        <v/>
      </c>
      <c r="E44" s="9">
        <f>IF(A44="","",IFERROR(VLOOKUP(A44,Products!$A$5:$D$44,1,FALSE),"Not found"))</f>
        <v/>
      </c>
      <c r="F44" s="8">
        <f>IF(A44="","",IFERROR(VLOOKUP(TRIM(A44),Products!$B$5:$D$44,2,FALSE),"Not found"))</f>
        <v/>
      </c>
      <c r="G44" s="9">
        <f>IF(A44="","",IFERROR(MATCH(TRIM(A44),Products!$B$5:$B$44,0),"Not found"))</f>
        <v/>
      </c>
    </row>
    <row r="45">
      <c r="A45" s="6" t="n"/>
      <c r="B45" s="7">
        <f>IF(A45="","",IFERROR(INDEX(Products!$A$5:$A$44,MATCH(TRIM(A45),Products!$B$5:$B$44,0)),"Not found"))</f>
        <v/>
      </c>
      <c r="C45" s="8">
        <f>IF(A45="","",IFERROR(INDEX(Products!$C$5:$C$44,MATCH(TRIM(A45),Products!$B$5:$B$44,0)),"Not found"))</f>
        <v/>
      </c>
      <c r="D45" s="9">
        <f>IF(A45="","",IFERROR(INDEX(Products!$D$5:$D$44,MATCH(TRIM(A45),Products!$B$5:$B$44,0)),"Not found"))</f>
        <v/>
      </c>
      <c r="E45" s="9">
        <f>IF(A45="","",IFERROR(VLOOKUP(A45,Products!$A$5:$D$44,1,FALSE),"Not found"))</f>
        <v/>
      </c>
      <c r="F45" s="8">
        <f>IF(A45="","",IFERROR(VLOOKUP(TRIM(A45),Products!$B$5:$D$44,2,FALSE),"Not found"))</f>
        <v/>
      </c>
      <c r="G45" s="9">
        <f>IF(A45="","",IFERROR(MATCH(TRIM(A45),Products!$B$5:$B$44,0),"Not found"))</f>
        <v/>
      </c>
    </row>
    <row r="46">
      <c r="A46" s="6" t="n"/>
      <c r="B46" s="7">
        <f>IF(A46="","",IFERROR(INDEX(Products!$A$5:$A$44,MATCH(TRIM(A46),Products!$B$5:$B$44,0)),"Not found"))</f>
        <v/>
      </c>
      <c r="C46" s="8">
        <f>IF(A46="","",IFERROR(INDEX(Products!$C$5:$C$44,MATCH(TRIM(A46),Products!$B$5:$B$44,0)),"Not found"))</f>
        <v/>
      </c>
      <c r="D46" s="9">
        <f>IF(A46="","",IFERROR(INDEX(Products!$D$5:$D$44,MATCH(TRIM(A46),Products!$B$5:$B$44,0)),"Not found"))</f>
        <v/>
      </c>
      <c r="E46" s="9">
        <f>IF(A46="","",IFERROR(VLOOKUP(A46,Products!$A$5:$D$44,1,FALSE),"Not found"))</f>
        <v/>
      </c>
      <c r="F46" s="8">
        <f>IF(A46="","",IFERROR(VLOOKUP(TRIM(A46),Products!$B$5:$D$44,2,FALSE),"Not found"))</f>
        <v/>
      </c>
      <c r="G46" s="9">
        <f>IF(A46="","",IFERROR(MATCH(TRIM(A46),Products!$B$5:$B$44,0),"Not found"))</f>
        <v/>
      </c>
    </row>
    <row r="47">
      <c r="A47" s="6" t="n"/>
      <c r="B47" s="7">
        <f>IF(A47="","",IFERROR(INDEX(Products!$A$5:$A$44,MATCH(TRIM(A47),Products!$B$5:$B$44,0)),"Not found"))</f>
        <v/>
      </c>
      <c r="C47" s="8">
        <f>IF(A47="","",IFERROR(INDEX(Products!$C$5:$C$44,MATCH(TRIM(A47),Products!$B$5:$B$44,0)),"Not found"))</f>
        <v/>
      </c>
      <c r="D47" s="9">
        <f>IF(A47="","",IFERROR(INDEX(Products!$D$5:$D$44,MATCH(TRIM(A47),Products!$B$5:$B$44,0)),"Not found"))</f>
        <v/>
      </c>
      <c r="E47" s="9">
        <f>IF(A47="","",IFERROR(VLOOKUP(A47,Products!$A$5:$D$44,1,FALSE),"Not found"))</f>
        <v/>
      </c>
      <c r="F47" s="8">
        <f>IF(A47="","",IFERROR(VLOOKUP(TRIM(A47),Products!$B$5:$D$44,2,FALSE),"Not found"))</f>
        <v/>
      </c>
      <c r="G47" s="9">
        <f>IF(A47="","",IFERROR(MATCH(TRIM(A47),Products!$B$5:$B$44,0),"Not found"))</f>
        <v/>
      </c>
    </row>
    <row r="48">
      <c r="A48" s="6" t="n"/>
      <c r="B48" s="7">
        <f>IF(A48="","",IFERROR(INDEX(Products!$A$5:$A$44,MATCH(TRIM(A48),Products!$B$5:$B$44,0)),"Not found"))</f>
        <v/>
      </c>
      <c r="C48" s="8">
        <f>IF(A48="","",IFERROR(INDEX(Products!$C$5:$C$44,MATCH(TRIM(A48),Products!$B$5:$B$44,0)),"Not found"))</f>
        <v/>
      </c>
      <c r="D48" s="9">
        <f>IF(A48="","",IFERROR(INDEX(Products!$D$5:$D$44,MATCH(TRIM(A48),Products!$B$5:$B$44,0)),"Not found"))</f>
        <v/>
      </c>
      <c r="E48" s="9">
        <f>IF(A48="","",IFERROR(VLOOKUP(A48,Products!$A$5:$D$44,1,FALSE),"Not found"))</f>
        <v/>
      </c>
      <c r="F48" s="8">
        <f>IF(A48="","",IFERROR(VLOOKUP(TRIM(A48),Products!$B$5:$D$44,2,FALSE),"Not found"))</f>
        <v/>
      </c>
      <c r="G48" s="9">
        <f>IF(A48="","",IFERROR(MATCH(TRIM(A48),Products!$B$5:$B$44,0),"Not found"))</f>
        <v/>
      </c>
    </row>
    <row r="49">
      <c r="A49" s="6" t="n"/>
      <c r="B49" s="7">
        <f>IF(A49="","",IFERROR(INDEX(Products!$A$5:$A$44,MATCH(TRIM(A49),Products!$B$5:$B$44,0)),"Not found"))</f>
        <v/>
      </c>
      <c r="C49" s="8">
        <f>IF(A49="","",IFERROR(INDEX(Products!$C$5:$C$44,MATCH(TRIM(A49),Products!$B$5:$B$44,0)),"Not found"))</f>
        <v/>
      </c>
      <c r="D49" s="9">
        <f>IF(A49="","",IFERROR(INDEX(Products!$D$5:$D$44,MATCH(TRIM(A49),Products!$B$5:$B$44,0)),"Not found"))</f>
        <v/>
      </c>
      <c r="E49" s="9">
        <f>IF(A49="","",IFERROR(VLOOKUP(A49,Products!$A$5:$D$44,1,FALSE),"Not found"))</f>
        <v/>
      </c>
      <c r="F49" s="8">
        <f>IF(A49="","",IFERROR(VLOOKUP(TRIM(A49),Products!$B$5:$D$44,2,FALSE),"Not found"))</f>
        <v/>
      </c>
      <c r="G49" s="9">
        <f>IF(A49="","",IFERROR(MATCH(TRIM(A49),Products!$B$5:$B$44,0),"Not found"))</f>
        <v/>
      </c>
    </row>
    <row r="50">
      <c r="A50" s="6" t="n"/>
      <c r="B50" s="7">
        <f>IF(A50="","",IFERROR(INDEX(Products!$A$5:$A$44,MATCH(TRIM(A50),Products!$B$5:$B$44,0)),"Not found"))</f>
        <v/>
      </c>
      <c r="C50" s="8">
        <f>IF(A50="","",IFERROR(INDEX(Products!$C$5:$C$44,MATCH(TRIM(A50),Products!$B$5:$B$44,0)),"Not found"))</f>
        <v/>
      </c>
      <c r="D50" s="9">
        <f>IF(A50="","",IFERROR(INDEX(Products!$D$5:$D$44,MATCH(TRIM(A50),Products!$B$5:$B$44,0)),"Not found"))</f>
        <v/>
      </c>
      <c r="E50" s="9">
        <f>IF(A50="","",IFERROR(VLOOKUP(A50,Products!$A$5:$D$44,1,FALSE),"Not found"))</f>
        <v/>
      </c>
      <c r="F50" s="8">
        <f>IF(A50="","",IFERROR(VLOOKUP(TRIM(A50),Products!$B$5:$D$44,2,FALSE),"Not found"))</f>
        <v/>
      </c>
      <c r="G50" s="9">
        <f>IF(A50="","",IFERROR(MATCH(TRIM(A50),Products!$B$5:$B$44,0),"Not found"))</f>
        <v/>
      </c>
    </row>
    <row r="51">
      <c r="A51" s="6" t="n"/>
      <c r="B51" s="7">
        <f>IF(A51="","",IFERROR(INDEX(Products!$A$5:$A$44,MATCH(TRIM(A51),Products!$B$5:$B$44,0)),"Not found"))</f>
        <v/>
      </c>
      <c r="C51" s="8">
        <f>IF(A51="","",IFERROR(INDEX(Products!$C$5:$C$44,MATCH(TRIM(A51),Products!$B$5:$B$44,0)),"Not found"))</f>
        <v/>
      </c>
      <c r="D51" s="9">
        <f>IF(A51="","",IFERROR(INDEX(Products!$D$5:$D$44,MATCH(TRIM(A51),Products!$B$5:$B$44,0)),"Not found"))</f>
        <v/>
      </c>
      <c r="E51" s="9">
        <f>IF(A51="","",IFERROR(VLOOKUP(A51,Products!$A$5:$D$44,1,FALSE),"Not found"))</f>
        <v/>
      </c>
      <c r="F51" s="8">
        <f>IF(A51="","",IFERROR(VLOOKUP(TRIM(A51),Products!$B$5:$D$44,2,FALSE),"Not found"))</f>
        <v/>
      </c>
      <c r="G51" s="9">
        <f>IF(A51="","",IFERROR(MATCH(TRIM(A51),Products!$B$5:$B$44,0),"Not found"))</f>
        <v/>
      </c>
    </row>
    <row r="52">
      <c r="A52" s="6" t="n"/>
      <c r="B52" s="7">
        <f>IF(A52="","",IFERROR(INDEX(Products!$A$5:$A$44,MATCH(TRIM(A52),Products!$B$5:$B$44,0)),"Not found"))</f>
        <v/>
      </c>
      <c r="C52" s="8">
        <f>IF(A52="","",IFERROR(INDEX(Products!$C$5:$C$44,MATCH(TRIM(A52),Products!$B$5:$B$44,0)),"Not found"))</f>
        <v/>
      </c>
      <c r="D52" s="9">
        <f>IF(A52="","",IFERROR(INDEX(Products!$D$5:$D$44,MATCH(TRIM(A52),Products!$B$5:$B$44,0)),"Not found"))</f>
        <v/>
      </c>
      <c r="E52" s="9">
        <f>IF(A52="","",IFERROR(VLOOKUP(A52,Products!$A$5:$D$44,1,FALSE),"Not found"))</f>
        <v/>
      </c>
      <c r="F52" s="8">
        <f>IF(A52="","",IFERROR(VLOOKUP(TRIM(A52),Products!$B$5:$D$44,2,FALSE),"Not found"))</f>
        <v/>
      </c>
      <c r="G52" s="9">
        <f>IF(A52="","",IFERROR(MATCH(TRIM(A52),Products!$B$5:$B$44,0),"Not found"))</f>
        <v/>
      </c>
    </row>
    <row r="53">
      <c r="A53" s="6" t="n"/>
      <c r="B53" s="7">
        <f>IF(A53="","",IFERROR(INDEX(Products!$A$5:$A$44,MATCH(TRIM(A53),Products!$B$5:$B$44,0)),"Not found"))</f>
        <v/>
      </c>
      <c r="C53" s="8">
        <f>IF(A53="","",IFERROR(INDEX(Products!$C$5:$C$44,MATCH(TRIM(A53),Products!$B$5:$B$44,0)),"Not found"))</f>
        <v/>
      </c>
      <c r="D53" s="9">
        <f>IF(A53="","",IFERROR(INDEX(Products!$D$5:$D$44,MATCH(TRIM(A53),Products!$B$5:$B$44,0)),"Not found"))</f>
        <v/>
      </c>
      <c r="E53" s="9">
        <f>IF(A53="","",IFERROR(VLOOKUP(A53,Products!$A$5:$D$44,1,FALSE),"Not found"))</f>
        <v/>
      </c>
      <c r="F53" s="8">
        <f>IF(A53="","",IFERROR(VLOOKUP(TRIM(A53),Products!$B$5:$D$44,2,FALSE),"Not found"))</f>
        <v/>
      </c>
      <c r="G53" s="9">
        <f>IF(A53="","",IFERROR(MATCH(TRIM(A53),Products!$B$5:$B$44,0),"Not found"))</f>
        <v/>
      </c>
    </row>
    <row r="54">
      <c r="A54" s="6" t="n"/>
      <c r="B54" s="7">
        <f>IF(A54="","",IFERROR(INDEX(Products!$A$5:$A$44,MATCH(TRIM(A54),Products!$B$5:$B$44,0)),"Not found"))</f>
        <v/>
      </c>
      <c r="C54" s="8">
        <f>IF(A54="","",IFERROR(INDEX(Products!$C$5:$C$44,MATCH(TRIM(A54),Products!$B$5:$B$44,0)),"Not found"))</f>
        <v/>
      </c>
      <c r="D54" s="9">
        <f>IF(A54="","",IFERROR(INDEX(Products!$D$5:$D$44,MATCH(TRIM(A54),Products!$B$5:$B$44,0)),"Not found"))</f>
        <v/>
      </c>
      <c r="E54" s="9">
        <f>IF(A54="","",IFERROR(VLOOKUP(A54,Products!$A$5:$D$44,1,FALSE),"Not found"))</f>
        <v/>
      </c>
      <c r="F54" s="8">
        <f>IF(A54="","",IFERROR(VLOOKUP(TRIM(A54),Products!$B$5:$D$44,2,FALSE),"Not found"))</f>
        <v/>
      </c>
      <c r="G54" s="9">
        <f>IF(A54="","",IFERROR(MATCH(TRIM(A54),Products!$B$5:$B$44,0),"Not found"))</f>
        <v/>
      </c>
    </row>
    <row r="55">
      <c r="A55" s="6" t="n"/>
      <c r="B55" s="7">
        <f>IF(A55="","",IFERROR(INDEX(Products!$A$5:$A$44,MATCH(TRIM(A55),Products!$B$5:$B$44,0)),"Not found"))</f>
        <v/>
      </c>
      <c r="C55" s="8">
        <f>IF(A55="","",IFERROR(INDEX(Products!$C$5:$C$44,MATCH(TRIM(A55),Products!$B$5:$B$44,0)),"Not found"))</f>
        <v/>
      </c>
      <c r="D55" s="9">
        <f>IF(A55="","",IFERROR(INDEX(Products!$D$5:$D$44,MATCH(TRIM(A55),Products!$B$5:$B$44,0)),"Not found"))</f>
        <v/>
      </c>
      <c r="E55" s="9">
        <f>IF(A55="","",IFERROR(VLOOKUP(A55,Products!$A$5:$D$44,1,FALSE),"Not found"))</f>
        <v/>
      </c>
      <c r="F55" s="8">
        <f>IF(A55="","",IFERROR(VLOOKUP(TRIM(A55),Products!$B$5:$D$44,2,FALSE),"Not found"))</f>
        <v/>
      </c>
      <c r="G55" s="9">
        <f>IF(A55="","",IFERROR(MATCH(TRIM(A55),Products!$B$5:$B$44,0),"Not found"))</f>
        <v/>
      </c>
    </row>
    <row r="56">
      <c r="A56" s="6" t="n"/>
      <c r="B56" s="7">
        <f>IF(A56="","",IFERROR(INDEX(Products!$A$5:$A$44,MATCH(TRIM(A56),Products!$B$5:$B$44,0)),"Not found"))</f>
        <v/>
      </c>
      <c r="C56" s="8">
        <f>IF(A56="","",IFERROR(INDEX(Products!$C$5:$C$44,MATCH(TRIM(A56),Products!$B$5:$B$44,0)),"Not found"))</f>
        <v/>
      </c>
      <c r="D56" s="9">
        <f>IF(A56="","",IFERROR(INDEX(Products!$D$5:$D$44,MATCH(TRIM(A56),Products!$B$5:$B$44,0)),"Not found"))</f>
        <v/>
      </c>
      <c r="E56" s="9">
        <f>IF(A56="","",IFERROR(VLOOKUP(A56,Products!$A$5:$D$44,1,FALSE),"Not found"))</f>
        <v/>
      </c>
      <c r="F56" s="8">
        <f>IF(A56="","",IFERROR(VLOOKUP(TRIM(A56),Products!$B$5:$D$44,2,FALSE),"Not found"))</f>
        <v/>
      </c>
      <c r="G56" s="9">
        <f>IF(A56="","",IFERROR(MATCH(TRIM(A56),Products!$B$5:$B$44,0),"Not found"))</f>
        <v/>
      </c>
    </row>
    <row r="57">
      <c r="A57" s="6" t="n"/>
      <c r="B57" s="7">
        <f>IF(A57="","",IFERROR(INDEX(Products!$A$5:$A$44,MATCH(TRIM(A57),Products!$B$5:$B$44,0)),"Not found"))</f>
        <v/>
      </c>
      <c r="C57" s="8">
        <f>IF(A57="","",IFERROR(INDEX(Products!$C$5:$C$44,MATCH(TRIM(A57),Products!$B$5:$B$44,0)),"Not found"))</f>
        <v/>
      </c>
      <c r="D57" s="9">
        <f>IF(A57="","",IFERROR(INDEX(Products!$D$5:$D$44,MATCH(TRIM(A57),Products!$B$5:$B$44,0)),"Not found"))</f>
        <v/>
      </c>
      <c r="E57" s="9">
        <f>IF(A57="","",IFERROR(VLOOKUP(A57,Products!$A$5:$D$44,1,FALSE),"Not found"))</f>
        <v/>
      </c>
      <c r="F57" s="8">
        <f>IF(A57="","",IFERROR(VLOOKUP(TRIM(A57),Products!$B$5:$D$44,2,FALSE),"Not found"))</f>
        <v/>
      </c>
      <c r="G57" s="9">
        <f>IF(A57="","",IFERROR(MATCH(TRIM(A57),Products!$B$5:$B$44,0),"Not found"))</f>
        <v/>
      </c>
    </row>
    <row r="58">
      <c r="A58" s="6" t="n"/>
      <c r="B58" s="7">
        <f>IF(A58="","",IFERROR(INDEX(Products!$A$5:$A$44,MATCH(TRIM(A58),Products!$B$5:$B$44,0)),"Not found"))</f>
        <v/>
      </c>
      <c r="C58" s="8">
        <f>IF(A58="","",IFERROR(INDEX(Products!$C$5:$C$44,MATCH(TRIM(A58),Products!$B$5:$B$44,0)),"Not found"))</f>
        <v/>
      </c>
      <c r="D58" s="9">
        <f>IF(A58="","",IFERROR(INDEX(Products!$D$5:$D$44,MATCH(TRIM(A58),Products!$B$5:$B$44,0)),"Not found"))</f>
        <v/>
      </c>
      <c r="E58" s="9">
        <f>IF(A58="","",IFERROR(VLOOKUP(A58,Products!$A$5:$D$44,1,FALSE),"Not found"))</f>
        <v/>
      </c>
      <c r="F58" s="8">
        <f>IF(A58="","",IFERROR(VLOOKUP(TRIM(A58),Products!$B$5:$D$44,2,FALSE),"Not found"))</f>
        <v/>
      </c>
      <c r="G58" s="9">
        <f>IF(A58="","",IFERROR(MATCH(TRIM(A58),Products!$B$5:$B$44,0),"Not found"))</f>
        <v/>
      </c>
    </row>
    <row r="59">
      <c r="A59" s="6" t="n"/>
      <c r="B59" s="7">
        <f>IF(A59="","",IFERROR(INDEX(Products!$A$5:$A$44,MATCH(TRIM(A59),Products!$B$5:$B$44,0)),"Not found"))</f>
        <v/>
      </c>
      <c r="C59" s="8">
        <f>IF(A59="","",IFERROR(INDEX(Products!$C$5:$C$44,MATCH(TRIM(A59),Products!$B$5:$B$44,0)),"Not found"))</f>
        <v/>
      </c>
      <c r="D59" s="9">
        <f>IF(A59="","",IFERROR(INDEX(Products!$D$5:$D$44,MATCH(TRIM(A59),Products!$B$5:$B$44,0)),"Not found"))</f>
        <v/>
      </c>
      <c r="E59" s="9">
        <f>IF(A59="","",IFERROR(VLOOKUP(A59,Products!$A$5:$D$44,1,FALSE),"Not found"))</f>
        <v/>
      </c>
      <c r="F59" s="8">
        <f>IF(A59="","",IFERROR(VLOOKUP(TRIM(A59),Products!$B$5:$D$44,2,FALSE),"Not found"))</f>
        <v/>
      </c>
      <c r="G59" s="9">
        <f>IF(A59="","",IFERROR(MATCH(TRIM(A59),Products!$B$5:$B$44,0),"Not found"))</f>
        <v/>
      </c>
    </row>
    <row r="60">
      <c r="A60" s="6" t="n"/>
      <c r="B60" s="7">
        <f>IF(A60="","",IFERROR(INDEX(Products!$A$5:$A$44,MATCH(TRIM(A60),Products!$B$5:$B$44,0)),"Not found"))</f>
        <v/>
      </c>
      <c r="C60" s="8">
        <f>IF(A60="","",IFERROR(INDEX(Products!$C$5:$C$44,MATCH(TRIM(A60),Products!$B$5:$B$44,0)),"Not found"))</f>
        <v/>
      </c>
      <c r="D60" s="9">
        <f>IF(A60="","",IFERROR(INDEX(Products!$D$5:$D$44,MATCH(TRIM(A60),Products!$B$5:$B$44,0)),"Not found"))</f>
        <v/>
      </c>
      <c r="E60" s="9">
        <f>IF(A60="","",IFERROR(VLOOKUP(A60,Products!$A$5:$D$44,1,FALSE),"Not found"))</f>
        <v/>
      </c>
      <c r="F60" s="8">
        <f>IF(A60="","",IFERROR(VLOOKUP(TRIM(A60),Products!$B$5:$D$44,2,FALSE),"Not found"))</f>
        <v/>
      </c>
      <c r="G60" s="9">
        <f>IF(A60="","",IFERROR(MATCH(TRIM(A60),Products!$B$5:$B$44,0),"Not found"))</f>
        <v/>
      </c>
    </row>
    <row r="61">
      <c r="A61" s="6" t="n"/>
      <c r="B61" s="7">
        <f>IF(A61="","",IFERROR(INDEX(Products!$A$5:$A$44,MATCH(TRIM(A61),Products!$B$5:$B$44,0)),"Not found"))</f>
        <v/>
      </c>
      <c r="C61" s="8">
        <f>IF(A61="","",IFERROR(INDEX(Products!$C$5:$C$44,MATCH(TRIM(A61),Products!$B$5:$B$44,0)),"Not found"))</f>
        <v/>
      </c>
      <c r="D61" s="9">
        <f>IF(A61="","",IFERROR(INDEX(Products!$D$5:$D$44,MATCH(TRIM(A61),Products!$B$5:$B$44,0)),"Not found"))</f>
        <v/>
      </c>
      <c r="E61" s="9">
        <f>IF(A61="","",IFERROR(VLOOKUP(A61,Products!$A$5:$D$44,1,FALSE),"Not found"))</f>
        <v/>
      </c>
      <c r="F61" s="8">
        <f>IF(A61="","",IFERROR(VLOOKUP(TRIM(A61),Products!$B$5:$D$44,2,FALSE),"Not found"))</f>
        <v/>
      </c>
      <c r="G61" s="9">
        <f>IF(A61="","",IFERROR(MATCH(TRIM(A61),Products!$B$5:$B$44,0),"Not found"))</f>
        <v/>
      </c>
    </row>
    <row r="62">
      <c r="A62" s="6" t="n"/>
      <c r="B62" s="7">
        <f>IF(A62="","",IFERROR(INDEX(Products!$A$5:$A$44,MATCH(TRIM(A62),Products!$B$5:$B$44,0)),"Not found"))</f>
        <v/>
      </c>
      <c r="C62" s="8">
        <f>IF(A62="","",IFERROR(INDEX(Products!$C$5:$C$44,MATCH(TRIM(A62),Products!$B$5:$B$44,0)),"Not found"))</f>
        <v/>
      </c>
      <c r="D62" s="9">
        <f>IF(A62="","",IFERROR(INDEX(Products!$D$5:$D$44,MATCH(TRIM(A62),Products!$B$5:$B$44,0)),"Not found"))</f>
        <v/>
      </c>
      <c r="E62" s="9">
        <f>IF(A62="","",IFERROR(VLOOKUP(A62,Products!$A$5:$D$44,1,FALSE),"Not found"))</f>
        <v/>
      </c>
      <c r="F62" s="8">
        <f>IF(A62="","",IFERROR(VLOOKUP(TRIM(A62),Products!$B$5:$D$44,2,FALSE),"Not found"))</f>
        <v/>
      </c>
      <c r="G62" s="9">
        <f>IF(A62="","",IFERROR(MATCH(TRIM(A62),Products!$B$5:$B$44,0),"Not found"))</f>
        <v/>
      </c>
    </row>
    <row r="63">
      <c r="A63" s="6" t="n"/>
      <c r="B63" s="7">
        <f>IF(A63="","",IFERROR(INDEX(Products!$A$5:$A$44,MATCH(TRIM(A63),Products!$B$5:$B$44,0)),"Not found"))</f>
        <v/>
      </c>
      <c r="C63" s="8">
        <f>IF(A63="","",IFERROR(INDEX(Products!$C$5:$C$44,MATCH(TRIM(A63),Products!$B$5:$B$44,0)),"Not found"))</f>
        <v/>
      </c>
      <c r="D63" s="9">
        <f>IF(A63="","",IFERROR(INDEX(Products!$D$5:$D$44,MATCH(TRIM(A63),Products!$B$5:$B$44,0)),"Not found"))</f>
        <v/>
      </c>
      <c r="E63" s="9">
        <f>IF(A63="","",IFERROR(VLOOKUP(A63,Products!$A$5:$D$44,1,FALSE),"Not found"))</f>
        <v/>
      </c>
      <c r="F63" s="8">
        <f>IF(A63="","",IFERROR(VLOOKUP(TRIM(A63),Products!$B$5:$D$44,2,FALSE),"Not found"))</f>
        <v/>
      </c>
      <c r="G63" s="9">
        <f>IF(A63="","",IFERROR(MATCH(TRIM(A63),Products!$B$5:$B$44,0),"Not found"))</f>
        <v/>
      </c>
    </row>
    <row r="64">
      <c r="A64" s="6" t="n"/>
      <c r="B64" s="7">
        <f>IF(A64="","",IFERROR(INDEX(Products!$A$5:$A$44,MATCH(TRIM(A64),Products!$B$5:$B$44,0)),"Not found"))</f>
        <v/>
      </c>
      <c r="C64" s="8">
        <f>IF(A64="","",IFERROR(INDEX(Products!$C$5:$C$44,MATCH(TRIM(A64),Products!$B$5:$B$44,0)),"Not found"))</f>
        <v/>
      </c>
      <c r="D64" s="9">
        <f>IF(A64="","",IFERROR(INDEX(Products!$D$5:$D$44,MATCH(TRIM(A64),Products!$B$5:$B$44,0)),"Not found"))</f>
        <v/>
      </c>
      <c r="E64" s="9">
        <f>IF(A64="","",IFERROR(VLOOKUP(A64,Products!$A$5:$D$44,1,FALSE),"Not found"))</f>
        <v/>
      </c>
      <c r="F64" s="8">
        <f>IF(A64="","",IFERROR(VLOOKUP(TRIM(A64),Products!$B$5:$D$44,2,FALSE),"Not found"))</f>
        <v/>
      </c>
      <c r="G64" s="9">
        <f>IF(A64="","",IFERROR(MATCH(TRIM(A64),Products!$B$5:$B$44,0),"Not found"))</f>
        <v/>
      </c>
    </row>
  </sheetData>
  <conditionalFormatting sqref="A5:G64">
    <cfRule type="expression" priority="1" dxfId="0">
      <formula>AND($A5&lt;&gt;"",$B5="Not found")</formula>
    </cfRule>
  </conditionalFormatting>
  <conditionalFormatting sqref="J10">
    <cfRule type="expression" priority="2" dxfId="0">
      <formula>AND(J10&lt;&gt;"OK",J10&lt;&gt;"")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Tidy Tabs: Look Up a Value to the Left of the Key Column</t>
        </is>
      </c>
    </row>
    <row r="2">
      <c r="A2" s="14" t="inlineStr"/>
    </row>
    <row r="3">
      <c r="A3" s="14" t="inlineStr">
        <is>
          <t>1. Products tab: one row per product in A5:D44 (yellow). The SKU is in column B, so the product name is to its left. The sample is 25 fictional products.</t>
        </is>
      </c>
    </row>
    <row r="4">
      <c r="A4" s="14" t="inlineStr">
        <is>
          <t>2. Lookup tab: type or paste SKUs in A5:A64 (yellow). The sample has 15 fictional lookups and one blank row.</t>
        </is>
      </c>
    </row>
    <row r="5">
      <c r="A5" s="14" t="inlineStr">
        <is>
          <t>3. Product name, B5: =IF(A5="","",IFERROR(INDEX(Products!$A$5:$A$44,MATCH(TRIM(A5),Products!$B$5:$B$44,0)),"Not found")). MATCH finds the row number of the SKU in column B; INDEX returns the cell in that row from column A. The 0 means exact match.</t>
        </is>
      </c>
    </row>
    <row r="6">
      <c r="A6" s="14" t="inlineStr">
        <is>
          <t>4. TRIM removes a trailing or leading space that came along with a pasted SKU. MATCH with 0 ignores capital letters in LibreOffice Calc (snd-010 finds SND-010). Not checked in Excel or Google Sheets.</t>
        </is>
      </c>
    </row>
    <row r="7">
      <c r="A7" s="14" t="inlineStr">
        <is>
          <t>5. Price and Stock, C5 and D5, use the same form on column C and column D.</t>
        </is>
      </c>
    </row>
    <row r="8">
      <c r="A8" s="14" t="inlineStr">
        <is>
          <t>6. Column E tries =VLOOKUP(A5,Products!$A$5:$D$44,1,FALSE). VLOOKUP searches the FIRST column of its range, here the names in column A, so a SKU is never found. Column F shows the form that does work, searching the range that starts at the SKU: =VLOOKUP(TRIM(A5),Products!$B$5:$D$44,2,FALSE).</t>
        </is>
      </c>
    </row>
    <row r="9">
      <c r="A9" s="14" t="inlineStr">
        <is>
          <t>7. Column G shows the row number MATCH returns, counting from the first product row.</t>
        </is>
      </c>
    </row>
    <row r="10">
      <c r="A10" s="14" t="inlineStr">
        <is>
          <t>8. If a SKU is listed twice in Products, MATCH returns the first one only. Summary J9 counts the rows involved and J10 shows CHECK.</t>
        </is>
      </c>
    </row>
    <row r="11">
      <c r="A11" s="14" t="inlineStr">
        <is>
          <t>9. A SKU stored as a number in Products does not match the same digits in the lookup, because TRIM returns text. Keep SKUs as text in both places.</t>
        </is>
      </c>
    </row>
    <row r="12">
      <c r="A12" s="14" t="inlineStr">
        <is>
          <t>10. J10 shows OK when found + not found = entered, the row numbers agree, no SKU is listed twice, and nothing is typed below row 64 on Lookup or row 44 on Products.</t>
        </is>
      </c>
    </row>
    <row r="13">
      <c r="A13" s="14" t="inlineStr"/>
    </row>
    <row r="14">
      <c r="A14" s="14" t="inlineStr">
        <is>
          <t>Products, SKUs and prices are fictional. Checked in LibreOffice Calc only; not opened in Excel or Google Sheets.</t>
        </is>
      </c>
    </row>
    <row r="15">
      <c r="A15" s="14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2026-10-30T07:44:43Z</dcterms:created>
  <dcterms:modified xmlns:dcterms="http://purl.org/dc/terms/" xmlns:xsi="http://www.w3.org/2001/XMLSchema-instance" xsi:type="dcterms:W3CDTF">2026-10-30T07:44:43Z</dcterms:modified>
</cp:coreProperties>
</file>