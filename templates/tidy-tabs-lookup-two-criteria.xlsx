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s" sheetId="1" state="visible" r:id="rId1"/>
    <sheet name="Lookup" sheetId="2" state="visible" r:id="rId2"/>
    <sheet name="How to use" sheetId="3" state="visible" r:id="rId3"/>
  </sheets>
  <definedNames>
    <definedName name="_xlnm.Print_Titles" localSheetId="0">'Prices'!$1:$1</definedName>
    <definedName name="_xlnm.Print_Titles" localSheetId="1">'Lookup'!$1:$1</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4" fontId="0" fillId="3" borderId="0" pivotButton="0" quotePrefix="0" xfId="0"/>
    <xf numFmtId="0" fontId="0" fillId="4" borderId="0" pivotButton="0" quotePrefix="0" xfId="0"/>
    <xf numFmtId="0" fontId="2" fillId="0" borderId="0" pivotButton="0" quotePrefix="0" xfId="0"/>
    <xf numFmtId="0" fontId="0" fillId="3" borderId="0" applyAlignment="1" pivotButton="0" quotePrefix="0" xfId="0">
      <alignment horizontal="right"/>
    </xf>
    <xf numFmtId="164" fontId="0" fillId="4" borderId="0" applyAlignment="1" pivotButton="0" quotePrefix="0" xfId="0">
      <alignment horizontal="right"/>
    </xf>
    <xf numFmtId="0"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 customWidth="1" min="3" max="3"/>
    <col width="20" customWidth="1" min="4" max="4"/>
    <col width="20" customWidth="1" min="5" max="5"/>
  </cols>
  <sheetData>
    <row r="1" ht="30" customHeight="1">
      <c r="A1" s="1" t="inlineStr">
        <is>
          <t>Size</t>
        </is>
      </c>
      <c r="B1" s="1" t="inlineStr">
        <is>
          <t>Finish</t>
        </is>
      </c>
      <c r="C1" s="1" t="inlineStr">
        <is>
          <t>Price</t>
        </is>
      </c>
      <c r="D1" s="1" t="inlineStr">
        <is>
          <t>Key (Size|Finish)</t>
        </is>
      </c>
      <c r="E1" s="1" t="inlineStr">
        <is>
          <t>Row check</t>
        </is>
      </c>
    </row>
    <row r="2">
      <c r="A2" s="2" t="inlineStr">
        <is>
          <t>Small</t>
        </is>
      </c>
      <c r="B2" s="2" t="inlineStr">
        <is>
          <t>Matte</t>
        </is>
      </c>
      <c r="C2" s="3" t="n">
        <v>12</v>
      </c>
      <c r="D2" s="4">
        <f>IF(A2="","",A2&amp;"|"&amp;B2)</f>
        <v/>
      </c>
      <c r="E2" s="4">
        <f>IF(A2="","",IF(NOT(ISNUMBER(C2)),"Price not a number",IF(COUNTIFS($A$2:$A$30,A2,$B$2:$B$30,B2)&gt;1,"Duplicate","OK")))</f>
        <v/>
      </c>
    </row>
    <row r="3">
      <c r="A3" s="2" t="inlineStr">
        <is>
          <t>Small</t>
        </is>
      </c>
      <c r="B3" s="2" t="inlineStr">
        <is>
          <t>Gloss</t>
        </is>
      </c>
      <c r="C3" s="3" t="n">
        <v>14</v>
      </c>
      <c r="D3" s="4">
        <f>IF(A3="","",A3&amp;"|"&amp;B3)</f>
        <v/>
      </c>
      <c r="E3" s="4">
        <f>IF(A3="","",IF(NOT(ISNUMBER(C3)),"Price not a number",IF(COUNTIFS($A$2:$A$30,A3,$B$2:$B$30,B3)&gt;1,"Duplicate","OK")))</f>
        <v/>
      </c>
    </row>
    <row r="4">
      <c r="A4" s="2" t="inlineStr">
        <is>
          <t>Small</t>
        </is>
      </c>
      <c r="B4" s="2" t="inlineStr">
        <is>
          <t>Canvas</t>
        </is>
      </c>
      <c r="C4" s="3" t="n">
        <v>32</v>
      </c>
      <c r="D4" s="4">
        <f>IF(A4="","",A4&amp;"|"&amp;B4)</f>
        <v/>
      </c>
      <c r="E4" s="4">
        <f>IF(A4="","",IF(NOT(ISNUMBER(C4)),"Price not a number",IF(COUNTIFS($A$2:$A$30,A4,$B$2:$B$30,B4)&gt;1,"Duplicate","OK")))</f>
        <v/>
      </c>
    </row>
    <row r="5">
      <c r="A5" s="2" t="inlineStr">
        <is>
          <t>Medium</t>
        </is>
      </c>
      <c r="B5" s="2" t="inlineStr">
        <is>
          <t>Matte</t>
        </is>
      </c>
      <c r="C5" s="3" t="n">
        <v>18</v>
      </c>
      <c r="D5" s="4">
        <f>IF(A5="","",A5&amp;"|"&amp;B5)</f>
        <v/>
      </c>
      <c r="E5" s="4">
        <f>IF(A5="","",IF(NOT(ISNUMBER(C5)),"Price not a number",IF(COUNTIFS($A$2:$A$30,A5,$B$2:$B$30,B5)&gt;1,"Duplicate","OK")))</f>
        <v/>
      </c>
    </row>
    <row r="6">
      <c r="A6" s="2" t="inlineStr">
        <is>
          <t>Medium</t>
        </is>
      </c>
      <c r="B6" s="2" t="inlineStr">
        <is>
          <t>Gloss</t>
        </is>
      </c>
      <c r="C6" s="3" t="n">
        <v>21</v>
      </c>
      <c r="D6" s="4">
        <f>IF(A6="","",A6&amp;"|"&amp;B6)</f>
        <v/>
      </c>
      <c r="E6" s="4">
        <f>IF(A6="","",IF(NOT(ISNUMBER(C6)),"Price not a number",IF(COUNTIFS($A$2:$A$30,A6,$B$2:$B$30,B6)&gt;1,"Duplicate","OK")))</f>
        <v/>
      </c>
    </row>
    <row r="7">
      <c r="A7" s="2" t="inlineStr">
        <is>
          <t>Medium</t>
        </is>
      </c>
      <c r="B7" s="2" t="inlineStr">
        <is>
          <t>Canvas</t>
        </is>
      </c>
      <c r="C7" s="3" t="n">
        <v>45</v>
      </c>
      <c r="D7" s="4">
        <f>IF(A7="","",A7&amp;"|"&amp;B7)</f>
        <v/>
      </c>
      <c r="E7" s="4">
        <f>IF(A7="","",IF(NOT(ISNUMBER(C7)),"Price not a number",IF(COUNTIFS($A$2:$A$30,A7,$B$2:$B$30,B7)&gt;1,"Duplicate","OK")))</f>
        <v/>
      </c>
    </row>
    <row r="8">
      <c r="A8" s="2" t="inlineStr">
        <is>
          <t>Large</t>
        </is>
      </c>
      <c r="B8" s="2" t="inlineStr">
        <is>
          <t>Matte</t>
        </is>
      </c>
      <c r="C8" s="3" t="n">
        <v>26</v>
      </c>
      <c r="D8" s="4">
        <f>IF(A8="","",A8&amp;"|"&amp;B8)</f>
        <v/>
      </c>
      <c r="E8" s="4">
        <f>IF(A8="","",IF(NOT(ISNUMBER(C8)),"Price not a number",IF(COUNTIFS($A$2:$A$30,A8,$B$2:$B$30,B8)&gt;1,"Duplicate","OK")))</f>
        <v/>
      </c>
    </row>
    <row r="9">
      <c r="A9" s="2" t="inlineStr">
        <is>
          <t>Large</t>
        </is>
      </c>
      <c r="B9" s="2" t="inlineStr">
        <is>
          <t>Gloss</t>
        </is>
      </c>
      <c r="C9" s="3" t="n">
        <v>30</v>
      </c>
      <c r="D9" s="4">
        <f>IF(A9="","",A9&amp;"|"&amp;B9)</f>
        <v/>
      </c>
      <c r="E9" s="4">
        <f>IF(A9="","",IF(NOT(ISNUMBER(C9)),"Price not a number",IF(COUNTIFS($A$2:$A$30,A9,$B$2:$B$30,B9)&gt;1,"Duplicate","OK")))</f>
        <v/>
      </c>
    </row>
    <row r="10">
      <c r="A10" s="2" t="inlineStr">
        <is>
          <t>Large</t>
        </is>
      </c>
      <c r="B10" s="2" t="inlineStr">
        <is>
          <t>Canvas</t>
        </is>
      </c>
      <c r="C10" s="3" t="n">
        <v>64</v>
      </c>
      <c r="D10" s="4">
        <f>IF(A10="","",A10&amp;"|"&amp;B10)</f>
        <v/>
      </c>
      <c r="E10" s="4">
        <f>IF(A10="","",IF(NOT(ISNUMBER(C10)),"Price not a number",IF(COUNTIFS($A$2:$A$30,A10,$B$2:$B$30,B10)&gt;1,"Duplicate","OK")))</f>
        <v/>
      </c>
    </row>
    <row r="11">
      <c r="A11" s="2" t="n"/>
      <c r="B11" s="2" t="n"/>
      <c r="C11" s="3" t="n"/>
      <c r="D11" s="4">
        <f>IF(A11="","",A11&amp;"|"&amp;B11)</f>
        <v/>
      </c>
      <c r="E11" s="4">
        <f>IF(A11="","",IF(NOT(ISNUMBER(C11)),"Price not a number",IF(COUNTIFS($A$2:$A$30,A11,$B$2:$B$30,B11)&gt;1,"Duplicate","OK")))</f>
        <v/>
      </c>
    </row>
    <row r="12">
      <c r="A12" s="2" t="n"/>
      <c r="B12" s="2" t="n"/>
      <c r="C12" s="3" t="n"/>
      <c r="D12" s="4">
        <f>IF(A12="","",A12&amp;"|"&amp;B12)</f>
        <v/>
      </c>
      <c r="E12" s="4">
        <f>IF(A12="","",IF(NOT(ISNUMBER(C12)),"Price not a number",IF(COUNTIFS($A$2:$A$30,A12,$B$2:$B$30,B12)&gt;1,"Duplicate","OK")))</f>
        <v/>
      </c>
    </row>
    <row r="13">
      <c r="A13" s="2" t="n"/>
      <c r="B13" s="2" t="n"/>
      <c r="C13" s="3" t="n"/>
      <c r="D13" s="4">
        <f>IF(A13="","",A13&amp;"|"&amp;B13)</f>
        <v/>
      </c>
      <c r="E13" s="4">
        <f>IF(A13="","",IF(NOT(ISNUMBER(C13)),"Price not a number",IF(COUNTIFS($A$2:$A$30,A13,$B$2:$B$30,B13)&gt;1,"Duplicate","OK")))</f>
        <v/>
      </c>
    </row>
    <row r="14">
      <c r="A14" s="2" t="n"/>
      <c r="B14" s="2" t="n"/>
      <c r="C14" s="3" t="n"/>
      <c r="D14" s="4">
        <f>IF(A14="","",A14&amp;"|"&amp;B14)</f>
        <v/>
      </c>
      <c r="E14" s="4">
        <f>IF(A14="","",IF(NOT(ISNUMBER(C14)),"Price not a number",IF(COUNTIFS($A$2:$A$30,A14,$B$2:$B$30,B14)&gt;1,"Duplicate","OK")))</f>
        <v/>
      </c>
    </row>
    <row r="15">
      <c r="A15" s="2" t="n"/>
      <c r="B15" s="2" t="n"/>
      <c r="C15" s="3" t="n"/>
      <c r="D15" s="4">
        <f>IF(A15="","",A15&amp;"|"&amp;B15)</f>
        <v/>
      </c>
      <c r="E15" s="4">
        <f>IF(A15="","",IF(NOT(ISNUMBER(C15)),"Price not a number",IF(COUNTIFS($A$2:$A$30,A15,$B$2:$B$30,B15)&gt;1,"Duplicate","OK")))</f>
        <v/>
      </c>
    </row>
    <row r="16">
      <c r="A16" s="2" t="n"/>
      <c r="B16" s="2" t="n"/>
      <c r="C16" s="3" t="n"/>
      <c r="D16" s="4">
        <f>IF(A16="","",A16&amp;"|"&amp;B16)</f>
        <v/>
      </c>
      <c r="E16" s="4">
        <f>IF(A16="","",IF(NOT(ISNUMBER(C16)),"Price not a number",IF(COUNTIFS($A$2:$A$30,A16,$B$2:$B$30,B16)&gt;1,"Duplicate","OK")))</f>
        <v/>
      </c>
    </row>
    <row r="17">
      <c r="A17" s="2" t="n"/>
      <c r="B17" s="2" t="n"/>
      <c r="C17" s="3" t="n"/>
      <c r="D17" s="4">
        <f>IF(A17="","",A17&amp;"|"&amp;B17)</f>
        <v/>
      </c>
      <c r="E17" s="4">
        <f>IF(A17="","",IF(NOT(ISNUMBER(C17)),"Price not a number",IF(COUNTIFS($A$2:$A$30,A17,$B$2:$B$30,B17)&gt;1,"Duplicate","OK")))</f>
        <v/>
      </c>
    </row>
    <row r="18">
      <c r="A18" s="2" t="n"/>
      <c r="B18" s="2" t="n"/>
      <c r="C18" s="3" t="n"/>
      <c r="D18" s="4">
        <f>IF(A18="","",A18&amp;"|"&amp;B18)</f>
        <v/>
      </c>
      <c r="E18" s="4">
        <f>IF(A18="","",IF(NOT(ISNUMBER(C18)),"Price not a number",IF(COUNTIFS($A$2:$A$30,A18,$B$2:$B$30,B18)&gt;1,"Duplicate","OK")))</f>
        <v/>
      </c>
    </row>
    <row r="19">
      <c r="A19" s="2" t="n"/>
      <c r="B19" s="2" t="n"/>
      <c r="C19" s="3" t="n"/>
      <c r="D19" s="4">
        <f>IF(A19="","",A19&amp;"|"&amp;B19)</f>
        <v/>
      </c>
      <c r="E19" s="4">
        <f>IF(A19="","",IF(NOT(ISNUMBER(C19)),"Price not a number",IF(COUNTIFS($A$2:$A$30,A19,$B$2:$B$30,B19)&gt;1,"Duplicate","OK")))</f>
        <v/>
      </c>
    </row>
    <row r="20">
      <c r="A20" s="2" t="n"/>
      <c r="B20" s="2" t="n"/>
      <c r="C20" s="3" t="n"/>
      <c r="D20" s="4">
        <f>IF(A20="","",A20&amp;"|"&amp;B20)</f>
        <v/>
      </c>
      <c r="E20" s="4">
        <f>IF(A20="","",IF(NOT(ISNUMBER(C20)),"Price not a number",IF(COUNTIFS($A$2:$A$30,A20,$B$2:$B$30,B20)&gt;1,"Duplicate","OK")))</f>
        <v/>
      </c>
    </row>
    <row r="21">
      <c r="A21" s="2" t="n"/>
      <c r="B21" s="2" t="n"/>
      <c r="C21" s="3" t="n"/>
      <c r="D21" s="4">
        <f>IF(A21="","",A21&amp;"|"&amp;B21)</f>
        <v/>
      </c>
      <c r="E21" s="4">
        <f>IF(A21="","",IF(NOT(ISNUMBER(C21)),"Price not a number",IF(COUNTIFS($A$2:$A$30,A21,$B$2:$B$30,B21)&gt;1,"Duplicate","OK")))</f>
        <v/>
      </c>
    </row>
    <row r="22">
      <c r="A22" s="2" t="n"/>
      <c r="B22" s="2" t="n"/>
      <c r="C22" s="3" t="n"/>
      <c r="D22" s="4">
        <f>IF(A22="","",A22&amp;"|"&amp;B22)</f>
        <v/>
      </c>
      <c r="E22" s="4">
        <f>IF(A22="","",IF(NOT(ISNUMBER(C22)),"Price not a number",IF(COUNTIFS($A$2:$A$30,A22,$B$2:$B$30,B22)&gt;1,"Duplicate","OK")))</f>
        <v/>
      </c>
    </row>
    <row r="23">
      <c r="A23" s="2" t="n"/>
      <c r="B23" s="2" t="n"/>
      <c r="C23" s="3" t="n"/>
      <c r="D23" s="4">
        <f>IF(A23="","",A23&amp;"|"&amp;B23)</f>
        <v/>
      </c>
      <c r="E23" s="4">
        <f>IF(A23="","",IF(NOT(ISNUMBER(C23)),"Price not a number",IF(COUNTIFS($A$2:$A$30,A23,$B$2:$B$30,B23)&gt;1,"Duplicate","OK")))</f>
        <v/>
      </c>
    </row>
    <row r="24">
      <c r="A24" s="2" t="n"/>
      <c r="B24" s="2" t="n"/>
      <c r="C24" s="3" t="n"/>
      <c r="D24" s="4">
        <f>IF(A24="","",A24&amp;"|"&amp;B24)</f>
        <v/>
      </c>
      <c r="E24" s="4">
        <f>IF(A24="","",IF(NOT(ISNUMBER(C24)),"Price not a number",IF(COUNTIFS($A$2:$A$30,A24,$B$2:$B$30,B24)&gt;1,"Duplicate","OK")))</f>
        <v/>
      </c>
    </row>
    <row r="25">
      <c r="A25" s="2" t="n"/>
      <c r="B25" s="2" t="n"/>
      <c r="C25" s="3" t="n"/>
      <c r="D25" s="4">
        <f>IF(A25="","",A25&amp;"|"&amp;B25)</f>
        <v/>
      </c>
      <c r="E25" s="4">
        <f>IF(A25="","",IF(NOT(ISNUMBER(C25)),"Price not a number",IF(COUNTIFS($A$2:$A$30,A25,$B$2:$B$30,B25)&gt;1,"Duplicate","OK")))</f>
        <v/>
      </c>
    </row>
    <row r="26">
      <c r="A26" s="2" t="n"/>
      <c r="B26" s="2" t="n"/>
      <c r="C26" s="3" t="n"/>
      <c r="D26" s="4">
        <f>IF(A26="","",A26&amp;"|"&amp;B26)</f>
        <v/>
      </c>
      <c r="E26" s="4">
        <f>IF(A26="","",IF(NOT(ISNUMBER(C26)),"Price not a number",IF(COUNTIFS($A$2:$A$30,A26,$B$2:$B$30,B26)&gt;1,"Duplicate","OK")))</f>
        <v/>
      </c>
    </row>
    <row r="27">
      <c r="A27" s="2" t="n"/>
      <c r="B27" s="2" t="n"/>
      <c r="C27" s="3" t="n"/>
      <c r="D27" s="4">
        <f>IF(A27="","",A27&amp;"|"&amp;B27)</f>
        <v/>
      </c>
      <c r="E27" s="4">
        <f>IF(A27="","",IF(NOT(ISNUMBER(C27)),"Price not a number",IF(COUNTIFS($A$2:$A$30,A27,$B$2:$B$30,B27)&gt;1,"Duplicate","OK")))</f>
        <v/>
      </c>
    </row>
    <row r="28">
      <c r="A28" s="2" t="n"/>
      <c r="B28" s="2" t="n"/>
      <c r="C28" s="3" t="n"/>
      <c r="D28" s="4">
        <f>IF(A28="","",A28&amp;"|"&amp;B28)</f>
        <v/>
      </c>
      <c r="E28" s="4">
        <f>IF(A28="","",IF(NOT(ISNUMBER(C28)),"Price not a number",IF(COUNTIFS($A$2:$A$30,A28,$B$2:$B$30,B28)&gt;1,"Duplicate","OK")))</f>
        <v/>
      </c>
    </row>
    <row r="29">
      <c r="A29" s="2" t="n"/>
      <c r="B29" s="2" t="n"/>
      <c r="C29" s="3" t="n"/>
      <c r="D29" s="4">
        <f>IF(A29="","",A29&amp;"|"&amp;B29)</f>
        <v/>
      </c>
      <c r="E29" s="4">
        <f>IF(A29="","",IF(NOT(ISNUMBER(C29)),"Price not a number",IF(COUNTIFS($A$2:$A$30,A29,$B$2:$B$30,B29)&gt;1,"Duplicate","OK")))</f>
        <v/>
      </c>
    </row>
    <row r="30">
      <c r="A30" s="2" t="n"/>
      <c r="B30" s="2" t="n"/>
      <c r="C30" s="3" t="n"/>
      <c r="D30" s="4">
        <f>IF(A30="","",A30&amp;"|"&amp;B30)</f>
        <v/>
      </c>
      <c r="E30" s="4">
        <f>IF(A30="","",IF(NOT(ISNUMBER(C30)),"Price not a number",IF(COUNTIFS($A$2:$A$30,A30,$B$2:$B$30,B30)&gt;1,"Duplicate","OK")))</f>
        <v/>
      </c>
    </row>
  </sheetData>
  <conditionalFormatting sqref="E2:E30">
    <cfRule type="expression" priority="1" dxfId="0">
      <formula>AND(E2&lt;&gt;"",E2&lt;&gt;"OK")</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B8"/>
  <sheetViews>
    <sheetView workbookViewId="0">
      <selection activeCell="A1" sqref="A1"/>
    </sheetView>
  </sheetViews>
  <sheetFormatPr baseColWidth="8" defaultRowHeight="15"/>
  <cols>
    <col width="46" customWidth="1" min="1" max="1"/>
    <col width="20" customWidth="1" min="2" max="2"/>
  </cols>
  <sheetData>
    <row r="1">
      <c r="A1" s="5" t="inlineStr">
        <is>
          <t>Size</t>
        </is>
      </c>
      <c r="B1" s="6" t="inlineStr">
        <is>
          <t>Large</t>
        </is>
      </c>
    </row>
    <row r="2">
      <c r="A2" s="5" t="inlineStr">
        <is>
          <t>Finish</t>
        </is>
      </c>
      <c r="B2" s="6" t="inlineStr">
        <is>
          <t>Gloss</t>
        </is>
      </c>
    </row>
    <row r="4">
      <c r="A4" s="5" t="inlineStr">
        <is>
          <t>Price: INDEX/MATCH on the Key column</t>
        </is>
      </c>
      <c r="B4" s="7">
        <f>IF(OR($B$1="",$B$2=""),"",IFERROR(INDEX(Prices!$C$2:$C$30,MATCH(B1&amp;"|"&amp;B2,Prices!$D$2:$D$30,0)),"Not on price list"))</f>
        <v/>
      </c>
    </row>
    <row r="5">
      <c r="A5" s="5" t="inlineStr">
        <is>
          <t>Price: SUMIFS (numbers only, 0 if no match)</t>
        </is>
      </c>
      <c r="B5" s="7">
        <f>IF(OR($B$1="",$B$2=""),"",SUMIFS(Prices!$C$2:$C$30,Prices!$A$2:$A$30,B1,Prices!$B$2:$B$30,B2))</f>
        <v/>
      </c>
    </row>
    <row r="6">
      <c r="A6" s="5" t="inlineStr">
        <is>
          <t>Price: INDEX/MATCH without a helper column</t>
        </is>
      </c>
      <c r="B6" s="7">
        <f>IF(OR($B$1="",$B$2=""),"",IFERROR(INDEX(Prices!$C$2:$C$30,MATCH(B1&amp;"|"&amp;B2,INDEX(Prices!$A$2:$A$30&amp;"|"&amp;Prices!$B$2:$B$30,0),0)),"Not on price list"))</f>
        <v/>
      </c>
    </row>
    <row r="7">
      <c r="A7" s="5" t="inlineStr">
        <is>
          <t>Rows on the price list with this size and finish</t>
        </is>
      </c>
      <c r="B7" s="8">
        <f>IF(OR($B$1="",$B$2=""),"",COUNTIFS(Prices!$A$2:$A$30,B1,Prices!$B$2:$B$30,B2))</f>
        <v/>
      </c>
    </row>
    <row r="8">
      <c r="A8" s="5" t="inlineStr">
        <is>
          <t>Check: the three prices agree</t>
        </is>
      </c>
      <c r="B8" s="8">
        <f>IF(OR($B$1="",$B$2=""),"Pick a size and finish",IF(B7=0,"Not on price list",IF(B7&gt;1,"Duplicate rows",IF(AND(B4=B5,B6=B5),"OK","CHECK"))))</f>
        <v/>
      </c>
    </row>
  </sheetData>
  <conditionalFormatting sqref="B8">
    <cfRule type="expression" priority="1" dxfId="0">
      <formula>B8&lt;&gt;"OK"</formula>
    </cfRule>
  </conditionalFormatting>
  <dataValidations count="2">
    <dataValidation sqref="B1" showDropDown="0" showInputMessage="0" showErrorMessage="0" allowBlank="1" type="list">
      <formula1>"Small,Medium,Large"</formula1>
    </dataValidation>
    <dataValidation sqref="B2" showDropDown="0" showInputMessage="0" showErrorMessage="0" allowBlank="1" type="list">
      <formula1>"Matte,Gloss,Canvas"</formula1>
    </dataValidation>
  </dataValidations>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9" t="inlineStr">
        <is>
          <t>Tidy Tabs: Look Up a Price With Two Criteria (Size and Finish)</t>
        </is>
      </c>
    </row>
    <row r="2">
      <c r="A2" s="10" t="inlineStr"/>
    </row>
    <row r="3">
      <c r="A3" s="10" t="inlineStr">
        <is>
          <t>1. Prices tab: one row per size and finish with its price in A to C (yellow). Rows 2 to 30 have formulas ready.</t>
        </is>
      </c>
    </row>
    <row r="4">
      <c r="A4" s="10" t="inlineStr">
        <is>
          <t>2. Prices!D2 builds a Key that joins the two criteria: =A2&amp;"|"&amp;B2 gives Large|Gloss. The | keeps pairs such as "Large" + "Gloss" apart from other text that would run together.</t>
        </is>
      </c>
    </row>
    <row r="5">
      <c r="A5" s="10" t="inlineStr">
        <is>
          <t>3. Lookup tab: pick a size in B1 and a finish in B2 (yellow dropdowns).</t>
        </is>
      </c>
    </row>
    <row r="6">
      <c r="A6" s="10" t="inlineStr">
        <is>
          <t>4. B4: =INDEX(Prices!C2:C30,MATCH(B1&amp;"|"&amp;B2,Prices!D2:D30,0)) finds the Key and returns the price on that row.</t>
        </is>
      </c>
    </row>
    <row r="7">
      <c r="A7" s="10" t="inlineStr">
        <is>
          <t>5. B5: =SUMIFS(Prices!C2:C30,Prices!A2:A30,B1,Prices!B2:B30,B2) adds the prices of every row that matches both. It works only for numbers and shows 0 when nothing matches.</t>
        </is>
      </c>
    </row>
    <row r="8">
      <c r="A8" s="10" t="inlineStr">
        <is>
          <t>6. B6 does the same as B4 without the Key column: INDEX(Prices!A2:A30&amp;"|"&amp;Prices!B2:B30,0) joins the two columns inside the formula, so no Ctrl+Shift+Enter is needed.</t>
        </is>
      </c>
    </row>
    <row r="9">
      <c r="A9" s="10" t="inlineStr">
        <is>
          <t>7. B7 counts how many rows match both criteria. B8 shows OK when the three prices agree. It shows Not on price list when no row matches, Duplicate rows when the same pair is listed twice (SUMIFS adds both, MATCH takes the first), and CHECK when a price is typed as text.</t>
        </is>
      </c>
    </row>
    <row r="10">
      <c r="A10" s="10" t="inlineStr">
        <is>
          <t>8. Matching ignores upper and lower case (large finds Large), but an extra space does not match: "Large " with a trailing space shows Not on price list.</t>
        </is>
      </c>
    </row>
    <row r="11">
      <c r="A11" s="10" t="inlineStr">
        <is>
          <t>9. Lookup only. The prices are fictional and are not pricing advice.</t>
        </is>
      </c>
    </row>
    <row r="12">
      <c r="A12" s="10" t="inlineStr"/>
    </row>
    <row r="13">
      <c r="A13" s="10" t="inlineStr">
        <is>
          <t>Sample shop and prices are fictional. Checked in LibreOffice Calc only; not opened in Excel or Google Sheets.</t>
        </is>
      </c>
    </row>
    <row r="14">
      <c r="A14" s="10"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2026-10-17T07:35:54Z</dcterms:created>
  <dcterms:modified xsi:type="dcterms:W3CDTF">2026-10-17T07:35:54Z</dcterms:modified>
</cp:coreProperties>
</file>