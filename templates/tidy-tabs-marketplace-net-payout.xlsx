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 payout" sheetId="1" state="visible" r:id="rId1"/>
    <sheet xmlns:r="http://schemas.openxmlformats.org/officeDocument/2006/relationships" name="How to use" sheetId="2" state="visible" r:id="rId2"/>
  </sheets>
  <definedNames>
    <definedName name="_xlnm.Print_Titles" localSheetId="0">'Net payout'!$1:$1</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4" fontId="0" fillId="0" borderId="0" pivotButton="0" quotePrefix="0" xfId="0"/>
    <xf numFmtId="164" fontId="0" fillId="3" borderId="0" pivotButton="0" quotePrefix="0" xfId="0"/>
    <xf numFmtId="165" fontId="0" fillId="3" borderId="0" pivotButton="0" quotePrefix="0" xfId="0"/>
    <xf numFmtId="165" fontId="0" fillId="4" borderId="0" pivotButton="0" quotePrefix="0" xfId="0"/>
    <xf numFmtId="164" fontId="0" fillId="4" borderId="0" pivotButton="0" quotePrefix="0" xfId="0"/>
    <xf numFmtId="165"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9"/>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5" customWidth="1" min="5" max="5"/>
    <col width="34" customWidth="1" min="7" max="7"/>
    <col width="12" customWidth="1" min="8" max="8"/>
  </cols>
  <sheetData>
    <row r="1" ht="30" customHeight="1">
      <c r="A1" s="1" t="inlineStr">
        <is>
          <t>Order</t>
        </is>
      </c>
      <c r="B1" s="1" t="inlineStr">
        <is>
          <t>Sale price</t>
        </is>
      </c>
      <c r="C1" s="1" t="inlineStr">
        <is>
          <t>Fees</t>
        </is>
      </c>
      <c r="D1" s="1" t="inlineStr">
        <is>
          <t>Net payout</t>
        </is>
      </c>
      <c r="E1" s="1" t="inlineStr">
        <is>
          <t>Net % of price</t>
        </is>
      </c>
      <c r="G1" s="2" t="inlineStr">
        <is>
          <t>Fee settings (fictional rates)</t>
        </is>
      </c>
    </row>
    <row r="2">
      <c r="A2" t="inlineStr">
        <is>
          <t>Soy candle, 8 oz</t>
        </is>
      </c>
      <c r="B2" s="3" t="n">
        <v>18</v>
      </c>
      <c r="C2" s="4">
        <f>ROUND(B2*($H$2+$H$3)+$H$4,2)</f>
        <v/>
      </c>
      <c r="D2" s="4">
        <f>B2-C2</f>
        <v/>
      </c>
      <c r="E2" s="5">
        <f>D2/B2</f>
        <v/>
      </c>
      <c r="G2" t="inlineStr">
        <is>
          <t>Marketplace fee, % of price</t>
        </is>
      </c>
      <c r="H2" s="6" t="n">
        <v>0.065</v>
      </c>
    </row>
    <row r="3">
      <c r="A3" t="inlineStr">
        <is>
          <t>Cedar soap bar</t>
        </is>
      </c>
      <c r="B3" s="3" t="n">
        <v>8.5</v>
      </c>
      <c r="C3" s="4">
        <f>ROUND(B3*($H$2+$H$3)+$H$4,2)</f>
        <v/>
      </c>
      <c r="D3" s="4">
        <f>B3-C3</f>
        <v/>
      </c>
      <c r="E3" s="5">
        <f>D3/B3</f>
        <v/>
      </c>
      <c r="G3" t="inlineStr">
        <is>
          <t>Payment processing, % of price</t>
        </is>
      </c>
      <c r="H3" s="6" t="n">
        <v>0.03</v>
      </c>
    </row>
    <row r="4">
      <c r="A4" t="inlineStr">
        <is>
          <t>Brass hoop earrings</t>
        </is>
      </c>
      <c r="B4" s="3" t="n">
        <v>24</v>
      </c>
      <c r="C4" s="4">
        <f>ROUND(B4*($H$2+$H$3)+$H$4,2)</f>
        <v/>
      </c>
      <c r="D4" s="4">
        <f>B4-C4</f>
        <v/>
      </c>
      <c r="E4" s="5">
        <f>D4/B4</f>
        <v/>
      </c>
      <c r="G4" t="inlineStr">
        <is>
          <t>Fixed fee per order</t>
        </is>
      </c>
      <c r="H4" s="7" t="n">
        <v>0.25</v>
      </c>
    </row>
    <row r="5">
      <c r="A5" t="inlineStr">
        <is>
          <t>Gift tag set</t>
        </is>
      </c>
      <c r="B5" s="3" t="n">
        <v>1</v>
      </c>
      <c r="C5" s="4">
        <f>ROUND(B5*($H$2+$H$3)+$H$4,2)</f>
        <v/>
      </c>
      <c r="D5" s="4">
        <f>B5-C5</f>
        <v/>
      </c>
      <c r="E5" s="5">
        <f>D5/B5</f>
        <v/>
      </c>
    </row>
    <row r="6">
      <c r="A6" t="inlineStr">
        <is>
          <t>Candle gift box</t>
        </is>
      </c>
      <c r="B6" s="3" t="n">
        <v>60</v>
      </c>
      <c r="C6" s="4">
        <f>ROUND(B6*($H$2+$H$3)+$H$4,2)</f>
        <v/>
      </c>
      <c r="D6" s="4">
        <f>B6-C6</f>
        <v/>
      </c>
      <c r="E6" s="5">
        <f>D6/B6</f>
        <v/>
      </c>
      <c r="G6" s="2" t="inlineStr">
        <is>
          <t>Price needed for a target payout</t>
        </is>
      </c>
    </row>
    <row r="7">
      <c r="A7" t="inlineStr">
        <is>
          <t>Sticker sample</t>
        </is>
      </c>
      <c r="B7" s="3" t="n">
        <v>0.25</v>
      </c>
      <c r="C7" s="4">
        <f>ROUND(B7*($H$2+$H$3)+$H$4,2)</f>
        <v/>
      </c>
      <c r="D7" s="4">
        <f>B7-C7</f>
        <v/>
      </c>
      <c r="E7" s="5">
        <f>D7/B7</f>
        <v/>
      </c>
      <c r="G7" t="inlineStr">
        <is>
          <t>Target net payout</t>
        </is>
      </c>
      <c r="H7" s="7" t="n">
        <v>15</v>
      </c>
    </row>
    <row r="8">
      <c r="A8" s="2" t="inlineStr">
        <is>
          <t>Total</t>
        </is>
      </c>
      <c r="B8" s="3">
        <f>SUM(B2:B7)</f>
        <v/>
      </c>
      <c r="C8" s="3">
        <f>SUM(C2:C7)</f>
        <v/>
      </c>
      <c r="D8" s="3">
        <f>SUM(D2:D7)</f>
        <v/>
      </c>
      <c r="E8" s="8">
        <f>D8/B8</f>
        <v/>
      </c>
      <c r="G8" t="inlineStr">
        <is>
          <t>Price to charge</t>
        </is>
      </c>
      <c r="H8" s="4">
        <f>ROUNDUP((H7+H4)/(1-H2-H3),2)</f>
        <v/>
      </c>
    </row>
    <row r="9">
      <c r="G9" t="inlineStr">
        <is>
          <t>Check: net payout at that price</t>
        </is>
      </c>
      <c r="H9" s="4">
        <f>H8-ROUND(H8*(H2+H3)+H4,2)</f>
        <v/>
      </c>
    </row>
  </sheetData>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1"/>
  <sheetViews>
    <sheetView workbookViewId="0">
      <selection activeCell="A1" sqref="A1"/>
    </sheetView>
  </sheetViews>
  <sheetFormatPr baseColWidth="8" defaultRowHeight="15"/>
  <cols>
    <col width="100" customWidth="1" min="1" max="1"/>
  </cols>
  <sheetData>
    <row r="1">
      <c r="A1" s="9" t="inlineStr">
        <is>
          <t>Tidy Tabs: Net Payout After Marketplace Fees</t>
        </is>
      </c>
    </row>
    <row r="2">
      <c r="A2" s="10" t="inlineStr"/>
    </row>
    <row r="3">
      <c r="A3" s="10" t="inlineStr">
        <is>
          <t>1. Net payout tab: yellow cells H2:H4 hold the fee settings. The rates here are made up. Replace them with the rates shown in your own seller account, and update them when the marketplace changes its fees.</t>
        </is>
      </c>
    </row>
    <row r="4">
      <c r="A4" s="10" t="inlineStr">
        <is>
          <t>2. C2: =ROUND(B2*($H$2+$H$3)+$H$4,2) is the fee on that order: both percentages of the price plus the fixed fee, rounded to cents.</t>
        </is>
      </c>
    </row>
    <row r="5">
      <c r="A5" s="10" t="inlineStr">
        <is>
          <t>3. D2: =B2-C2 is the net payout. E2: =D2/B2 is the share of the price you keep.</t>
        </is>
      </c>
    </row>
    <row r="6">
      <c r="A6" s="10" t="inlineStr">
        <is>
          <t>4. The fixed fee hurts small orders most: the $1.00 gift tag set keeps only 65.0% of its price, and the $0.25 sticker sample ends up at a net payout of -$0.02, a loss.</t>
        </is>
      </c>
    </row>
    <row r="7">
      <c r="A7" s="10" t="inlineStr">
        <is>
          <t>5. H8: =ROUNDUP((H7+H4)/(1-H2-H3),2) works backward to the price that nets your target, rounded up to the next cent. H9 checks it by running the forward formula on that price. Because fees are rounded to cents, the check can land a cent above the target (here $15.01 for a $15.00 target).</t>
        </is>
      </c>
    </row>
    <row r="8">
      <c r="A8" s="10" t="inlineStr">
        <is>
          <t>6. This sheet covers only the fees you type in. It does not include shipping, sales tax collected, advertising, refunds, or income tax.</t>
        </is>
      </c>
    </row>
    <row r="9">
      <c r="A9" s="10" t="inlineStr"/>
    </row>
    <row r="10">
      <c r="A10" s="10" t="inlineStr">
        <is>
          <t>Orders and rates are fictional. Checked in LibreOffice Calc only; not opened in Excel or Google Sheets.</t>
        </is>
      </c>
    </row>
    <row r="11">
      <c r="A11" s="10"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2026-10-10T07:28:09Z</dcterms:created>
  <dcterms:modified xmlns:dcterms="http://purl.org/dc/terms/" xmlns:xsi="http://www.w3.org/2001/XMLSchema-instance" xsi:type="dcterms:W3CDTF">2026-10-10T07:28:09Z</dcterms:modified>
</cp:coreProperties>
</file>