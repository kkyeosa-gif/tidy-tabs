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ing" sheetId="1" state="visible" r:id="rId1"/>
    <sheet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2E5E4E"/>
      </patternFill>
    </fill>
    <fill>
      <patternFill patternType="solid">
        <fgColor rgb="00EDED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  <xf numFmtId="165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4" customWidth="1" min="4" max="4"/>
    <col width="13" customWidth="1" min="5" max="5"/>
    <col width="13" customWidth="1" min="6" max="6"/>
    <col width="13" customWidth="1" min="7" max="7"/>
    <col width="16" customWidth="1" min="8" max="8"/>
    <col width="13" customWidth="1" min="9" max="9"/>
  </cols>
  <sheetData>
    <row r="1" ht="30" customHeight="1">
      <c r="A1" s="1" t="inlineStr">
        <is>
          <t>Item</t>
        </is>
      </c>
      <c r="B1" s="1" t="inlineStr">
        <is>
          <t>Unit cost</t>
        </is>
      </c>
      <c r="C1" s="1" t="inlineStr">
        <is>
          <t>Markup %</t>
        </is>
      </c>
      <c r="D1" s="1" t="inlineStr">
        <is>
          <t>Price from markup</t>
        </is>
      </c>
      <c r="E1" s="1" t="inlineStr">
        <is>
          <t>Profit per unit</t>
        </is>
      </c>
      <c r="F1" s="1" t="inlineStr">
        <is>
          <t>Actual margin %</t>
        </is>
      </c>
      <c r="G1" s="1" t="inlineStr">
        <is>
          <t>Target margin %</t>
        </is>
      </c>
      <c r="H1" s="1" t="inlineStr">
        <is>
          <t>Price for target margin</t>
        </is>
      </c>
      <c r="I1" s="1" t="inlineStr">
        <is>
          <t>Margin check</t>
        </is>
      </c>
    </row>
    <row r="2">
      <c r="A2" t="inlineStr">
        <is>
          <t>Lavender soy candle, 8 oz</t>
        </is>
      </c>
      <c r="B2" s="2" t="n">
        <v>4.1</v>
      </c>
      <c r="C2" s="3" t="n">
        <v>1</v>
      </c>
      <c r="D2" s="4">
        <f>ROUND(B2*(1+C2),2)</f>
        <v/>
      </c>
      <c r="E2" s="4">
        <f>D2-B2</f>
        <v/>
      </c>
      <c r="F2" s="5">
        <f>E2/D2</f>
        <v/>
      </c>
      <c r="G2" s="3" t="n">
        <v>0.5</v>
      </c>
      <c r="H2" s="4">
        <f>ROUND(B2/(1-G2),2)</f>
        <v/>
      </c>
      <c r="I2" s="5">
        <f>(H2-B2)/H2</f>
        <v/>
      </c>
    </row>
    <row r="3">
      <c r="A3" t="inlineStr">
        <is>
          <t>Oatmeal goat milk soap bar</t>
        </is>
      </c>
      <c r="B3" s="2" t="n">
        <v>1.8</v>
      </c>
      <c r="C3" s="3" t="n">
        <v>1.5</v>
      </c>
      <c r="D3" s="4">
        <f>ROUND(B3*(1+C3),2)</f>
        <v/>
      </c>
      <c r="E3" s="4">
        <f>D3-B3</f>
        <v/>
      </c>
      <c r="F3" s="5">
        <f>E3/D3</f>
        <v/>
      </c>
      <c r="G3" s="3" t="n">
        <v>0.6</v>
      </c>
      <c r="H3" s="4">
        <f>ROUND(B3/(1-G3),2)</f>
        <v/>
      </c>
      <c r="I3" s="5">
        <f>(H3-B3)/H3</f>
        <v/>
      </c>
    </row>
    <row r="4">
      <c r="A4" t="inlineStr">
        <is>
          <t>Brass hoop earrings</t>
        </is>
      </c>
      <c r="B4" s="2" t="n">
        <v>3.4</v>
      </c>
      <c r="C4" s="3" t="n">
        <v>2</v>
      </c>
      <c r="D4" s="4">
        <f>ROUND(B4*(1+C4),2)</f>
        <v/>
      </c>
      <c r="E4" s="4">
        <f>D4-B4</f>
        <v/>
      </c>
      <c r="F4" s="5">
        <f>E4/D4</f>
        <v/>
      </c>
      <c r="G4" s="3" t="n">
        <v>0.7</v>
      </c>
      <c r="H4" s="4">
        <f>ROUND(B4/(1-G4),2)</f>
        <v/>
      </c>
      <c r="I4" s="5">
        <f>(H4-B4)/H4</f>
        <v/>
      </c>
    </row>
    <row r="5">
      <c r="A5" t="inlineStr">
        <is>
          <t>Letterpress birthday card</t>
        </is>
      </c>
      <c r="B5" s="2" t="n">
        <v>0.95</v>
      </c>
      <c r="C5" s="3" t="n">
        <v>3</v>
      </c>
      <c r="D5" s="4">
        <f>ROUND(B5*(1+C5),2)</f>
        <v/>
      </c>
      <c r="E5" s="4">
        <f>D5-B5</f>
        <v/>
      </c>
      <c r="F5" s="5">
        <f>E5/D5</f>
        <v/>
      </c>
      <c r="G5" s="3" t="n">
        <v>0.75</v>
      </c>
      <c r="H5" s="4">
        <f>ROUND(B5/(1-G5),2)</f>
        <v/>
      </c>
      <c r="I5" s="5">
        <f>(H5-B5)/H5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6" t="inlineStr">
        <is>
          <t>Tidy Tabs: Markup vs Profit Margin Calculator</t>
        </is>
      </c>
    </row>
    <row r="2">
      <c r="A2" t="inlineStr"/>
    </row>
    <row r="3">
      <c r="A3" t="inlineStr">
        <is>
          <t>1. Type Unit cost and the Markup % you use (100% means price is double the cost).</t>
        </is>
      </c>
    </row>
    <row r="4">
      <c r="A4" t="inlineStr">
        <is>
          <t>2. Price from markup = ROUND(B2*(1+C2),2). Profit per unit = price minus cost.</t>
        </is>
      </c>
    </row>
    <row r="5">
      <c r="A5" t="inlineStr">
        <is>
          <t>3. Actual margin % = Profit / Price. A 100% markup is only a 50% margin, because margin is measured against the price, not the cost.</t>
        </is>
      </c>
    </row>
    <row r="6">
      <c r="A6" t="inlineStr">
        <is>
          <t>4. Going the other way: type a Target margin %. Price for target margin = ROUND(B2/(1-G2),2). Do not use B2*(1+G2); that mixes up markup and margin.</t>
        </is>
      </c>
    </row>
    <row r="7">
      <c r="A7" t="inlineStr">
        <is>
          <t>5. Margin check divides the profit at the rounded price by that price; it can differ from the target by a fraction of a percent.</t>
        </is>
      </c>
    </row>
    <row r="8">
      <c r="A8" t="inlineStr"/>
    </row>
    <row r="9">
      <c r="A9" t="inlineStr">
        <is>
          <t>Items and costs are fictional. Prices are arithmetic only; they do not include shipping, fees, or taxes.</t>
        </is>
      </c>
    </row>
    <row r="10">
      <c r="A10" t="inlineStr">
        <is>
          <t>Google Sheets: File &gt; Import &gt; Upload this .xlsx.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2026-09-29T07:27:06Z</dcterms:created>
  <dcterms:modified xsi:type="dcterms:W3CDTF">2026-09-29T07:27:06Z</dcterms:modified>
</cp:coreProperties>
</file>