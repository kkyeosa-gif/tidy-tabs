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'Calendar'!$1:$1</definedName>
    <definedName name="_xlnm.Print_Area" localSheetId="0">'Calendar'!$A$1:$J$19</definedName>
    <definedName name="_xlnm.Print_Titles" localSheetId="1">'Events'!$1:$1</definedName>
    <definedName name="_xlnm.Print_Area" localSheetId="1">'Events'!$A$1:$B$30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d"/>
    <numFmt numFmtId="166" formatCode="0;-0;;@"/>
  </numFmts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" fontId="0" fillId="2" borderId="0" pivotButton="0" quotePrefix="0" xfId="0"/>
    <xf numFmtId="1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165" fontId="0" fillId="3" borderId="1" applyAlignment="1" pivotButton="0" quotePrefix="0" xfId="0">
      <alignment horizontal="left" vertical="top"/>
    </xf>
    <xf numFmtId="166" fontId="0" fillId="3" borderId="1" applyAlignment="1" pivotButton="0" quotePrefix="0" xfId="0">
      <alignment horizontal="center"/>
    </xf>
    <xf numFmtId="0" fontId="3" fillId="4" borderId="0" applyAlignment="1" pivotButton="0" quotePrefix="0" xfId="0">
      <alignment vertical="center" wrapText="1"/>
    </xf>
    <xf numFmtId="164" fontId="0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44" customWidth="1" min="9" max="9"/>
    <col width="14" customWidth="1" min="10" max="10"/>
  </cols>
  <sheetData>
    <row r="1">
      <c r="A1" s="1" t="inlineStr">
        <is>
          <t>Year</t>
        </is>
      </c>
      <c r="B1" s="2" t="n">
        <v>2026</v>
      </c>
      <c r="I1" s="1" t="inlineStr">
        <is>
          <t>Days shown in the grid</t>
        </is>
      </c>
      <c r="J1" s="3">
        <f>COUNT(A6:G11)</f>
        <v/>
      </c>
    </row>
    <row r="2">
      <c r="A2" s="1" t="inlineStr">
        <is>
          <t>Month number</t>
        </is>
      </c>
      <c r="B2" s="2" t="n">
        <v>10</v>
      </c>
      <c r="I2" s="1" t="inlineStr">
        <is>
          <t>Events on the Events tab</t>
        </is>
      </c>
      <c r="J2" s="3">
        <f>COUNT(Events!$A$2:$A$200)</f>
        <v/>
      </c>
    </row>
    <row r="3">
      <c r="A3" s="1" t="inlineStr">
        <is>
          <t>First day</t>
        </is>
      </c>
      <c r="B3" s="4">
        <f>IF(AND(ISNUMBER(B1),ISNUMBER(B2)),IF(AND(B1&gt;=1901,B1&lt;=9999,B2&gt;=1,B2&lt;=12,B2=INT(B2),B1=INT(B1)),DATE(B1,B2,1),""),"")</f>
        <v/>
      </c>
      <c r="I3" s="1" t="inlineStr">
        <is>
          <t>Events in this month</t>
        </is>
      </c>
      <c r="J3" s="3">
        <f>SUM(A14:G19)</f>
        <v/>
      </c>
    </row>
    <row r="4" ht="26" customHeight="1">
      <c r="A4" s="5">
        <f>IF(ISNUMBER(B3),TEXT(B3,"mmmm yyyy"),"Type a year (1901 to 9999) and a month number (1 to 12)")</f>
        <v/>
      </c>
      <c r="I4" s="1" t="inlineStr">
        <is>
          <t>Events in other months</t>
        </is>
      </c>
      <c r="J4" s="3">
        <f>IF(ISNUMBER(B3),J2-J3,"")</f>
        <v/>
      </c>
    </row>
    <row r="5">
      <c r="A5" s="6" t="inlineStr">
        <is>
          <t>Sun</t>
        </is>
      </c>
      <c r="B5" s="6" t="inlineStr">
        <is>
          <t>Mon</t>
        </is>
      </c>
      <c r="C5" s="6" t="inlineStr">
        <is>
          <t>Tue</t>
        </is>
      </c>
      <c r="D5" s="6" t="inlineStr">
        <is>
          <t>Wed</t>
        </is>
      </c>
      <c r="E5" s="6" t="inlineStr">
        <is>
          <t>Thu</t>
        </is>
      </c>
      <c r="F5" s="6" t="inlineStr">
        <is>
          <t>Fri</t>
        </is>
      </c>
      <c r="G5" s="6" t="inlineStr">
        <is>
          <t>Sat</t>
        </is>
      </c>
      <c r="I5" s="1" t="inlineStr">
        <is>
          <t>Check: valid month, event dates are whole days</t>
        </is>
      </c>
      <c r="J5" s="7">
        <f>IF(AND(ISNUMBER(B3),COUNT(Events!$A$2:$A$200)=COUNTA(Events!$A$2:$A$200)),IF(SUMPRODUCT(--(Events!$A$2:$A$200&lt;&gt;INT(Events!$A$2:$A$200)))=0,"OK","CHECK"),"CHECK")</f>
        <v/>
      </c>
    </row>
    <row r="6" ht="34" customHeight="1">
      <c r="A6" s="8">
        <f>IF(ISNUMBER($B$3),IF(MONTH($B$3-WEEKDAY($B$3)+1+(ROW()-ROW($A$6))*7+COLUMN()-COLUMN($A$6))=$B$2,$B$3-WEEKDAY($B$3)+1+(ROW()-ROW($A$6))*7+COLUMN()-COLUMN($A$6),""),"")</f>
        <v/>
      </c>
      <c r="B6" s="8">
        <f>IF(ISNUMBER($B$3),IF(MONTH($B$3-WEEKDAY($B$3)+1+(ROW()-ROW($A$6))*7+COLUMN()-COLUMN($A$6))=$B$2,$B$3-WEEKDAY($B$3)+1+(ROW()-ROW($A$6))*7+COLUMN()-COLUMN($A$6),""),"")</f>
        <v/>
      </c>
      <c r="C6" s="8">
        <f>IF(ISNUMBER($B$3),IF(MONTH($B$3-WEEKDAY($B$3)+1+(ROW()-ROW($A$6))*7+COLUMN()-COLUMN($A$6))=$B$2,$B$3-WEEKDAY($B$3)+1+(ROW()-ROW($A$6))*7+COLUMN()-COLUMN($A$6),""),"")</f>
        <v/>
      </c>
      <c r="D6" s="8">
        <f>IF(ISNUMBER($B$3),IF(MONTH($B$3-WEEKDAY($B$3)+1+(ROW()-ROW($A$6))*7+COLUMN()-COLUMN($A$6))=$B$2,$B$3-WEEKDAY($B$3)+1+(ROW()-ROW($A$6))*7+COLUMN()-COLUMN($A$6),""),"")</f>
        <v/>
      </c>
      <c r="E6" s="8">
        <f>IF(ISNUMBER($B$3),IF(MONTH($B$3-WEEKDAY($B$3)+1+(ROW()-ROW($A$6))*7+COLUMN()-COLUMN($A$6))=$B$2,$B$3-WEEKDAY($B$3)+1+(ROW()-ROW($A$6))*7+COLUMN()-COLUMN($A$6),""),"")</f>
        <v/>
      </c>
      <c r="F6" s="8">
        <f>IF(ISNUMBER($B$3),IF(MONTH($B$3-WEEKDAY($B$3)+1+(ROW()-ROW($A$6))*7+COLUMN()-COLUMN($A$6))=$B$2,$B$3-WEEKDAY($B$3)+1+(ROW()-ROW($A$6))*7+COLUMN()-COLUMN($A$6),""),"")</f>
        <v/>
      </c>
      <c r="G6" s="8">
        <f>IF(ISNUMBER($B$3),IF(MONTH($B$3-WEEKDAY($B$3)+1+(ROW()-ROW($A$6))*7+COLUMN()-COLUMN($A$6))=$B$2,$B$3-WEEKDAY($B$3)+1+(ROW()-ROW($A$6))*7+COLUMN()-COLUMN($A$6),""),"")</f>
        <v/>
      </c>
    </row>
    <row r="7" ht="34" customHeight="1">
      <c r="A7" s="8">
        <f>IF(ISNUMBER($B$3),IF(MONTH($B$3-WEEKDAY($B$3)+1+(ROW()-ROW($A$6))*7+COLUMN()-COLUMN($A$6))=$B$2,$B$3-WEEKDAY($B$3)+1+(ROW()-ROW($A$6))*7+COLUMN()-COLUMN($A$6),""),"")</f>
        <v/>
      </c>
      <c r="B7" s="8">
        <f>IF(ISNUMBER($B$3),IF(MONTH($B$3-WEEKDAY($B$3)+1+(ROW()-ROW($A$6))*7+COLUMN()-COLUMN($A$6))=$B$2,$B$3-WEEKDAY($B$3)+1+(ROW()-ROW($A$6))*7+COLUMN()-COLUMN($A$6),""),"")</f>
        <v/>
      </c>
      <c r="C7" s="8">
        <f>IF(ISNUMBER($B$3),IF(MONTH($B$3-WEEKDAY($B$3)+1+(ROW()-ROW($A$6))*7+COLUMN()-COLUMN($A$6))=$B$2,$B$3-WEEKDAY($B$3)+1+(ROW()-ROW($A$6))*7+COLUMN()-COLUMN($A$6),""),"")</f>
        <v/>
      </c>
      <c r="D7" s="8">
        <f>IF(ISNUMBER($B$3),IF(MONTH($B$3-WEEKDAY($B$3)+1+(ROW()-ROW($A$6))*7+COLUMN()-COLUMN($A$6))=$B$2,$B$3-WEEKDAY($B$3)+1+(ROW()-ROW($A$6))*7+COLUMN()-COLUMN($A$6),""),"")</f>
        <v/>
      </c>
      <c r="E7" s="8">
        <f>IF(ISNUMBER($B$3),IF(MONTH($B$3-WEEKDAY($B$3)+1+(ROW()-ROW($A$6))*7+COLUMN()-COLUMN($A$6))=$B$2,$B$3-WEEKDAY($B$3)+1+(ROW()-ROW($A$6))*7+COLUMN()-COLUMN($A$6),""),"")</f>
        <v/>
      </c>
      <c r="F7" s="8">
        <f>IF(ISNUMBER($B$3),IF(MONTH($B$3-WEEKDAY($B$3)+1+(ROW()-ROW($A$6))*7+COLUMN()-COLUMN($A$6))=$B$2,$B$3-WEEKDAY($B$3)+1+(ROW()-ROW($A$6))*7+COLUMN()-COLUMN($A$6),""),"")</f>
        <v/>
      </c>
      <c r="G7" s="8">
        <f>IF(ISNUMBER($B$3),IF(MONTH($B$3-WEEKDAY($B$3)+1+(ROW()-ROW($A$6))*7+COLUMN()-COLUMN($A$6))=$B$2,$B$3-WEEKDAY($B$3)+1+(ROW()-ROW($A$6))*7+COLUMN()-COLUMN($A$6),""),"")</f>
        <v/>
      </c>
    </row>
    <row r="8" ht="34" customHeight="1">
      <c r="A8" s="8">
        <f>IF(ISNUMBER($B$3),IF(MONTH($B$3-WEEKDAY($B$3)+1+(ROW()-ROW($A$6))*7+COLUMN()-COLUMN($A$6))=$B$2,$B$3-WEEKDAY($B$3)+1+(ROW()-ROW($A$6))*7+COLUMN()-COLUMN($A$6),""),"")</f>
        <v/>
      </c>
      <c r="B8" s="8">
        <f>IF(ISNUMBER($B$3),IF(MONTH($B$3-WEEKDAY($B$3)+1+(ROW()-ROW($A$6))*7+COLUMN()-COLUMN($A$6))=$B$2,$B$3-WEEKDAY($B$3)+1+(ROW()-ROW($A$6))*7+COLUMN()-COLUMN($A$6),""),"")</f>
        <v/>
      </c>
      <c r="C8" s="8">
        <f>IF(ISNUMBER($B$3),IF(MONTH($B$3-WEEKDAY($B$3)+1+(ROW()-ROW($A$6))*7+COLUMN()-COLUMN($A$6))=$B$2,$B$3-WEEKDAY($B$3)+1+(ROW()-ROW($A$6))*7+COLUMN()-COLUMN($A$6),""),"")</f>
        <v/>
      </c>
      <c r="D8" s="8">
        <f>IF(ISNUMBER($B$3),IF(MONTH($B$3-WEEKDAY($B$3)+1+(ROW()-ROW($A$6))*7+COLUMN()-COLUMN($A$6))=$B$2,$B$3-WEEKDAY($B$3)+1+(ROW()-ROW($A$6))*7+COLUMN()-COLUMN($A$6),""),"")</f>
        <v/>
      </c>
      <c r="E8" s="8">
        <f>IF(ISNUMBER($B$3),IF(MONTH($B$3-WEEKDAY($B$3)+1+(ROW()-ROW($A$6))*7+COLUMN()-COLUMN($A$6))=$B$2,$B$3-WEEKDAY($B$3)+1+(ROW()-ROW($A$6))*7+COLUMN()-COLUMN($A$6),""),"")</f>
        <v/>
      </c>
      <c r="F8" s="8">
        <f>IF(ISNUMBER($B$3),IF(MONTH($B$3-WEEKDAY($B$3)+1+(ROW()-ROW($A$6))*7+COLUMN()-COLUMN($A$6))=$B$2,$B$3-WEEKDAY($B$3)+1+(ROW()-ROW($A$6))*7+COLUMN()-COLUMN($A$6),""),"")</f>
        <v/>
      </c>
      <c r="G8" s="8">
        <f>IF(ISNUMBER($B$3),IF(MONTH($B$3-WEEKDAY($B$3)+1+(ROW()-ROW($A$6))*7+COLUMN()-COLUMN($A$6))=$B$2,$B$3-WEEKDAY($B$3)+1+(ROW()-ROW($A$6))*7+COLUMN()-COLUMN($A$6),""),"")</f>
        <v/>
      </c>
    </row>
    <row r="9" ht="34" customHeight="1">
      <c r="A9" s="8">
        <f>IF(ISNUMBER($B$3),IF(MONTH($B$3-WEEKDAY($B$3)+1+(ROW()-ROW($A$6))*7+COLUMN()-COLUMN($A$6))=$B$2,$B$3-WEEKDAY($B$3)+1+(ROW()-ROW($A$6))*7+COLUMN()-COLUMN($A$6),""),"")</f>
        <v/>
      </c>
      <c r="B9" s="8">
        <f>IF(ISNUMBER($B$3),IF(MONTH($B$3-WEEKDAY($B$3)+1+(ROW()-ROW($A$6))*7+COLUMN()-COLUMN($A$6))=$B$2,$B$3-WEEKDAY($B$3)+1+(ROW()-ROW($A$6))*7+COLUMN()-COLUMN($A$6),""),"")</f>
        <v/>
      </c>
      <c r="C9" s="8">
        <f>IF(ISNUMBER($B$3),IF(MONTH($B$3-WEEKDAY($B$3)+1+(ROW()-ROW($A$6))*7+COLUMN()-COLUMN($A$6))=$B$2,$B$3-WEEKDAY($B$3)+1+(ROW()-ROW($A$6))*7+COLUMN()-COLUMN($A$6),""),"")</f>
        <v/>
      </c>
      <c r="D9" s="8">
        <f>IF(ISNUMBER($B$3),IF(MONTH($B$3-WEEKDAY($B$3)+1+(ROW()-ROW($A$6))*7+COLUMN()-COLUMN($A$6))=$B$2,$B$3-WEEKDAY($B$3)+1+(ROW()-ROW($A$6))*7+COLUMN()-COLUMN($A$6),""),"")</f>
        <v/>
      </c>
      <c r="E9" s="8">
        <f>IF(ISNUMBER($B$3),IF(MONTH($B$3-WEEKDAY($B$3)+1+(ROW()-ROW($A$6))*7+COLUMN()-COLUMN($A$6))=$B$2,$B$3-WEEKDAY($B$3)+1+(ROW()-ROW($A$6))*7+COLUMN()-COLUMN($A$6),""),"")</f>
        <v/>
      </c>
      <c r="F9" s="8">
        <f>IF(ISNUMBER($B$3),IF(MONTH($B$3-WEEKDAY($B$3)+1+(ROW()-ROW($A$6))*7+COLUMN()-COLUMN($A$6))=$B$2,$B$3-WEEKDAY($B$3)+1+(ROW()-ROW($A$6))*7+COLUMN()-COLUMN($A$6),""),"")</f>
        <v/>
      </c>
      <c r="G9" s="8">
        <f>IF(ISNUMBER($B$3),IF(MONTH($B$3-WEEKDAY($B$3)+1+(ROW()-ROW($A$6))*7+COLUMN()-COLUMN($A$6))=$B$2,$B$3-WEEKDAY($B$3)+1+(ROW()-ROW($A$6))*7+COLUMN()-COLUMN($A$6),""),"")</f>
        <v/>
      </c>
    </row>
    <row r="10" ht="34" customHeight="1">
      <c r="A10" s="8">
        <f>IF(ISNUMBER($B$3),IF(MONTH($B$3-WEEKDAY($B$3)+1+(ROW()-ROW($A$6))*7+COLUMN()-COLUMN($A$6))=$B$2,$B$3-WEEKDAY($B$3)+1+(ROW()-ROW($A$6))*7+COLUMN()-COLUMN($A$6),""),"")</f>
        <v/>
      </c>
      <c r="B10" s="8">
        <f>IF(ISNUMBER($B$3),IF(MONTH($B$3-WEEKDAY($B$3)+1+(ROW()-ROW($A$6))*7+COLUMN()-COLUMN($A$6))=$B$2,$B$3-WEEKDAY($B$3)+1+(ROW()-ROW($A$6))*7+COLUMN()-COLUMN($A$6),""),"")</f>
        <v/>
      </c>
      <c r="C10" s="8">
        <f>IF(ISNUMBER($B$3),IF(MONTH($B$3-WEEKDAY($B$3)+1+(ROW()-ROW($A$6))*7+COLUMN()-COLUMN($A$6))=$B$2,$B$3-WEEKDAY($B$3)+1+(ROW()-ROW($A$6))*7+COLUMN()-COLUMN($A$6),""),"")</f>
        <v/>
      </c>
      <c r="D10" s="8">
        <f>IF(ISNUMBER($B$3),IF(MONTH($B$3-WEEKDAY($B$3)+1+(ROW()-ROW($A$6))*7+COLUMN()-COLUMN($A$6))=$B$2,$B$3-WEEKDAY($B$3)+1+(ROW()-ROW($A$6))*7+COLUMN()-COLUMN($A$6),""),"")</f>
        <v/>
      </c>
      <c r="E10" s="8">
        <f>IF(ISNUMBER($B$3),IF(MONTH($B$3-WEEKDAY($B$3)+1+(ROW()-ROW($A$6))*7+COLUMN()-COLUMN($A$6))=$B$2,$B$3-WEEKDAY($B$3)+1+(ROW()-ROW($A$6))*7+COLUMN()-COLUMN($A$6),""),"")</f>
        <v/>
      </c>
      <c r="F10" s="8">
        <f>IF(ISNUMBER($B$3),IF(MONTH($B$3-WEEKDAY($B$3)+1+(ROW()-ROW($A$6))*7+COLUMN()-COLUMN($A$6))=$B$2,$B$3-WEEKDAY($B$3)+1+(ROW()-ROW($A$6))*7+COLUMN()-COLUMN($A$6),""),"")</f>
        <v/>
      </c>
      <c r="G10" s="8">
        <f>IF(ISNUMBER($B$3),IF(MONTH($B$3-WEEKDAY($B$3)+1+(ROW()-ROW($A$6))*7+COLUMN()-COLUMN($A$6))=$B$2,$B$3-WEEKDAY($B$3)+1+(ROW()-ROW($A$6))*7+COLUMN()-COLUMN($A$6),""),"")</f>
        <v/>
      </c>
    </row>
    <row r="11" ht="34" customHeight="1">
      <c r="A11" s="8">
        <f>IF(ISNUMBER($B$3),IF(MONTH($B$3-WEEKDAY($B$3)+1+(ROW()-ROW($A$6))*7+COLUMN()-COLUMN($A$6))=$B$2,$B$3-WEEKDAY($B$3)+1+(ROW()-ROW($A$6))*7+COLUMN()-COLUMN($A$6),""),"")</f>
        <v/>
      </c>
      <c r="B11" s="8">
        <f>IF(ISNUMBER($B$3),IF(MONTH($B$3-WEEKDAY($B$3)+1+(ROW()-ROW($A$6))*7+COLUMN()-COLUMN($A$6))=$B$2,$B$3-WEEKDAY($B$3)+1+(ROW()-ROW($A$6))*7+COLUMN()-COLUMN($A$6),""),"")</f>
        <v/>
      </c>
      <c r="C11" s="8">
        <f>IF(ISNUMBER($B$3),IF(MONTH($B$3-WEEKDAY($B$3)+1+(ROW()-ROW($A$6))*7+COLUMN()-COLUMN($A$6))=$B$2,$B$3-WEEKDAY($B$3)+1+(ROW()-ROW($A$6))*7+COLUMN()-COLUMN($A$6),""),"")</f>
        <v/>
      </c>
      <c r="D11" s="8">
        <f>IF(ISNUMBER($B$3),IF(MONTH($B$3-WEEKDAY($B$3)+1+(ROW()-ROW($A$6))*7+COLUMN()-COLUMN($A$6))=$B$2,$B$3-WEEKDAY($B$3)+1+(ROW()-ROW($A$6))*7+COLUMN()-COLUMN($A$6),""),"")</f>
        <v/>
      </c>
      <c r="E11" s="8">
        <f>IF(ISNUMBER($B$3),IF(MONTH($B$3-WEEKDAY($B$3)+1+(ROW()-ROW($A$6))*7+COLUMN()-COLUMN($A$6))=$B$2,$B$3-WEEKDAY($B$3)+1+(ROW()-ROW($A$6))*7+COLUMN()-COLUMN($A$6),""),"")</f>
        <v/>
      </c>
      <c r="F11" s="8">
        <f>IF(ISNUMBER($B$3),IF(MONTH($B$3-WEEKDAY($B$3)+1+(ROW()-ROW($A$6))*7+COLUMN()-COLUMN($A$6))=$B$2,$B$3-WEEKDAY($B$3)+1+(ROW()-ROW($A$6))*7+COLUMN()-COLUMN($A$6),""),"")</f>
        <v/>
      </c>
      <c r="G11" s="8">
        <f>IF(ISNUMBER($B$3),IF(MONTH($B$3-WEEKDAY($B$3)+1+(ROW()-ROW($A$6))*7+COLUMN()-COLUMN($A$6))=$B$2,$B$3-WEEKDAY($B$3)+1+(ROW()-ROW($A$6))*7+COLUMN()-COLUMN($A$6),""),"")</f>
        <v/>
      </c>
    </row>
    <row r="12">
      <c r="A12" s="1" t="inlineStr">
        <is>
          <t>Events per day (from the Events tab)</t>
        </is>
      </c>
    </row>
    <row r="13">
      <c r="A13" s="6" t="inlineStr">
        <is>
          <t>Sun</t>
        </is>
      </c>
      <c r="B13" s="6" t="inlineStr">
        <is>
          <t>Mon</t>
        </is>
      </c>
      <c r="C13" s="6" t="inlineStr">
        <is>
          <t>Tue</t>
        </is>
      </c>
      <c r="D13" s="6" t="inlineStr">
        <is>
          <t>Wed</t>
        </is>
      </c>
      <c r="E13" s="6" t="inlineStr">
        <is>
          <t>Thu</t>
        </is>
      </c>
      <c r="F13" s="6" t="inlineStr">
        <is>
          <t>Fri</t>
        </is>
      </c>
      <c r="G13" s="6" t="inlineStr">
        <is>
          <t>Sat</t>
        </is>
      </c>
    </row>
    <row r="14">
      <c r="A14" s="9">
        <f>IF(A6="","",COUNTIF(Events!$A$2:$A$200,A6))</f>
        <v/>
      </c>
      <c r="B14" s="9">
        <f>IF(B6="","",COUNTIF(Events!$A$2:$A$200,B6))</f>
        <v/>
      </c>
      <c r="C14" s="9">
        <f>IF(C6="","",COUNTIF(Events!$A$2:$A$200,C6))</f>
        <v/>
      </c>
      <c r="D14" s="9">
        <f>IF(D6="","",COUNTIF(Events!$A$2:$A$200,D6))</f>
        <v/>
      </c>
      <c r="E14" s="9">
        <f>IF(E6="","",COUNTIF(Events!$A$2:$A$200,E6))</f>
        <v/>
      </c>
      <c r="F14" s="9">
        <f>IF(F6="","",COUNTIF(Events!$A$2:$A$200,F6))</f>
        <v/>
      </c>
      <c r="G14" s="9">
        <f>IF(G6="","",COUNTIF(Events!$A$2:$A$200,G6))</f>
        <v/>
      </c>
    </row>
    <row r="15">
      <c r="A15" s="9">
        <f>IF(A7="","",COUNTIF(Events!$A$2:$A$200,A7))</f>
        <v/>
      </c>
      <c r="B15" s="9">
        <f>IF(B7="","",COUNTIF(Events!$A$2:$A$200,B7))</f>
        <v/>
      </c>
      <c r="C15" s="9">
        <f>IF(C7="","",COUNTIF(Events!$A$2:$A$200,C7))</f>
        <v/>
      </c>
      <c r="D15" s="9">
        <f>IF(D7="","",COUNTIF(Events!$A$2:$A$200,D7))</f>
        <v/>
      </c>
      <c r="E15" s="9">
        <f>IF(E7="","",COUNTIF(Events!$A$2:$A$200,E7))</f>
        <v/>
      </c>
      <c r="F15" s="9">
        <f>IF(F7="","",COUNTIF(Events!$A$2:$A$200,F7))</f>
        <v/>
      </c>
      <c r="G15" s="9">
        <f>IF(G7="","",COUNTIF(Events!$A$2:$A$200,G7))</f>
        <v/>
      </c>
    </row>
    <row r="16">
      <c r="A16" s="9">
        <f>IF(A8="","",COUNTIF(Events!$A$2:$A$200,A8))</f>
        <v/>
      </c>
      <c r="B16" s="9">
        <f>IF(B8="","",COUNTIF(Events!$A$2:$A$200,B8))</f>
        <v/>
      </c>
      <c r="C16" s="9">
        <f>IF(C8="","",COUNTIF(Events!$A$2:$A$200,C8))</f>
        <v/>
      </c>
      <c r="D16" s="9">
        <f>IF(D8="","",COUNTIF(Events!$A$2:$A$200,D8))</f>
        <v/>
      </c>
      <c r="E16" s="9">
        <f>IF(E8="","",COUNTIF(Events!$A$2:$A$200,E8))</f>
        <v/>
      </c>
      <c r="F16" s="9">
        <f>IF(F8="","",COUNTIF(Events!$A$2:$A$200,F8))</f>
        <v/>
      </c>
      <c r="G16" s="9">
        <f>IF(G8="","",COUNTIF(Events!$A$2:$A$200,G8))</f>
        <v/>
      </c>
    </row>
    <row r="17">
      <c r="A17" s="9">
        <f>IF(A9="","",COUNTIF(Events!$A$2:$A$200,A9))</f>
        <v/>
      </c>
      <c r="B17" s="9">
        <f>IF(B9="","",COUNTIF(Events!$A$2:$A$200,B9))</f>
        <v/>
      </c>
      <c r="C17" s="9">
        <f>IF(C9="","",COUNTIF(Events!$A$2:$A$200,C9))</f>
        <v/>
      </c>
      <c r="D17" s="9">
        <f>IF(D9="","",COUNTIF(Events!$A$2:$A$200,D9))</f>
        <v/>
      </c>
      <c r="E17" s="9">
        <f>IF(E9="","",COUNTIF(Events!$A$2:$A$200,E9))</f>
        <v/>
      </c>
      <c r="F17" s="9">
        <f>IF(F9="","",COUNTIF(Events!$A$2:$A$200,F9))</f>
        <v/>
      </c>
      <c r="G17" s="9">
        <f>IF(G9="","",COUNTIF(Events!$A$2:$A$200,G9))</f>
        <v/>
      </c>
    </row>
    <row r="18">
      <c r="A18" s="9">
        <f>IF(A10="","",COUNTIF(Events!$A$2:$A$200,A10))</f>
        <v/>
      </c>
      <c r="B18" s="9">
        <f>IF(B10="","",COUNTIF(Events!$A$2:$A$200,B10))</f>
        <v/>
      </c>
      <c r="C18" s="9">
        <f>IF(C10="","",COUNTIF(Events!$A$2:$A$200,C10))</f>
        <v/>
      </c>
      <c r="D18" s="9">
        <f>IF(D10="","",COUNTIF(Events!$A$2:$A$200,D10))</f>
        <v/>
      </c>
      <c r="E18" s="9">
        <f>IF(E10="","",COUNTIF(Events!$A$2:$A$200,E10))</f>
        <v/>
      </c>
      <c r="F18" s="9">
        <f>IF(F10="","",COUNTIF(Events!$A$2:$A$200,F10))</f>
        <v/>
      </c>
      <c r="G18" s="9">
        <f>IF(G10="","",COUNTIF(Events!$A$2:$A$200,G10))</f>
        <v/>
      </c>
    </row>
    <row r="19">
      <c r="A19" s="9">
        <f>IF(A11="","",COUNTIF(Events!$A$2:$A$200,A11))</f>
        <v/>
      </c>
      <c r="B19" s="9">
        <f>IF(B11="","",COUNTIF(Events!$A$2:$A$200,B11))</f>
        <v/>
      </c>
      <c r="C19" s="9">
        <f>IF(C11="","",COUNTIF(Events!$A$2:$A$200,C11))</f>
        <v/>
      </c>
      <c r="D19" s="9">
        <f>IF(D11="","",COUNTIF(Events!$A$2:$A$200,D11))</f>
        <v/>
      </c>
      <c r="E19" s="9">
        <f>IF(E11="","",COUNTIF(Events!$A$2:$A$200,E11))</f>
        <v/>
      </c>
      <c r="F19" s="9">
        <f>IF(F11="","",COUNTIF(Events!$A$2:$A$200,F11))</f>
        <v/>
      </c>
      <c r="G19" s="9">
        <f>IF(G11="","",COUNTIF(Events!$A$2:$A$200,G11))</f>
        <v/>
      </c>
    </row>
  </sheetData>
  <mergeCells count="1">
    <mergeCell ref="A4:G4"/>
  </mergeCells>
  <conditionalFormatting sqref="A14:G19">
    <cfRule type="expression" priority="1" dxfId="0">
      <formula>AND(ISNUMBER(A14),A14&gt;0)</formula>
    </cfRule>
  </conditionalFormatting>
  <conditionalFormatting sqref="J5">
    <cfRule type="expression" priority="2" dxfId="1">
      <formula>AND(J5&lt;&gt;"OK",J5&lt;&gt;"")</formula>
    </cfRule>
  </conditionalFormatting>
  <dataValidations count="2">
    <dataValidation sqref="B2" showDropDown="0" showInputMessage="0" showErrorMessage="0" allowBlank="0" type="list">
      <formula1>"1,2,3,4,5,6,7,8,9,10,11,12"</formula1>
    </dataValidation>
    <dataValidation sqref="B1" showDropDown="0" showInputMessage="0" showErrorMessage="0" allowBlank="0" type="whole" operator="between">
      <formula1>1901</formula1>
      <formula2>9999</formula2>
    </dataValidation>
  </dataValidations>
  <pageMargins left="0.75" right="0.75" top="1" bottom="1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</cols>
  <sheetData>
    <row r="1" ht="30" customHeight="1">
      <c r="A1" s="10" t="inlineStr">
        <is>
          <t>Date</t>
        </is>
      </c>
      <c r="B1" s="10" t="inlineStr">
        <is>
          <t>What</t>
        </is>
      </c>
    </row>
    <row r="2">
      <c r="A2" s="11" t="n">
        <v>46297</v>
      </c>
      <c r="B2" s="12" t="inlineStr">
        <is>
          <t>Spooky candle listing goes live</t>
        </is>
      </c>
    </row>
    <row r="3">
      <c r="A3" s="11" t="n">
        <v>46298</v>
      </c>
      <c r="B3" s="12" t="inlineStr">
        <is>
          <t>Saturday farmers market</t>
        </is>
      </c>
    </row>
    <row r="4">
      <c r="A4" s="11" t="n">
        <v>46303</v>
      </c>
      <c r="B4" s="12" t="inlineStr">
        <is>
          <t>Newsletter due</t>
        </is>
      </c>
    </row>
    <row r="5">
      <c r="A5" s="11" t="n">
        <v>46305</v>
      </c>
      <c r="B5" s="12" t="inlineStr">
        <is>
          <t>Saturday farmers market</t>
        </is>
      </c>
    </row>
    <row r="6">
      <c r="A6" s="11" t="n">
        <v>46305</v>
      </c>
      <c r="B6" s="12" t="inlineStr">
        <is>
          <t>Wholesale order ships</t>
        </is>
      </c>
    </row>
    <row r="7">
      <c r="A7" s="11" t="n">
        <v>46310</v>
      </c>
      <c r="B7" s="12" t="inlineStr">
        <is>
          <t>Blog post due</t>
        </is>
      </c>
    </row>
    <row r="8">
      <c r="A8" s="11" t="n">
        <v>46312</v>
      </c>
      <c r="B8" s="12" t="inlineStr">
        <is>
          <t>Craft fair booth</t>
        </is>
      </c>
    </row>
    <row r="9">
      <c r="A9" s="11" t="n">
        <v>46317</v>
      </c>
      <c r="B9" s="12" t="inlineStr">
        <is>
          <t>Newsletter due</t>
        </is>
      </c>
    </row>
    <row r="10">
      <c r="A10" s="11" t="n">
        <v>46319</v>
      </c>
      <c r="B10" s="12" t="inlineStr">
        <is>
          <t>Saturday farmers market</t>
        </is>
      </c>
    </row>
    <row r="11">
      <c r="A11" s="11" t="n">
        <v>46323</v>
      </c>
      <c r="B11" s="12" t="inlineStr">
        <is>
          <t>Holiday shipping cutoff for wholesale</t>
        </is>
      </c>
    </row>
    <row r="12">
      <c r="A12" s="11" t="n">
        <v>46326</v>
      </c>
      <c r="B12" s="12" t="inlineStr">
        <is>
          <t>Halloween market</t>
        </is>
      </c>
    </row>
    <row r="13">
      <c r="A13" s="11" t="n">
        <v>46333</v>
      </c>
      <c r="B13" s="12" t="inlineStr">
        <is>
          <t>Saturday farmers market</t>
        </is>
      </c>
    </row>
    <row r="14">
      <c r="A14" s="11" t="n">
        <v>46340</v>
      </c>
      <c r="B14" s="12" t="inlineStr">
        <is>
          <t>Craft fair booth</t>
        </is>
      </c>
    </row>
    <row r="15">
      <c r="A15" s="11" t="n"/>
      <c r="B15" s="12" t="n"/>
    </row>
    <row r="16">
      <c r="A16" s="11" t="n"/>
      <c r="B16" s="12" t="n"/>
    </row>
    <row r="17">
      <c r="A17" s="11" t="n"/>
      <c r="B17" s="12" t="n"/>
    </row>
    <row r="18">
      <c r="A18" s="11" t="n"/>
      <c r="B18" s="12" t="n"/>
    </row>
    <row r="19">
      <c r="A19" s="11" t="n"/>
      <c r="B19" s="12" t="n"/>
    </row>
    <row r="20">
      <c r="A20" s="11" t="n"/>
      <c r="B20" s="12" t="n"/>
    </row>
    <row r="21">
      <c r="A21" s="11" t="n"/>
      <c r="B21" s="12" t="n"/>
    </row>
    <row r="22">
      <c r="A22" s="11" t="n"/>
      <c r="B22" s="12" t="n"/>
    </row>
    <row r="23">
      <c r="A23" s="11" t="n"/>
      <c r="B23" s="12" t="n"/>
    </row>
    <row r="24">
      <c r="A24" s="11" t="n"/>
      <c r="B24" s="12" t="n"/>
    </row>
    <row r="25">
      <c r="A25" s="11" t="n"/>
      <c r="B25" s="12" t="n"/>
    </row>
    <row r="26">
      <c r="A26" s="11" t="n"/>
      <c r="B26" s="12" t="n"/>
    </row>
    <row r="27">
      <c r="A27" s="11" t="n"/>
      <c r="B27" s="12" t="n"/>
    </row>
    <row r="28">
      <c r="A28" s="11" t="n"/>
      <c r="B28" s="12" t="n"/>
    </row>
    <row r="29">
      <c r="A29" s="11" t="n"/>
      <c r="B29" s="12" t="n"/>
    </row>
    <row r="30">
      <c r="A30" s="11" t="n"/>
      <c r="B30" s="12" t="n"/>
    </row>
    <row r="31">
      <c r="A31" s="11" t="n"/>
      <c r="B31" s="12" t="n"/>
    </row>
    <row r="32">
      <c r="A32" s="11" t="n"/>
      <c r="B32" s="12" t="n"/>
    </row>
    <row r="33">
      <c r="A33" s="11" t="n"/>
      <c r="B33" s="12" t="n"/>
    </row>
    <row r="34">
      <c r="A34" s="11" t="n"/>
      <c r="B34" s="12" t="n"/>
    </row>
    <row r="35">
      <c r="A35" s="11" t="n"/>
      <c r="B35" s="12" t="n"/>
    </row>
    <row r="36">
      <c r="A36" s="11" t="n"/>
      <c r="B36" s="12" t="n"/>
    </row>
    <row r="37">
      <c r="A37" s="11" t="n"/>
      <c r="B37" s="12" t="n"/>
    </row>
    <row r="38">
      <c r="A38" s="11" t="n"/>
      <c r="B38" s="12" t="n"/>
    </row>
    <row r="39">
      <c r="A39" s="11" t="n"/>
      <c r="B39" s="12" t="n"/>
    </row>
    <row r="40">
      <c r="A40" s="11" t="n"/>
      <c r="B40" s="12" t="n"/>
    </row>
    <row r="41">
      <c r="A41" s="11" t="n"/>
      <c r="B41" s="12" t="n"/>
    </row>
    <row r="42">
      <c r="A42" s="11" t="n"/>
      <c r="B42" s="12" t="n"/>
    </row>
    <row r="43">
      <c r="A43" s="11" t="n"/>
      <c r="B43" s="12" t="n"/>
    </row>
    <row r="44">
      <c r="A44" s="11" t="n"/>
      <c r="B44" s="12" t="n"/>
    </row>
    <row r="45">
      <c r="A45" s="11" t="n"/>
      <c r="B45" s="12" t="n"/>
    </row>
    <row r="46">
      <c r="A46" s="11" t="n"/>
      <c r="B46" s="12" t="n"/>
    </row>
    <row r="47">
      <c r="A47" s="11" t="n"/>
      <c r="B47" s="12" t="n"/>
    </row>
    <row r="48">
      <c r="A48" s="11" t="n"/>
      <c r="B48" s="12" t="n"/>
    </row>
    <row r="49">
      <c r="A49" s="11" t="n"/>
      <c r="B49" s="12" t="n"/>
    </row>
    <row r="50">
      <c r="A50" s="11" t="n"/>
      <c r="B50" s="12" t="n"/>
    </row>
    <row r="51">
      <c r="A51" s="11" t="n"/>
      <c r="B51" s="12" t="n"/>
    </row>
    <row r="52">
      <c r="A52" s="11" t="n"/>
      <c r="B52" s="12" t="n"/>
    </row>
    <row r="53">
      <c r="A53" s="11" t="n"/>
      <c r="B53" s="12" t="n"/>
    </row>
    <row r="54">
      <c r="A54" s="11" t="n"/>
      <c r="B54" s="12" t="n"/>
    </row>
    <row r="55">
      <c r="A55" s="11" t="n"/>
      <c r="B55" s="12" t="n"/>
    </row>
    <row r="56">
      <c r="A56" s="11" t="n"/>
      <c r="B56" s="12" t="n"/>
    </row>
    <row r="57">
      <c r="A57" s="11" t="n"/>
      <c r="B57" s="12" t="n"/>
    </row>
    <row r="58">
      <c r="A58" s="11" t="n"/>
      <c r="B58" s="12" t="n"/>
    </row>
    <row r="59">
      <c r="A59" s="11" t="n"/>
      <c r="B59" s="12" t="n"/>
    </row>
    <row r="60">
      <c r="A60" s="11" t="n"/>
      <c r="B60" s="12" t="n"/>
    </row>
    <row r="61">
      <c r="A61" s="11" t="n"/>
      <c r="B61" s="12" t="n"/>
    </row>
    <row r="62">
      <c r="A62" s="11" t="n"/>
      <c r="B62" s="12" t="n"/>
    </row>
    <row r="63">
      <c r="A63" s="11" t="n"/>
      <c r="B63" s="12" t="n"/>
    </row>
    <row r="64">
      <c r="A64" s="11" t="n"/>
      <c r="B64" s="12" t="n"/>
    </row>
    <row r="65">
      <c r="A65" s="11" t="n"/>
      <c r="B65" s="12" t="n"/>
    </row>
    <row r="66">
      <c r="A66" s="11" t="n"/>
      <c r="B66" s="12" t="n"/>
    </row>
    <row r="67">
      <c r="A67" s="11" t="n"/>
      <c r="B67" s="12" t="n"/>
    </row>
    <row r="68">
      <c r="A68" s="11" t="n"/>
      <c r="B68" s="12" t="n"/>
    </row>
    <row r="69">
      <c r="A69" s="11" t="n"/>
      <c r="B69" s="12" t="n"/>
    </row>
    <row r="70">
      <c r="A70" s="11" t="n"/>
      <c r="B70" s="12" t="n"/>
    </row>
    <row r="71">
      <c r="A71" s="11" t="n"/>
      <c r="B71" s="12" t="n"/>
    </row>
    <row r="72">
      <c r="A72" s="11" t="n"/>
      <c r="B72" s="12" t="n"/>
    </row>
    <row r="73">
      <c r="A73" s="11" t="n"/>
      <c r="B73" s="12" t="n"/>
    </row>
    <row r="74">
      <c r="A74" s="11" t="n"/>
      <c r="B74" s="12" t="n"/>
    </row>
    <row r="75">
      <c r="A75" s="11" t="n"/>
      <c r="B75" s="12" t="n"/>
    </row>
    <row r="76">
      <c r="A76" s="11" t="n"/>
      <c r="B76" s="12" t="n"/>
    </row>
    <row r="77">
      <c r="A77" s="11" t="n"/>
      <c r="B77" s="12" t="n"/>
    </row>
    <row r="78">
      <c r="A78" s="11" t="n"/>
      <c r="B78" s="12" t="n"/>
    </row>
    <row r="79">
      <c r="A79" s="11" t="n"/>
      <c r="B79" s="12" t="n"/>
    </row>
    <row r="80">
      <c r="A80" s="11" t="n"/>
      <c r="B80" s="12" t="n"/>
    </row>
    <row r="81">
      <c r="A81" s="11" t="n"/>
      <c r="B81" s="12" t="n"/>
    </row>
    <row r="82">
      <c r="A82" s="11" t="n"/>
      <c r="B82" s="12" t="n"/>
    </row>
    <row r="83">
      <c r="A83" s="11" t="n"/>
      <c r="B83" s="12" t="n"/>
    </row>
    <row r="84">
      <c r="A84" s="11" t="n"/>
      <c r="B84" s="12" t="n"/>
    </row>
    <row r="85">
      <c r="A85" s="11" t="n"/>
      <c r="B85" s="12" t="n"/>
    </row>
    <row r="86">
      <c r="A86" s="11" t="n"/>
      <c r="B86" s="12" t="n"/>
    </row>
    <row r="87">
      <c r="A87" s="11" t="n"/>
      <c r="B87" s="12" t="n"/>
    </row>
    <row r="88">
      <c r="A88" s="11" t="n"/>
      <c r="B88" s="12" t="n"/>
    </row>
    <row r="89">
      <c r="A89" s="11" t="n"/>
      <c r="B89" s="12" t="n"/>
    </row>
    <row r="90">
      <c r="A90" s="11" t="n"/>
      <c r="B90" s="12" t="n"/>
    </row>
    <row r="91">
      <c r="A91" s="11" t="n"/>
      <c r="B91" s="12" t="n"/>
    </row>
    <row r="92">
      <c r="A92" s="11" t="n"/>
      <c r="B92" s="12" t="n"/>
    </row>
    <row r="93">
      <c r="A93" s="11" t="n"/>
      <c r="B93" s="12" t="n"/>
    </row>
    <row r="94">
      <c r="A94" s="11" t="n"/>
      <c r="B94" s="12" t="n"/>
    </row>
    <row r="95">
      <c r="A95" s="11" t="n"/>
      <c r="B95" s="12" t="n"/>
    </row>
    <row r="96">
      <c r="A96" s="11" t="n"/>
      <c r="B96" s="12" t="n"/>
    </row>
    <row r="97">
      <c r="A97" s="11" t="n"/>
      <c r="B97" s="12" t="n"/>
    </row>
    <row r="98">
      <c r="A98" s="11" t="n"/>
      <c r="B98" s="12" t="n"/>
    </row>
    <row r="99">
      <c r="A99" s="11" t="n"/>
      <c r="B99" s="12" t="n"/>
    </row>
    <row r="100">
      <c r="A100" s="11" t="n"/>
      <c r="B100" s="12" t="n"/>
    </row>
    <row r="101">
      <c r="A101" s="11" t="n"/>
      <c r="B101" s="12" t="n"/>
    </row>
    <row r="102">
      <c r="A102" s="11" t="n"/>
      <c r="B102" s="12" t="n"/>
    </row>
    <row r="103">
      <c r="A103" s="11" t="n"/>
      <c r="B103" s="12" t="n"/>
    </row>
    <row r="104">
      <c r="A104" s="11" t="n"/>
      <c r="B104" s="12" t="n"/>
    </row>
    <row r="105">
      <c r="A105" s="11" t="n"/>
      <c r="B105" s="12" t="n"/>
    </row>
    <row r="106">
      <c r="A106" s="11" t="n"/>
      <c r="B106" s="12" t="n"/>
    </row>
    <row r="107">
      <c r="A107" s="11" t="n"/>
      <c r="B107" s="12" t="n"/>
    </row>
    <row r="108">
      <c r="A108" s="11" t="n"/>
      <c r="B108" s="12" t="n"/>
    </row>
    <row r="109">
      <c r="A109" s="11" t="n"/>
      <c r="B109" s="12" t="n"/>
    </row>
    <row r="110">
      <c r="A110" s="11" t="n"/>
      <c r="B110" s="12" t="n"/>
    </row>
    <row r="111">
      <c r="A111" s="11" t="n"/>
      <c r="B111" s="12" t="n"/>
    </row>
    <row r="112">
      <c r="A112" s="11" t="n"/>
      <c r="B112" s="12" t="n"/>
    </row>
    <row r="113">
      <c r="A113" s="11" t="n"/>
      <c r="B113" s="12" t="n"/>
    </row>
    <row r="114">
      <c r="A114" s="11" t="n"/>
      <c r="B114" s="12" t="n"/>
    </row>
    <row r="115">
      <c r="A115" s="11" t="n"/>
      <c r="B115" s="12" t="n"/>
    </row>
    <row r="116">
      <c r="A116" s="11" t="n"/>
      <c r="B116" s="12" t="n"/>
    </row>
    <row r="117">
      <c r="A117" s="11" t="n"/>
      <c r="B117" s="12" t="n"/>
    </row>
    <row r="118">
      <c r="A118" s="11" t="n"/>
      <c r="B118" s="12" t="n"/>
    </row>
    <row r="119">
      <c r="A119" s="11" t="n"/>
      <c r="B119" s="12" t="n"/>
    </row>
    <row r="120">
      <c r="A120" s="11" t="n"/>
      <c r="B120" s="12" t="n"/>
    </row>
    <row r="121">
      <c r="A121" s="11" t="n"/>
      <c r="B121" s="12" t="n"/>
    </row>
    <row r="122">
      <c r="A122" s="11" t="n"/>
      <c r="B122" s="12" t="n"/>
    </row>
    <row r="123">
      <c r="A123" s="11" t="n"/>
      <c r="B123" s="12" t="n"/>
    </row>
    <row r="124">
      <c r="A124" s="11" t="n"/>
      <c r="B124" s="12" t="n"/>
    </row>
    <row r="125">
      <c r="A125" s="11" t="n"/>
      <c r="B125" s="12" t="n"/>
    </row>
    <row r="126">
      <c r="A126" s="11" t="n"/>
      <c r="B126" s="12" t="n"/>
    </row>
    <row r="127">
      <c r="A127" s="11" t="n"/>
      <c r="B127" s="12" t="n"/>
    </row>
    <row r="128">
      <c r="A128" s="11" t="n"/>
      <c r="B128" s="12" t="n"/>
    </row>
    <row r="129">
      <c r="A129" s="11" t="n"/>
      <c r="B129" s="12" t="n"/>
    </row>
    <row r="130">
      <c r="A130" s="11" t="n"/>
      <c r="B130" s="12" t="n"/>
    </row>
    <row r="131">
      <c r="A131" s="11" t="n"/>
      <c r="B131" s="12" t="n"/>
    </row>
    <row r="132">
      <c r="A132" s="11" t="n"/>
      <c r="B132" s="12" t="n"/>
    </row>
    <row r="133">
      <c r="A133" s="11" t="n"/>
      <c r="B133" s="12" t="n"/>
    </row>
    <row r="134">
      <c r="A134" s="11" t="n"/>
      <c r="B134" s="12" t="n"/>
    </row>
    <row r="135">
      <c r="A135" s="11" t="n"/>
      <c r="B135" s="12" t="n"/>
    </row>
    <row r="136">
      <c r="A136" s="11" t="n"/>
      <c r="B136" s="12" t="n"/>
    </row>
    <row r="137">
      <c r="A137" s="11" t="n"/>
      <c r="B137" s="12" t="n"/>
    </row>
    <row r="138">
      <c r="A138" s="11" t="n"/>
      <c r="B138" s="12" t="n"/>
    </row>
    <row r="139">
      <c r="A139" s="11" t="n"/>
      <c r="B139" s="12" t="n"/>
    </row>
    <row r="140">
      <c r="A140" s="11" t="n"/>
      <c r="B140" s="12" t="n"/>
    </row>
    <row r="141">
      <c r="A141" s="11" t="n"/>
      <c r="B141" s="12" t="n"/>
    </row>
    <row r="142">
      <c r="A142" s="11" t="n"/>
      <c r="B142" s="12" t="n"/>
    </row>
    <row r="143">
      <c r="A143" s="11" t="n"/>
      <c r="B143" s="12" t="n"/>
    </row>
    <row r="144">
      <c r="A144" s="11" t="n"/>
      <c r="B144" s="12" t="n"/>
    </row>
    <row r="145">
      <c r="A145" s="11" t="n"/>
      <c r="B145" s="12" t="n"/>
    </row>
    <row r="146">
      <c r="A146" s="11" t="n"/>
      <c r="B146" s="12" t="n"/>
    </row>
    <row r="147">
      <c r="A147" s="11" t="n"/>
      <c r="B147" s="12" t="n"/>
    </row>
    <row r="148">
      <c r="A148" s="11" t="n"/>
      <c r="B148" s="12" t="n"/>
    </row>
    <row r="149">
      <c r="A149" s="11" t="n"/>
      <c r="B149" s="12" t="n"/>
    </row>
    <row r="150">
      <c r="A150" s="11" t="n"/>
      <c r="B150" s="12" t="n"/>
    </row>
    <row r="151">
      <c r="A151" s="11" t="n"/>
      <c r="B151" s="12" t="n"/>
    </row>
    <row r="152">
      <c r="A152" s="11" t="n"/>
      <c r="B152" s="12" t="n"/>
    </row>
    <row r="153">
      <c r="A153" s="11" t="n"/>
      <c r="B153" s="12" t="n"/>
    </row>
    <row r="154">
      <c r="A154" s="11" t="n"/>
      <c r="B154" s="12" t="n"/>
    </row>
    <row r="155">
      <c r="A155" s="11" t="n"/>
      <c r="B155" s="12" t="n"/>
    </row>
    <row r="156">
      <c r="A156" s="11" t="n"/>
      <c r="B156" s="12" t="n"/>
    </row>
    <row r="157">
      <c r="A157" s="11" t="n"/>
      <c r="B157" s="12" t="n"/>
    </row>
    <row r="158">
      <c r="A158" s="11" t="n"/>
      <c r="B158" s="12" t="n"/>
    </row>
    <row r="159">
      <c r="A159" s="11" t="n"/>
      <c r="B159" s="12" t="n"/>
    </row>
    <row r="160">
      <c r="A160" s="11" t="n"/>
      <c r="B160" s="12" t="n"/>
    </row>
    <row r="161">
      <c r="A161" s="11" t="n"/>
      <c r="B161" s="12" t="n"/>
    </row>
    <row r="162">
      <c r="A162" s="11" t="n"/>
      <c r="B162" s="12" t="n"/>
    </row>
    <row r="163">
      <c r="A163" s="11" t="n"/>
      <c r="B163" s="12" t="n"/>
    </row>
    <row r="164">
      <c r="A164" s="11" t="n"/>
      <c r="B164" s="12" t="n"/>
    </row>
    <row r="165">
      <c r="A165" s="11" t="n"/>
      <c r="B165" s="12" t="n"/>
    </row>
    <row r="166">
      <c r="A166" s="11" t="n"/>
      <c r="B166" s="12" t="n"/>
    </row>
    <row r="167">
      <c r="A167" s="11" t="n"/>
      <c r="B167" s="12" t="n"/>
    </row>
    <row r="168">
      <c r="A168" s="11" t="n"/>
      <c r="B168" s="12" t="n"/>
    </row>
    <row r="169">
      <c r="A169" s="11" t="n"/>
      <c r="B169" s="12" t="n"/>
    </row>
    <row r="170">
      <c r="A170" s="11" t="n"/>
      <c r="B170" s="12" t="n"/>
    </row>
    <row r="171">
      <c r="A171" s="11" t="n"/>
      <c r="B171" s="12" t="n"/>
    </row>
    <row r="172">
      <c r="A172" s="11" t="n"/>
      <c r="B172" s="12" t="n"/>
    </row>
    <row r="173">
      <c r="A173" s="11" t="n"/>
      <c r="B173" s="12" t="n"/>
    </row>
    <row r="174">
      <c r="A174" s="11" t="n"/>
      <c r="B174" s="12" t="n"/>
    </row>
    <row r="175">
      <c r="A175" s="11" t="n"/>
      <c r="B175" s="12" t="n"/>
    </row>
    <row r="176">
      <c r="A176" s="11" t="n"/>
      <c r="B176" s="12" t="n"/>
    </row>
    <row r="177">
      <c r="A177" s="11" t="n"/>
      <c r="B177" s="12" t="n"/>
    </row>
    <row r="178">
      <c r="A178" s="11" t="n"/>
      <c r="B178" s="12" t="n"/>
    </row>
    <row r="179">
      <c r="A179" s="11" t="n"/>
      <c r="B179" s="12" t="n"/>
    </row>
    <row r="180">
      <c r="A180" s="11" t="n"/>
      <c r="B180" s="12" t="n"/>
    </row>
    <row r="181">
      <c r="A181" s="11" t="n"/>
      <c r="B181" s="12" t="n"/>
    </row>
    <row r="182">
      <c r="A182" s="11" t="n"/>
      <c r="B182" s="12" t="n"/>
    </row>
    <row r="183">
      <c r="A183" s="11" t="n"/>
      <c r="B183" s="12" t="n"/>
    </row>
    <row r="184">
      <c r="A184" s="11" t="n"/>
      <c r="B184" s="12" t="n"/>
    </row>
    <row r="185">
      <c r="A185" s="11" t="n"/>
      <c r="B185" s="12" t="n"/>
    </row>
    <row r="186">
      <c r="A186" s="11" t="n"/>
      <c r="B186" s="12" t="n"/>
    </row>
    <row r="187">
      <c r="A187" s="11" t="n"/>
      <c r="B187" s="12" t="n"/>
    </row>
    <row r="188">
      <c r="A188" s="11" t="n"/>
      <c r="B188" s="12" t="n"/>
    </row>
    <row r="189">
      <c r="A189" s="11" t="n"/>
      <c r="B189" s="12" t="n"/>
    </row>
    <row r="190">
      <c r="A190" s="11" t="n"/>
      <c r="B190" s="12" t="n"/>
    </row>
    <row r="191">
      <c r="A191" s="11" t="n"/>
      <c r="B191" s="12" t="n"/>
    </row>
    <row r="192">
      <c r="A192" s="11" t="n"/>
      <c r="B192" s="12" t="n"/>
    </row>
    <row r="193">
      <c r="A193" s="11" t="n"/>
      <c r="B193" s="12" t="n"/>
    </row>
    <row r="194">
      <c r="A194" s="11" t="n"/>
      <c r="B194" s="12" t="n"/>
    </row>
    <row r="195">
      <c r="A195" s="11" t="n"/>
      <c r="B195" s="12" t="n"/>
    </row>
    <row r="196">
      <c r="A196" s="11" t="n"/>
      <c r="B196" s="12" t="n"/>
    </row>
    <row r="197">
      <c r="A197" s="11" t="n"/>
      <c r="B197" s="12" t="n"/>
    </row>
    <row r="198">
      <c r="A198" s="11" t="n"/>
      <c r="B198" s="12" t="n"/>
    </row>
    <row r="199">
      <c r="A199" s="11" t="n"/>
      <c r="B199" s="12" t="n"/>
    </row>
    <row r="200">
      <c r="A200" s="11" t="n"/>
      <c r="B200" s="12" t="n"/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Tidy Tabs: Monthly Calendar That Changes With the Month and Year</t>
        </is>
      </c>
    </row>
    <row r="2">
      <c r="A2" s="14" t="inlineStr"/>
    </row>
    <row r="3">
      <c r="A3" s="14" t="inlineStr">
        <is>
          <t>1. Calendar tab: type the year in B1 and the month number (1 to 12) in B2 (the label in A2 says Month number). Yellow. B2 has a dropdown. The calendar redraws.</t>
        </is>
      </c>
    </row>
    <row r="4">
      <c r="A4" s="14" t="inlineStr">
        <is>
          <t>2. First day, B3: =DATE(B1,B2,1) inside a test that the year is 1901 to 9999 and the month is a whole number 1 to 12. Otherwise B3 and the grid stay blank and the title asks for a valid year and month.</t>
        </is>
      </c>
    </row>
    <row r="5">
      <c r="A5" s="14" t="inlineStr">
        <is>
          <t>3. Grid, A6:G11 (6 weeks of 7 days, Sunday first). Every cell holds the same formula: =IF(MONTH($B$3-WEEKDAY($B$3)+1+(ROW()-ROW($A$6))*7+COLUMN()-COLUMN($A$6))=$B$2, that same date, ""), wrapped in a test that B3 is a date. $B$3-WEEKDAY($B$3)+1 is the Sunday on or before the 1st. Each cell adds 7 for every row down and 1 for every column across. A date outside the month shows blank. The cells hold real dates, shown with the number format d so only the day number appears.</t>
        </is>
      </c>
    </row>
    <row r="6">
      <c r="A6" s="14" t="inlineStr">
        <is>
          <t>4. Events tab: type the date (A) and what is happening (B). Yellow. Rows 2 to 200 are read. Type dates only, without a time. Two events on one day are both counted.</t>
        </is>
      </c>
    </row>
    <row r="7">
      <c r="A7" s="14" t="inlineStr">
        <is>
          <t>5. Events per day, A14:G19: =IF(A6="","",COUNTIF(Events!$A$2:$A$200,A6)). It counts the Events rows with that date. Days with no events show blank (the cell holds 0 but the format hides it).</t>
        </is>
      </c>
    </row>
    <row r="8">
      <c r="A8" s="14" t="inlineStr">
        <is>
          <t>6. J5 shows OK when B3 is a valid first day and every Events date is a whole day. A date typed as text, or with a time such as 10/10/2026 2:00 PM, gives CHECK because COUNTIF would miss it.</t>
        </is>
      </c>
    </row>
    <row r="9">
      <c r="A9" s="14" t="inlineStr">
        <is>
          <t>7. J4 counts the events that fall in other months. They are not shown on this month's grid.</t>
        </is>
      </c>
    </row>
    <row r="10">
      <c r="A10" s="14" t="inlineStr">
        <is>
          <t>8. Print: landscape US Letter, one page. Printing was checked as a PDF export only.</t>
        </is>
      </c>
    </row>
    <row r="11">
      <c r="A11" s="14" t="inlineStr"/>
    </row>
    <row r="12">
      <c r="A12" s="14" t="inlineStr">
        <is>
          <t>Events are fictional. Checked in LibreOffice Calc only; not opened in Excel or Google Sheets.</t>
        </is>
      </c>
    </row>
    <row r="13">
      <c r="A13" s="14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2026-10-23T07:41:03Z</dcterms:created>
  <dcterms:modified xmlns:dcterms="http://purl.org/dc/terms/" xmlns:xsi="http://www.w3.org/2001/XMLSchema-instance" xsi:type="dcterms:W3CDTF">2026-10-23T07:41:03Z</dcterms:modified>
</cp:coreProperties>
</file>