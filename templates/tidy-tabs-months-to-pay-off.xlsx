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ff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'Payoff'!$1:$1</definedName>
    <definedName name="_xlnm.Print_Titles" localSheetId="1">'Schedule'!$1:$1</definedName>
    <definedName name="_xlnm.Print_Area" localSheetId="1">'Schedule'!$A$1:$F$61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0" fillId="2" borderId="0" applyAlignment="1" pivotButton="0" quotePrefix="0" xfId="0">
      <alignment horizontal="right"/>
    </xf>
    <xf numFmtId="10" fontId="0" fillId="2" borderId="0" applyAlignment="1" pivotButton="0" quotePrefix="0" xfId="0">
      <alignment horizontal="right"/>
    </xf>
    <xf numFmtId="166" fontId="0" fillId="2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2" fillId="0" borderId="0" pivotButton="0" quotePrefix="0" xfId="0"/>
    <xf numFmtId="0" fontId="3" fillId="4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0" customWidth="1" min="3" max="3"/>
  </cols>
  <sheetData>
    <row r="1">
      <c r="A1" s="1" t="inlineStr">
        <is>
          <t>Balance</t>
        </is>
      </c>
      <c r="B1" s="2" t="n">
        <v>5000</v>
      </c>
      <c r="C1" t="inlineStr">
        <is>
          <t>Typed. A kiln or laptop balance (fictional).</t>
        </is>
      </c>
    </row>
    <row r="2">
      <c r="A2" s="1" t="inlineStr">
        <is>
          <t>Yearly interest rate</t>
        </is>
      </c>
      <c r="B2" s="3" t="n">
        <v>0.08</v>
      </c>
      <c r="C2" t="inlineStr">
        <is>
          <t>Type 0% if there is no interest.</t>
        </is>
      </c>
    </row>
    <row r="3">
      <c r="A3" s="1" t="inlineStr">
        <is>
          <t>Monthly payment</t>
        </is>
      </c>
      <c r="B3" s="2" t="n">
        <v>400</v>
      </c>
    </row>
    <row r="4">
      <c r="A4" s="1" t="inlineStr">
        <is>
          <t>First payment date</t>
        </is>
      </c>
      <c r="B4" s="4" t="n">
        <v>46327</v>
      </c>
      <c r="C4" t="inlineStr">
        <is>
          <t>Typed. The sheet does not use TODAY.</t>
        </is>
      </c>
    </row>
    <row r="5">
      <c r="A5" s="1" t="inlineStr">
        <is>
          <t>Months to pay off</t>
        </is>
      </c>
      <c r="B5" s="5">
        <f>IF(OR(NOT(ISNUMBER(B1)),NOT(ISNUMBER(B2)),NOT(ISNUMBER(B3)),NOT(ISNUMBER(B4))),"Check inputs",IF(OR(B1&lt;=0,B2&lt;0,B3&lt;=0),"Check inputs",IF(B3&lt;=B1*B2/12,"Payment too low",ROUNDUP(NPER(B2/12,-B3,B1),0))))</f>
        <v/>
      </c>
      <c r="C5" t="inlineStr">
        <is>
          <t>Formula: =ROUNDUP(NPER(B2/12,-B3,B1),0), plus guards</t>
        </is>
      </c>
    </row>
    <row r="6">
      <c r="A6" s="1" t="inlineStr">
        <is>
          <t>Last payment date</t>
        </is>
      </c>
      <c r="B6" s="6">
        <f>IF(ISNUMBER(B5),EDATE(B4,B5-1),"")</f>
        <v/>
      </c>
    </row>
    <row r="7">
      <c r="A7" s="1" t="inlineStr">
        <is>
          <t>Last payment</t>
        </is>
      </c>
      <c r="B7" s="7">
        <f>IF(ISNUMBER(B5),IF(B5&lt;=60,INDEX(Schedule!D2:D61,B5),"Over 60 months"),"")</f>
        <v/>
      </c>
      <c r="C7" t="inlineStr">
        <is>
          <t>The part month: smaller than the regular payment.</t>
        </is>
      </c>
    </row>
    <row r="8">
      <c r="A8" s="1" t="inlineStr">
        <is>
          <t>Total paid</t>
        </is>
      </c>
      <c r="B8" s="7">
        <f>IF(ISNUMBER(B7),B3*(B5-1)+B7,"")</f>
        <v/>
      </c>
    </row>
    <row r="9">
      <c r="A9" s="1" t="inlineStr">
        <is>
          <t>Interest paid</t>
        </is>
      </c>
      <c r="B9" s="7">
        <f>IF(ISNUMBER(B8),ROUND(B8-B1,2),"")</f>
        <v/>
      </c>
    </row>
    <row r="10">
      <c r="A10" s="1" t="inlineStr">
        <is>
          <t>Check: schedule agrees with NPER</t>
        </is>
      </c>
      <c r="B10" s="8">
        <f>IF(NOT(ISNUMBER(B5)),"No result",IF(B5&gt;60,"Over 60 months",IF(AND(COUNT(Schedule!D2:D61)=B5,INDEX(Schedule!E2:E61,B5)=0),"OK","CHECK")))</f>
        <v/>
      </c>
      <c r="C10" t="inlineStr">
        <is>
          <t>OK when the Schedule tab has exactly that many payments and ends at $0.00.</t>
        </is>
      </c>
    </row>
    <row r="12">
      <c r="A12" s="9" t="inlineStr">
        <is>
          <t>Save for a goal</t>
        </is>
      </c>
    </row>
    <row r="13">
      <c r="A13" s="1" t="inlineStr">
        <is>
          <t>Goal amount</t>
        </is>
      </c>
      <c r="B13" s="2" t="n">
        <v>3000</v>
      </c>
      <c r="C13" t="inlineStr">
        <is>
          <t>A booth deposit (fictional).</t>
        </is>
      </c>
    </row>
    <row r="14">
      <c r="A14" s="1" t="inlineStr">
        <is>
          <t>Monthly deposit</t>
        </is>
      </c>
      <c r="B14" s="2" t="n">
        <v>250</v>
      </c>
    </row>
    <row r="15">
      <c r="A15" s="1" t="inlineStr">
        <is>
          <t>Yearly rate on savings</t>
        </is>
      </c>
      <c r="B15" s="3" t="n">
        <v>0.02</v>
      </c>
      <c r="C15" t="inlineStr">
        <is>
          <t>Type 0% for none.</t>
        </is>
      </c>
    </row>
    <row r="16">
      <c r="A16" s="1" t="inlineStr">
        <is>
          <t>Months to reach the goal</t>
        </is>
      </c>
      <c r="B16" s="5">
        <f>IF(OR(NOT(ISNUMBER(B13)),NOT(ISNUMBER(B14)),NOT(ISNUMBER(B15))),"Check inputs",IF(OR(B13&lt;=0,B14&lt;=0,B15&lt;0),"Check inputs",ROUNDUP(NPER(B15/12,-B14,0,B13),0)))</f>
        <v/>
      </c>
      <c r="C16" t="inlineStr">
        <is>
          <t>Formula: =ROUNDUP(NPER(B15/12,-B14,0,B13),0)</t>
        </is>
      </c>
    </row>
    <row r="17">
      <c r="A17" s="1" t="inlineStr">
        <is>
          <t>Check: FV reaches the goal in that month, not before</t>
        </is>
      </c>
      <c r="B17" s="8">
        <f>IF(ISNUMBER(B16),IF(AND(FV(B15/12,B16,-B14)&gt;=B13-0.005,FV(B15/12,B16-1,-B14)&lt;B13),"OK","CHECK"),"")</f>
        <v/>
      </c>
      <c r="C17" t="inlineStr">
        <is>
          <t>Deposits at the end of each month.</t>
        </is>
      </c>
    </row>
  </sheetData>
  <conditionalFormatting sqref="B10">
    <cfRule type="expression" priority="1" dxfId="0">
      <formula>AND(B10&lt;&gt;"OK",B10&lt;&gt;"")</formula>
    </cfRule>
  </conditionalFormatting>
  <conditionalFormatting sqref="B17">
    <cfRule type="expression" priority="2" dxfId="0">
      <formula>AND(B17&lt;&gt;"OK",B17&lt;&gt;"")</formula>
    </cfRule>
  </conditionalFormatting>
  <conditionalFormatting sqref="B5">
    <cfRule type="expression" priority="3" dxfId="0">
      <formula>NOT(ISNUMBER(B5))</formula>
    </cfRule>
  </conditionalFormatting>
  <conditionalFormatting sqref="B16">
    <cfRule type="expression" priority="4" dxfId="0">
      <formula>NOT(ISNUMBER(B16))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 ht="30" customHeight="1">
      <c r="A1" s="10" t="inlineStr">
        <is>
          <t>Month</t>
        </is>
      </c>
      <c r="B1" s="10" t="inlineStr">
        <is>
          <t>Starting balance</t>
        </is>
      </c>
      <c r="C1" s="10" t="inlineStr">
        <is>
          <t>Interest</t>
        </is>
      </c>
      <c r="D1" s="10" t="inlineStr">
        <is>
          <t>Payment</t>
        </is>
      </c>
      <c r="E1" s="10" t="inlineStr">
        <is>
          <t>Ending balance</t>
        </is>
      </c>
      <c r="F1" s="10" t="inlineStr">
        <is>
          <t>Payment date</t>
        </is>
      </c>
    </row>
    <row r="2">
      <c r="A2" s="11" t="n">
        <v>1</v>
      </c>
      <c r="B2" s="12">
        <f>IF(NOT(ISNUMBER(Payoff!$B$5)),"",Payoff!$B$1)</f>
        <v/>
      </c>
      <c r="C2" s="12">
        <f>IF(B2="","",ROUND(B2*Payoff!$B$2/12,2))</f>
        <v/>
      </c>
      <c r="D2" s="12">
        <f>IF(B2="","",MIN(Payoff!$B$3,ROUND(B2+C2,2)))</f>
        <v/>
      </c>
      <c r="E2" s="12">
        <f>IF(B2="","",ROUND(B2+C2-D2,2))</f>
        <v/>
      </c>
      <c r="F2" s="13">
        <f>IF(B2="","",EDATE(Payoff!$B$4,A2-1))</f>
        <v/>
      </c>
    </row>
    <row r="3">
      <c r="A3" s="11" t="n">
        <v>2</v>
      </c>
      <c r="B3" s="12">
        <f>IF(E2="","",IF(E2&lt;=0,"",E2))</f>
        <v/>
      </c>
      <c r="C3" s="12">
        <f>IF(B3="","",ROUND(B3*Payoff!$B$2/12,2))</f>
        <v/>
      </c>
      <c r="D3" s="12">
        <f>IF(B3="","",MIN(Payoff!$B$3,ROUND(B3+C3,2)))</f>
        <v/>
      </c>
      <c r="E3" s="12">
        <f>IF(B3="","",ROUND(B3+C3-D3,2))</f>
        <v/>
      </c>
      <c r="F3" s="13">
        <f>IF(B3="","",EDATE(Payoff!$B$4,A3-1))</f>
        <v/>
      </c>
    </row>
    <row r="4">
      <c r="A4" s="11" t="n">
        <v>3</v>
      </c>
      <c r="B4" s="12">
        <f>IF(E3="","",IF(E3&lt;=0,"",E3))</f>
        <v/>
      </c>
      <c r="C4" s="12">
        <f>IF(B4="","",ROUND(B4*Payoff!$B$2/12,2))</f>
        <v/>
      </c>
      <c r="D4" s="12">
        <f>IF(B4="","",MIN(Payoff!$B$3,ROUND(B4+C4,2)))</f>
        <v/>
      </c>
      <c r="E4" s="12">
        <f>IF(B4="","",ROUND(B4+C4-D4,2))</f>
        <v/>
      </c>
      <c r="F4" s="13">
        <f>IF(B4="","",EDATE(Payoff!$B$4,A4-1))</f>
        <v/>
      </c>
    </row>
    <row r="5">
      <c r="A5" s="11" t="n">
        <v>4</v>
      </c>
      <c r="B5" s="12">
        <f>IF(E4="","",IF(E4&lt;=0,"",E4))</f>
        <v/>
      </c>
      <c r="C5" s="12">
        <f>IF(B5="","",ROUND(B5*Payoff!$B$2/12,2))</f>
        <v/>
      </c>
      <c r="D5" s="12">
        <f>IF(B5="","",MIN(Payoff!$B$3,ROUND(B5+C5,2)))</f>
        <v/>
      </c>
      <c r="E5" s="12">
        <f>IF(B5="","",ROUND(B5+C5-D5,2))</f>
        <v/>
      </c>
      <c r="F5" s="13">
        <f>IF(B5="","",EDATE(Payoff!$B$4,A5-1))</f>
        <v/>
      </c>
    </row>
    <row r="6">
      <c r="A6" s="11" t="n">
        <v>5</v>
      </c>
      <c r="B6" s="12">
        <f>IF(E5="","",IF(E5&lt;=0,"",E5))</f>
        <v/>
      </c>
      <c r="C6" s="12">
        <f>IF(B6="","",ROUND(B6*Payoff!$B$2/12,2))</f>
        <v/>
      </c>
      <c r="D6" s="12">
        <f>IF(B6="","",MIN(Payoff!$B$3,ROUND(B6+C6,2)))</f>
        <v/>
      </c>
      <c r="E6" s="12">
        <f>IF(B6="","",ROUND(B6+C6-D6,2))</f>
        <v/>
      </c>
      <c r="F6" s="13">
        <f>IF(B6="","",EDATE(Payoff!$B$4,A6-1))</f>
        <v/>
      </c>
    </row>
    <row r="7">
      <c r="A7" s="11" t="n">
        <v>6</v>
      </c>
      <c r="B7" s="12">
        <f>IF(E6="","",IF(E6&lt;=0,"",E6))</f>
        <v/>
      </c>
      <c r="C7" s="12">
        <f>IF(B7="","",ROUND(B7*Payoff!$B$2/12,2))</f>
        <v/>
      </c>
      <c r="D7" s="12">
        <f>IF(B7="","",MIN(Payoff!$B$3,ROUND(B7+C7,2)))</f>
        <v/>
      </c>
      <c r="E7" s="12">
        <f>IF(B7="","",ROUND(B7+C7-D7,2))</f>
        <v/>
      </c>
      <c r="F7" s="13">
        <f>IF(B7="","",EDATE(Payoff!$B$4,A7-1))</f>
        <v/>
      </c>
    </row>
    <row r="8">
      <c r="A8" s="11" t="n">
        <v>7</v>
      </c>
      <c r="B8" s="12">
        <f>IF(E7="","",IF(E7&lt;=0,"",E7))</f>
        <v/>
      </c>
      <c r="C8" s="12">
        <f>IF(B8="","",ROUND(B8*Payoff!$B$2/12,2))</f>
        <v/>
      </c>
      <c r="D8" s="12">
        <f>IF(B8="","",MIN(Payoff!$B$3,ROUND(B8+C8,2)))</f>
        <v/>
      </c>
      <c r="E8" s="12">
        <f>IF(B8="","",ROUND(B8+C8-D8,2))</f>
        <v/>
      </c>
      <c r="F8" s="13">
        <f>IF(B8="","",EDATE(Payoff!$B$4,A8-1))</f>
        <v/>
      </c>
    </row>
    <row r="9">
      <c r="A9" s="11" t="n">
        <v>8</v>
      </c>
      <c r="B9" s="12">
        <f>IF(E8="","",IF(E8&lt;=0,"",E8))</f>
        <v/>
      </c>
      <c r="C9" s="12">
        <f>IF(B9="","",ROUND(B9*Payoff!$B$2/12,2))</f>
        <v/>
      </c>
      <c r="D9" s="12">
        <f>IF(B9="","",MIN(Payoff!$B$3,ROUND(B9+C9,2)))</f>
        <v/>
      </c>
      <c r="E9" s="12">
        <f>IF(B9="","",ROUND(B9+C9-D9,2))</f>
        <v/>
      </c>
      <c r="F9" s="13">
        <f>IF(B9="","",EDATE(Payoff!$B$4,A9-1))</f>
        <v/>
      </c>
    </row>
    <row r="10">
      <c r="A10" s="11" t="n">
        <v>9</v>
      </c>
      <c r="B10" s="12">
        <f>IF(E9="","",IF(E9&lt;=0,"",E9))</f>
        <v/>
      </c>
      <c r="C10" s="12">
        <f>IF(B10="","",ROUND(B10*Payoff!$B$2/12,2))</f>
        <v/>
      </c>
      <c r="D10" s="12">
        <f>IF(B10="","",MIN(Payoff!$B$3,ROUND(B10+C10,2)))</f>
        <v/>
      </c>
      <c r="E10" s="12">
        <f>IF(B10="","",ROUND(B10+C10-D10,2))</f>
        <v/>
      </c>
      <c r="F10" s="13">
        <f>IF(B10="","",EDATE(Payoff!$B$4,A10-1))</f>
        <v/>
      </c>
    </row>
    <row r="11">
      <c r="A11" s="11" t="n">
        <v>10</v>
      </c>
      <c r="B11" s="12">
        <f>IF(E10="","",IF(E10&lt;=0,"",E10))</f>
        <v/>
      </c>
      <c r="C11" s="12">
        <f>IF(B11="","",ROUND(B11*Payoff!$B$2/12,2))</f>
        <v/>
      </c>
      <c r="D11" s="12">
        <f>IF(B11="","",MIN(Payoff!$B$3,ROUND(B11+C11,2)))</f>
        <v/>
      </c>
      <c r="E11" s="12">
        <f>IF(B11="","",ROUND(B11+C11-D11,2))</f>
        <v/>
      </c>
      <c r="F11" s="13">
        <f>IF(B11="","",EDATE(Payoff!$B$4,A11-1))</f>
        <v/>
      </c>
    </row>
    <row r="12">
      <c r="A12" s="11" t="n">
        <v>11</v>
      </c>
      <c r="B12" s="12">
        <f>IF(E11="","",IF(E11&lt;=0,"",E11))</f>
        <v/>
      </c>
      <c r="C12" s="12">
        <f>IF(B12="","",ROUND(B12*Payoff!$B$2/12,2))</f>
        <v/>
      </c>
      <c r="D12" s="12">
        <f>IF(B12="","",MIN(Payoff!$B$3,ROUND(B12+C12,2)))</f>
        <v/>
      </c>
      <c r="E12" s="12">
        <f>IF(B12="","",ROUND(B12+C12-D12,2))</f>
        <v/>
      </c>
      <c r="F12" s="13">
        <f>IF(B12="","",EDATE(Payoff!$B$4,A12-1))</f>
        <v/>
      </c>
    </row>
    <row r="13">
      <c r="A13" s="11" t="n">
        <v>12</v>
      </c>
      <c r="B13" s="12">
        <f>IF(E12="","",IF(E12&lt;=0,"",E12))</f>
        <v/>
      </c>
      <c r="C13" s="12">
        <f>IF(B13="","",ROUND(B13*Payoff!$B$2/12,2))</f>
        <v/>
      </c>
      <c r="D13" s="12">
        <f>IF(B13="","",MIN(Payoff!$B$3,ROUND(B13+C13,2)))</f>
        <v/>
      </c>
      <c r="E13" s="12">
        <f>IF(B13="","",ROUND(B13+C13-D13,2))</f>
        <v/>
      </c>
      <c r="F13" s="13">
        <f>IF(B13="","",EDATE(Payoff!$B$4,A13-1))</f>
        <v/>
      </c>
    </row>
    <row r="14">
      <c r="A14" s="11" t="n">
        <v>13</v>
      </c>
      <c r="B14" s="12">
        <f>IF(E13="","",IF(E13&lt;=0,"",E13))</f>
        <v/>
      </c>
      <c r="C14" s="12">
        <f>IF(B14="","",ROUND(B14*Payoff!$B$2/12,2))</f>
        <v/>
      </c>
      <c r="D14" s="12">
        <f>IF(B14="","",MIN(Payoff!$B$3,ROUND(B14+C14,2)))</f>
        <v/>
      </c>
      <c r="E14" s="12">
        <f>IF(B14="","",ROUND(B14+C14-D14,2))</f>
        <v/>
      </c>
      <c r="F14" s="13">
        <f>IF(B14="","",EDATE(Payoff!$B$4,A14-1))</f>
        <v/>
      </c>
    </row>
    <row r="15">
      <c r="A15" s="11" t="n">
        <v>14</v>
      </c>
      <c r="B15" s="12">
        <f>IF(E14="","",IF(E14&lt;=0,"",E14))</f>
        <v/>
      </c>
      <c r="C15" s="12">
        <f>IF(B15="","",ROUND(B15*Payoff!$B$2/12,2))</f>
        <v/>
      </c>
      <c r="D15" s="12">
        <f>IF(B15="","",MIN(Payoff!$B$3,ROUND(B15+C15,2)))</f>
        <v/>
      </c>
      <c r="E15" s="12">
        <f>IF(B15="","",ROUND(B15+C15-D15,2))</f>
        <v/>
      </c>
      <c r="F15" s="13">
        <f>IF(B15="","",EDATE(Payoff!$B$4,A15-1))</f>
        <v/>
      </c>
    </row>
    <row r="16">
      <c r="A16" s="11" t="n">
        <v>15</v>
      </c>
      <c r="B16" s="12">
        <f>IF(E15="","",IF(E15&lt;=0,"",E15))</f>
        <v/>
      </c>
      <c r="C16" s="12">
        <f>IF(B16="","",ROUND(B16*Payoff!$B$2/12,2))</f>
        <v/>
      </c>
      <c r="D16" s="12">
        <f>IF(B16="","",MIN(Payoff!$B$3,ROUND(B16+C16,2)))</f>
        <v/>
      </c>
      <c r="E16" s="12">
        <f>IF(B16="","",ROUND(B16+C16-D16,2))</f>
        <v/>
      </c>
      <c r="F16" s="13">
        <f>IF(B16="","",EDATE(Payoff!$B$4,A16-1))</f>
        <v/>
      </c>
    </row>
    <row r="17">
      <c r="A17" s="11" t="n">
        <v>16</v>
      </c>
      <c r="B17" s="12">
        <f>IF(E16="","",IF(E16&lt;=0,"",E16))</f>
        <v/>
      </c>
      <c r="C17" s="12">
        <f>IF(B17="","",ROUND(B17*Payoff!$B$2/12,2))</f>
        <v/>
      </c>
      <c r="D17" s="12">
        <f>IF(B17="","",MIN(Payoff!$B$3,ROUND(B17+C17,2)))</f>
        <v/>
      </c>
      <c r="E17" s="12">
        <f>IF(B17="","",ROUND(B17+C17-D17,2))</f>
        <v/>
      </c>
      <c r="F17" s="13">
        <f>IF(B17="","",EDATE(Payoff!$B$4,A17-1))</f>
        <v/>
      </c>
    </row>
    <row r="18">
      <c r="A18" s="11" t="n">
        <v>17</v>
      </c>
      <c r="B18" s="12">
        <f>IF(E17="","",IF(E17&lt;=0,"",E17))</f>
        <v/>
      </c>
      <c r="C18" s="12">
        <f>IF(B18="","",ROUND(B18*Payoff!$B$2/12,2))</f>
        <v/>
      </c>
      <c r="D18" s="12">
        <f>IF(B18="","",MIN(Payoff!$B$3,ROUND(B18+C18,2)))</f>
        <v/>
      </c>
      <c r="E18" s="12">
        <f>IF(B18="","",ROUND(B18+C18-D18,2))</f>
        <v/>
      </c>
      <c r="F18" s="13">
        <f>IF(B18="","",EDATE(Payoff!$B$4,A18-1))</f>
        <v/>
      </c>
    </row>
    <row r="19">
      <c r="A19" s="11" t="n">
        <v>18</v>
      </c>
      <c r="B19" s="12">
        <f>IF(E18="","",IF(E18&lt;=0,"",E18))</f>
        <v/>
      </c>
      <c r="C19" s="12">
        <f>IF(B19="","",ROUND(B19*Payoff!$B$2/12,2))</f>
        <v/>
      </c>
      <c r="D19" s="12">
        <f>IF(B19="","",MIN(Payoff!$B$3,ROUND(B19+C19,2)))</f>
        <v/>
      </c>
      <c r="E19" s="12">
        <f>IF(B19="","",ROUND(B19+C19-D19,2))</f>
        <v/>
      </c>
      <c r="F19" s="13">
        <f>IF(B19="","",EDATE(Payoff!$B$4,A19-1))</f>
        <v/>
      </c>
    </row>
    <row r="20">
      <c r="A20" s="11" t="n">
        <v>19</v>
      </c>
      <c r="B20" s="12">
        <f>IF(E19="","",IF(E19&lt;=0,"",E19))</f>
        <v/>
      </c>
      <c r="C20" s="12">
        <f>IF(B20="","",ROUND(B20*Payoff!$B$2/12,2))</f>
        <v/>
      </c>
      <c r="D20" s="12">
        <f>IF(B20="","",MIN(Payoff!$B$3,ROUND(B20+C20,2)))</f>
        <v/>
      </c>
      <c r="E20" s="12">
        <f>IF(B20="","",ROUND(B20+C20-D20,2))</f>
        <v/>
      </c>
      <c r="F20" s="13">
        <f>IF(B20="","",EDATE(Payoff!$B$4,A20-1))</f>
        <v/>
      </c>
    </row>
    <row r="21">
      <c r="A21" s="11" t="n">
        <v>20</v>
      </c>
      <c r="B21" s="12">
        <f>IF(E20="","",IF(E20&lt;=0,"",E20))</f>
        <v/>
      </c>
      <c r="C21" s="12">
        <f>IF(B21="","",ROUND(B21*Payoff!$B$2/12,2))</f>
        <v/>
      </c>
      <c r="D21" s="12">
        <f>IF(B21="","",MIN(Payoff!$B$3,ROUND(B21+C21,2)))</f>
        <v/>
      </c>
      <c r="E21" s="12">
        <f>IF(B21="","",ROUND(B21+C21-D21,2))</f>
        <v/>
      </c>
      <c r="F21" s="13">
        <f>IF(B21="","",EDATE(Payoff!$B$4,A21-1))</f>
        <v/>
      </c>
    </row>
    <row r="22">
      <c r="A22" s="11" t="n">
        <v>21</v>
      </c>
      <c r="B22" s="12">
        <f>IF(E21="","",IF(E21&lt;=0,"",E21))</f>
        <v/>
      </c>
      <c r="C22" s="12">
        <f>IF(B22="","",ROUND(B22*Payoff!$B$2/12,2))</f>
        <v/>
      </c>
      <c r="D22" s="12">
        <f>IF(B22="","",MIN(Payoff!$B$3,ROUND(B22+C22,2)))</f>
        <v/>
      </c>
      <c r="E22" s="12">
        <f>IF(B22="","",ROUND(B22+C22-D22,2))</f>
        <v/>
      </c>
      <c r="F22" s="13">
        <f>IF(B22="","",EDATE(Payoff!$B$4,A22-1))</f>
        <v/>
      </c>
    </row>
    <row r="23">
      <c r="A23" s="11" t="n">
        <v>22</v>
      </c>
      <c r="B23" s="12">
        <f>IF(E22="","",IF(E22&lt;=0,"",E22))</f>
        <v/>
      </c>
      <c r="C23" s="12">
        <f>IF(B23="","",ROUND(B23*Payoff!$B$2/12,2))</f>
        <v/>
      </c>
      <c r="D23" s="12">
        <f>IF(B23="","",MIN(Payoff!$B$3,ROUND(B23+C23,2)))</f>
        <v/>
      </c>
      <c r="E23" s="12">
        <f>IF(B23="","",ROUND(B23+C23-D23,2))</f>
        <v/>
      </c>
      <c r="F23" s="13">
        <f>IF(B23="","",EDATE(Payoff!$B$4,A23-1))</f>
        <v/>
      </c>
    </row>
    <row r="24">
      <c r="A24" s="11" t="n">
        <v>23</v>
      </c>
      <c r="B24" s="12">
        <f>IF(E23="","",IF(E23&lt;=0,"",E23))</f>
        <v/>
      </c>
      <c r="C24" s="12">
        <f>IF(B24="","",ROUND(B24*Payoff!$B$2/12,2))</f>
        <v/>
      </c>
      <c r="D24" s="12">
        <f>IF(B24="","",MIN(Payoff!$B$3,ROUND(B24+C24,2)))</f>
        <v/>
      </c>
      <c r="E24" s="12">
        <f>IF(B24="","",ROUND(B24+C24-D24,2))</f>
        <v/>
      </c>
      <c r="F24" s="13">
        <f>IF(B24="","",EDATE(Payoff!$B$4,A24-1))</f>
        <v/>
      </c>
    </row>
    <row r="25">
      <c r="A25" s="11" t="n">
        <v>24</v>
      </c>
      <c r="B25" s="12">
        <f>IF(E24="","",IF(E24&lt;=0,"",E24))</f>
        <v/>
      </c>
      <c r="C25" s="12">
        <f>IF(B25="","",ROUND(B25*Payoff!$B$2/12,2))</f>
        <v/>
      </c>
      <c r="D25" s="12">
        <f>IF(B25="","",MIN(Payoff!$B$3,ROUND(B25+C25,2)))</f>
        <v/>
      </c>
      <c r="E25" s="12">
        <f>IF(B25="","",ROUND(B25+C25-D25,2))</f>
        <v/>
      </c>
      <c r="F25" s="13">
        <f>IF(B25="","",EDATE(Payoff!$B$4,A25-1))</f>
        <v/>
      </c>
    </row>
    <row r="26">
      <c r="A26" s="11" t="n">
        <v>25</v>
      </c>
      <c r="B26" s="12">
        <f>IF(E25="","",IF(E25&lt;=0,"",E25))</f>
        <v/>
      </c>
      <c r="C26" s="12">
        <f>IF(B26="","",ROUND(B26*Payoff!$B$2/12,2))</f>
        <v/>
      </c>
      <c r="D26" s="12">
        <f>IF(B26="","",MIN(Payoff!$B$3,ROUND(B26+C26,2)))</f>
        <v/>
      </c>
      <c r="E26" s="12">
        <f>IF(B26="","",ROUND(B26+C26-D26,2))</f>
        <v/>
      </c>
      <c r="F26" s="13">
        <f>IF(B26="","",EDATE(Payoff!$B$4,A26-1))</f>
        <v/>
      </c>
    </row>
    <row r="27">
      <c r="A27" s="11" t="n">
        <v>26</v>
      </c>
      <c r="B27" s="12">
        <f>IF(E26="","",IF(E26&lt;=0,"",E26))</f>
        <v/>
      </c>
      <c r="C27" s="12">
        <f>IF(B27="","",ROUND(B27*Payoff!$B$2/12,2))</f>
        <v/>
      </c>
      <c r="D27" s="12">
        <f>IF(B27="","",MIN(Payoff!$B$3,ROUND(B27+C27,2)))</f>
        <v/>
      </c>
      <c r="E27" s="12">
        <f>IF(B27="","",ROUND(B27+C27-D27,2))</f>
        <v/>
      </c>
      <c r="F27" s="13">
        <f>IF(B27="","",EDATE(Payoff!$B$4,A27-1))</f>
        <v/>
      </c>
    </row>
    <row r="28">
      <c r="A28" s="11" t="n">
        <v>27</v>
      </c>
      <c r="B28" s="12">
        <f>IF(E27="","",IF(E27&lt;=0,"",E27))</f>
        <v/>
      </c>
      <c r="C28" s="12">
        <f>IF(B28="","",ROUND(B28*Payoff!$B$2/12,2))</f>
        <v/>
      </c>
      <c r="D28" s="12">
        <f>IF(B28="","",MIN(Payoff!$B$3,ROUND(B28+C28,2)))</f>
        <v/>
      </c>
      <c r="E28" s="12">
        <f>IF(B28="","",ROUND(B28+C28-D28,2))</f>
        <v/>
      </c>
      <c r="F28" s="13">
        <f>IF(B28="","",EDATE(Payoff!$B$4,A28-1))</f>
        <v/>
      </c>
    </row>
    <row r="29">
      <c r="A29" s="11" t="n">
        <v>28</v>
      </c>
      <c r="B29" s="12">
        <f>IF(E28="","",IF(E28&lt;=0,"",E28))</f>
        <v/>
      </c>
      <c r="C29" s="12">
        <f>IF(B29="","",ROUND(B29*Payoff!$B$2/12,2))</f>
        <v/>
      </c>
      <c r="D29" s="12">
        <f>IF(B29="","",MIN(Payoff!$B$3,ROUND(B29+C29,2)))</f>
        <v/>
      </c>
      <c r="E29" s="12">
        <f>IF(B29="","",ROUND(B29+C29-D29,2))</f>
        <v/>
      </c>
      <c r="F29" s="13">
        <f>IF(B29="","",EDATE(Payoff!$B$4,A29-1))</f>
        <v/>
      </c>
    </row>
    <row r="30">
      <c r="A30" s="11" t="n">
        <v>29</v>
      </c>
      <c r="B30" s="12">
        <f>IF(E29="","",IF(E29&lt;=0,"",E29))</f>
        <v/>
      </c>
      <c r="C30" s="12">
        <f>IF(B30="","",ROUND(B30*Payoff!$B$2/12,2))</f>
        <v/>
      </c>
      <c r="D30" s="12">
        <f>IF(B30="","",MIN(Payoff!$B$3,ROUND(B30+C30,2)))</f>
        <v/>
      </c>
      <c r="E30" s="12">
        <f>IF(B30="","",ROUND(B30+C30-D30,2))</f>
        <v/>
      </c>
      <c r="F30" s="13">
        <f>IF(B30="","",EDATE(Payoff!$B$4,A30-1))</f>
        <v/>
      </c>
    </row>
    <row r="31">
      <c r="A31" s="11" t="n">
        <v>30</v>
      </c>
      <c r="B31" s="12">
        <f>IF(E30="","",IF(E30&lt;=0,"",E30))</f>
        <v/>
      </c>
      <c r="C31" s="12">
        <f>IF(B31="","",ROUND(B31*Payoff!$B$2/12,2))</f>
        <v/>
      </c>
      <c r="D31" s="12">
        <f>IF(B31="","",MIN(Payoff!$B$3,ROUND(B31+C31,2)))</f>
        <v/>
      </c>
      <c r="E31" s="12">
        <f>IF(B31="","",ROUND(B31+C31-D31,2))</f>
        <v/>
      </c>
      <c r="F31" s="13">
        <f>IF(B31="","",EDATE(Payoff!$B$4,A31-1))</f>
        <v/>
      </c>
    </row>
    <row r="32">
      <c r="A32" s="11" t="n">
        <v>31</v>
      </c>
      <c r="B32" s="12">
        <f>IF(E31="","",IF(E31&lt;=0,"",E31))</f>
        <v/>
      </c>
      <c r="C32" s="12">
        <f>IF(B32="","",ROUND(B32*Payoff!$B$2/12,2))</f>
        <v/>
      </c>
      <c r="D32" s="12">
        <f>IF(B32="","",MIN(Payoff!$B$3,ROUND(B32+C32,2)))</f>
        <v/>
      </c>
      <c r="E32" s="12">
        <f>IF(B32="","",ROUND(B32+C32-D32,2))</f>
        <v/>
      </c>
      <c r="F32" s="13">
        <f>IF(B32="","",EDATE(Payoff!$B$4,A32-1))</f>
        <v/>
      </c>
    </row>
    <row r="33">
      <c r="A33" s="11" t="n">
        <v>32</v>
      </c>
      <c r="B33" s="12">
        <f>IF(E32="","",IF(E32&lt;=0,"",E32))</f>
        <v/>
      </c>
      <c r="C33" s="12">
        <f>IF(B33="","",ROUND(B33*Payoff!$B$2/12,2))</f>
        <v/>
      </c>
      <c r="D33" s="12">
        <f>IF(B33="","",MIN(Payoff!$B$3,ROUND(B33+C33,2)))</f>
        <v/>
      </c>
      <c r="E33" s="12">
        <f>IF(B33="","",ROUND(B33+C33-D33,2))</f>
        <v/>
      </c>
      <c r="F33" s="13">
        <f>IF(B33="","",EDATE(Payoff!$B$4,A33-1))</f>
        <v/>
      </c>
    </row>
    <row r="34">
      <c r="A34" s="11" t="n">
        <v>33</v>
      </c>
      <c r="B34" s="12">
        <f>IF(E33="","",IF(E33&lt;=0,"",E33))</f>
        <v/>
      </c>
      <c r="C34" s="12">
        <f>IF(B34="","",ROUND(B34*Payoff!$B$2/12,2))</f>
        <v/>
      </c>
      <c r="D34" s="12">
        <f>IF(B34="","",MIN(Payoff!$B$3,ROUND(B34+C34,2)))</f>
        <v/>
      </c>
      <c r="E34" s="12">
        <f>IF(B34="","",ROUND(B34+C34-D34,2))</f>
        <v/>
      </c>
      <c r="F34" s="13">
        <f>IF(B34="","",EDATE(Payoff!$B$4,A34-1))</f>
        <v/>
      </c>
    </row>
    <row r="35">
      <c r="A35" s="11" t="n">
        <v>34</v>
      </c>
      <c r="B35" s="12">
        <f>IF(E34="","",IF(E34&lt;=0,"",E34))</f>
        <v/>
      </c>
      <c r="C35" s="12">
        <f>IF(B35="","",ROUND(B35*Payoff!$B$2/12,2))</f>
        <v/>
      </c>
      <c r="D35" s="12">
        <f>IF(B35="","",MIN(Payoff!$B$3,ROUND(B35+C35,2)))</f>
        <v/>
      </c>
      <c r="E35" s="12">
        <f>IF(B35="","",ROUND(B35+C35-D35,2))</f>
        <v/>
      </c>
      <c r="F35" s="13">
        <f>IF(B35="","",EDATE(Payoff!$B$4,A35-1))</f>
        <v/>
      </c>
    </row>
    <row r="36">
      <c r="A36" s="11" t="n">
        <v>35</v>
      </c>
      <c r="B36" s="12">
        <f>IF(E35="","",IF(E35&lt;=0,"",E35))</f>
        <v/>
      </c>
      <c r="C36" s="12">
        <f>IF(B36="","",ROUND(B36*Payoff!$B$2/12,2))</f>
        <v/>
      </c>
      <c r="D36" s="12">
        <f>IF(B36="","",MIN(Payoff!$B$3,ROUND(B36+C36,2)))</f>
        <v/>
      </c>
      <c r="E36" s="12">
        <f>IF(B36="","",ROUND(B36+C36-D36,2))</f>
        <v/>
      </c>
      <c r="F36" s="13">
        <f>IF(B36="","",EDATE(Payoff!$B$4,A36-1))</f>
        <v/>
      </c>
    </row>
    <row r="37">
      <c r="A37" s="11" t="n">
        <v>36</v>
      </c>
      <c r="B37" s="12">
        <f>IF(E36="","",IF(E36&lt;=0,"",E36))</f>
        <v/>
      </c>
      <c r="C37" s="12">
        <f>IF(B37="","",ROUND(B37*Payoff!$B$2/12,2))</f>
        <v/>
      </c>
      <c r="D37" s="12">
        <f>IF(B37="","",MIN(Payoff!$B$3,ROUND(B37+C37,2)))</f>
        <v/>
      </c>
      <c r="E37" s="12">
        <f>IF(B37="","",ROUND(B37+C37-D37,2))</f>
        <v/>
      </c>
      <c r="F37" s="13">
        <f>IF(B37="","",EDATE(Payoff!$B$4,A37-1))</f>
        <v/>
      </c>
    </row>
    <row r="38">
      <c r="A38" s="11" t="n">
        <v>37</v>
      </c>
      <c r="B38" s="12">
        <f>IF(E37="","",IF(E37&lt;=0,"",E37))</f>
        <v/>
      </c>
      <c r="C38" s="12">
        <f>IF(B38="","",ROUND(B38*Payoff!$B$2/12,2))</f>
        <v/>
      </c>
      <c r="D38" s="12">
        <f>IF(B38="","",MIN(Payoff!$B$3,ROUND(B38+C38,2)))</f>
        <v/>
      </c>
      <c r="E38" s="12">
        <f>IF(B38="","",ROUND(B38+C38-D38,2))</f>
        <v/>
      </c>
      <c r="F38" s="13">
        <f>IF(B38="","",EDATE(Payoff!$B$4,A38-1))</f>
        <v/>
      </c>
    </row>
    <row r="39">
      <c r="A39" s="11" t="n">
        <v>38</v>
      </c>
      <c r="B39" s="12">
        <f>IF(E38="","",IF(E38&lt;=0,"",E38))</f>
        <v/>
      </c>
      <c r="C39" s="12">
        <f>IF(B39="","",ROUND(B39*Payoff!$B$2/12,2))</f>
        <v/>
      </c>
      <c r="D39" s="12">
        <f>IF(B39="","",MIN(Payoff!$B$3,ROUND(B39+C39,2)))</f>
        <v/>
      </c>
      <c r="E39" s="12">
        <f>IF(B39="","",ROUND(B39+C39-D39,2))</f>
        <v/>
      </c>
      <c r="F39" s="13">
        <f>IF(B39="","",EDATE(Payoff!$B$4,A39-1))</f>
        <v/>
      </c>
    </row>
    <row r="40">
      <c r="A40" s="11" t="n">
        <v>39</v>
      </c>
      <c r="B40" s="12">
        <f>IF(E39="","",IF(E39&lt;=0,"",E39))</f>
        <v/>
      </c>
      <c r="C40" s="12">
        <f>IF(B40="","",ROUND(B40*Payoff!$B$2/12,2))</f>
        <v/>
      </c>
      <c r="D40" s="12">
        <f>IF(B40="","",MIN(Payoff!$B$3,ROUND(B40+C40,2)))</f>
        <v/>
      </c>
      <c r="E40" s="12">
        <f>IF(B40="","",ROUND(B40+C40-D40,2))</f>
        <v/>
      </c>
      <c r="F40" s="13">
        <f>IF(B40="","",EDATE(Payoff!$B$4,A40-1))</f>
        <v/>
      </c>
    </row>
    <row r="41">
      <c r="A41" s="11" t="n">
        <v>40</v>
      </c>
      <c r="B41" s="12">
        <f>IF(E40="","",IF(E40&lt;=0,"",E40))</f>
        <v/>
      </c>
      <c r="C41" s="12">
        <f>IF(B41="","",ROUND(B41*Payoff!$B$2/12,2))</f>
        <v/>
      </c>
      <c r="D41" s="12">
        <f>IF(B41="","",MIN(Payoff!$B$3,ROUND(B41+C41,2)))</f>
        <v/>
      </c>
      <c r="E41" s="12">
        <f>IF(B41="","",ROUND(B41+C41-D41,2))</f>
        <v/>
      </c>
      <c r="F41" s="13">
        <f>IF(B41="","",EDATE(Payoff!$B$4,A41-1))</f>
        <v/>
      </c>
    </row>
    <row r="42">
      <c r="A42" s="11" t="n">
        <v>41</v>
      </c>
      <c r="B42" s="12">
        <f>IF(E41="","",IF(E41&lt;=0,"",E41))</f>
        <v/>
      </c>
      <c r="C42" s="12">
        <f>IF(B42="","",ROUND(B42*Payoff!$B$2/12,2))</f>
        <v/>
      </c>
      <c r="D42" s="12">
        <f>IF(B42="","",MIN(Payoff!$B$3,ROUND(B42+C42,2)))</f>
        <v/>
      </c>
      <c r="E42" s="12">
        <f>IF(B42="","",ROUND(B42+C42-D42,2))</f>
        <v/>
      </c>
      <c r="F42" s="13">
        <f>IF(B42="","",EDATE(Payoff!$B$4,A42-1))</f>
        <v/>
      </c>
    </row>
    <row r="43">
      <c r="A43" s="11" t="n">
        <v>42</v>
      </c>
      <c r="B43" s="12">
        <f>IF(E42="","",IF(E42&lt;=0,"",E42))</f>
        <v/>
      </c>
      <c r="C43" s="12">
        <f>IF(B43="","",ROUND(B43*Payoff!$B$2/12,2))</f>
        <v/>
      </c>
      <c r="D43" s="12">
        <f>IF(B43="","",MIN(Payoff!$B$3,ROUND(B43+C43,2)))</f>
        <v/>
      </c>
      <c r="E43" s="12">
        <f>IF(B43="","",ROUND(B43+C43-D43,2))</f>
        <v/>
      </c>
      <c r="F43" s="13">
        <f>IF(B43="","",EDATE(Payoff!$B$4,A43-1))</f>
        <v/>
      </c>
    </row>
    <row r="44">
      <c r="A44" s="11" t="n">
        <v>43</v>
      </c>
      <c r="B44" s="12">
        <f>IF(E43="","",IF(E43&lt;=0,"",E43))</f>
        <v/>
      </c>
      <c r="C44" s="12">
        <f>IF(B44="","",ROUND(B44*Payoff!$B$2/12,2))</f>
        <v/>
      </c>
      <c r="D44" s="12">
        <f>IF(B44="","",MIN(Payoff!$B$3,ROUND(B44+C44,2)))</f>
        <v/>
      </c>
      <c r="E44" s="12">
        <f>IF(B44="","",ROUND(B44+C44-D44,2))</f>
        <v/>
      </c>
      <c r="F44" s="13">
        <f>IF(B44="","",EDATE(Payoff!$B$4,A44-1))</f>
        <v/>
      </c>
    </row>
    <row r="45">
      <c r="A45" s="11" t="n">
        <v>44</v>
      </c>
      <c r="B45" s="12">
        <f>IF(E44="","",IF(E44&lt;=0,"",E44))</f>
        <v/>
      </c>
      <c r="C45" s="12">
        <f>IF(B45="","",ROUND(B45*Payoff!$B$2/12,2))</f>
        <v/>
      </c>
      <c r="D45" s="12">
        <f>IF(B45="","",MIN(Payoff!$B$3,ROUND(B45+C45,2)))</f>
        <v/>
      </c>
      <c r="E45" s="12">
        <f>IF(B45="","",ROUND(B45+C45-D45,2))</f>
        <v/>
      </c>
      <c r="F45" s="13">
        <f>IF(B45="","",EDATE(Payoff!$B$4,A45-1))</f>
        <v/>
      </c>
    </row>
    <row r="46">
      <c r="A46" s="11" t="n">
        <v>45</v>
      </c>
      <c r="B46" s="12">
        <f>IF(E45="","",IF(E45&lt;=0,"",E45))</f>
        <v/>
      </c>
      <c r="C46" s="12">
        <f>IF(B46="","",ROUND(B46*Payoff!$B$2/12,2))</f>
        <v/>
      </c>
      <c r="D46" s="12">
        <f>IF(B46="","",MIN(Payoff!$B$3,ROUND(B46+C46,2)))</f>
        <v/>
      </c>
      <c r="E46" s="12">
        <f>IF(B46="","",ROUND(B46+C46-D46,2))</f>
        <v/>
      </c>
      <c r="F46" s="13">
        <f>IF(B46="","",EDATE(Payoff!$B$4,A46-1))</f>
        <v/>
      </c>
    </row>
    <row r="47">
      <c r="A47" s="11" t="n">
        <v>46</v>
      </c>
      <c r="B47" s="12">
        <f>IF(E46="","",IF(E46&lt;=0,"",E46))</f>
        <v/>
      </c>
      <c r="C47" s="12">
        <f>IF(B47="","",ROUND(B47*Payoff!$B$2/12,2))</f>
        <v/>
      </c>
      <c r="D47" s="12">
        <f>IF(B47="","",MIN(Payoff!$B$3,ROUND(B47+C47,2)))</f>
        <v/>
      </c>
      <c r="E47" s="12">
        <f>IF(B47="","",ROUND(B47+C47-D47,2))</f>
        <v/>
      </c>
      <c r="F47" s="13">
        <f>IF(B47="","",EDATE(Payoff!$B$4,A47-1))</f>
        <v/>
      </c>
    </row>
    <row r="48">
      <c r="A48" s="11" t="n">
        <v>47</v>
      </c>
      <c r="B48" s="12">
        <f>IF(E47="","",IF(E47&lt;=0,"",E47))</f>
        <v/>
      </c>
      <c r="C48" s="12">
        <f>IF(B48="","",ROUND(B48*Payoff!$B$2/12,2))</f>
        <v/>
      </c>
      <c r="D48" s="12">
        <f>IF(B48="","",MIN(Payoff!$B$3,ROUND(B48+C48,2)))</f>
        <v/>
      </c>
      <c r="E48" s="12">
        <f>IF(B48="","",ROUND(B48+C48-D48,2))</f>
        <v/>
      </c>
      <c r="F48" s="13">
        <f>IF(B48="","",EDATE(Payoff!$B$4,A48-1))</f>
        <v/>
      </c>
    </row>
    <row r="49">
      <c r="A49" s="11" t="n">
        <v>48</v>
      </c>
      <c r="B49" s="12">
        <f>IF(E48="","",IF(E48&lt;=0,"",E48))</f>
        <v/>
      </c>
      <c r="C49" s="12">
        <f>IF(B49="","",ROUND(B49*Payoff!$B$2/12,2))</f>
        <v/>
      </c>
      <c r="D49" s="12">
        <f>IF(B49="","",MIN(Payoff!$B$3,ROUND(B49+C49,2)))</f>
        <v/>
      </c>
      <c r="E49" s="12">
        <f>IF(B49="","",ROUND(B49+C49-D49,2))</f>
        <v/>
      </c>
      <c r="F49" s="13">
        <f>IF(B49="","",EDATE(Payoff!$B$4,A49-1))</f>
        <v/>
      </c>
    </row>
    <row r="50">
      <c r="A50" s="11" t="n">
        <v>49</v>
      </c>
      <c r="B50" s="12">
        <f>IF(E49="","",IF(E49&lt;=0,"",E49))</f>
        <v/>
      </c>
      <c r="C50" s="12">
        <f>IF(B50="","",ROUND(B50*Payoff!$B$2/12,2))</f>
        <v/>
      </c>
      <c r="D50" s="12">
        <f>IF(B50="","",MIN(Payoff!$B$3,ROUND(B50+C50,2)))</f>
        <v/>
      </c>
      <c r="E50" s="12">
        <f>IF(B50="","",ROUND(B50+C50-D50,2))</f>
        <v/>
      </c>
      <c r="F50" s="13">
        <f>IF(B50="","",EDATE(Payoff!$B$4,A50-1))</f>
        <v/>
      </c>
    </row>
    <row r="51">
      <c r="A51" s="11" t="n">
        <v>50</v>
      </c>
      <c r="B51" s="12">
        <f>IF(E50="","",IF(E50&lt;=0,"",E50))</f>
        <v/>
      </c>
      <c r="C51" s="12">
        <f>IF(B51="","",ROUND(B51*Payoff!$B$2/12,2))</f>
        <v/>
      </c>
      <c r="D51" s="12">
        <f>IF(B51="","",MIN(Payoff!$B$3,ROUND(B51+C51,2)))</f>
        <v/>
      </c>
      <c r="E51" s="12">
        <f>IF(B51="","",ROUND(B51+C51-D51,2))</f>
        <v/>
      </c>
      <c r="F51" s="13">
        <f>IF(B51="","",EDATE(Payoff!$B$4,A51-1))</f>
        <v/>
      </c>
    </row>
    <row r="52">
      <c r="A52" s="11" t="n">
        <v>51</v>
      </c>
      <c r="B52" s="12">
        <f>IF(E51="","",IF(E51&lt;=0,"",E51))</f>
        <v/>
      </c>
      <c r="C52" s="12">
        <f>IF(B52="","",ROUND(B52*Payoff!$B$2/12,2))</f>
        <v/>
      </c>
      <c r="D52" s="12">
        <f>IF(B52="","",MIN(Payoff!$B$3,ROUND(B52+C52,2)))</f>
        <v/>
      </c>
      <c r="E52" s="12">
        <f>IF(B52="","",ROUND(B52+C52-D52,2))</f>
        <v/>
      </c>
      <c r="F52" s="13">
        <f>IF(B52="","",EDATE(Payoff!$B$4,A52-1))</f>
        <v/>
      </c>
    </row>
    <row r="53">
      <c r="A53" s="11" t="n">
        <v>52</v>
      </c>
      <c r="B53" s="12">
        <f>IF(E52="","",IF(E52&lt;=0,"",E52))</f>
        <v/>
      </c>
      <c r="C53" s="12">
        <f>IF(B53="","",ROUND(B53*Payoff!$B$2/12,2))</f>
        <v/>
      </c>
      <c r="D53" s="12">
        <f>IF(B53="","",MIN(Payoff!$B$3,ROUND(B53+C53,2)))</f>
        <v/>
      </c>
      <c r="E53" s="12">
        <f>IF(B53="","",ROUND(B53+C53-D53,2))</f>
        <v/>
      </c>
      <c r="F53" s="13">
        <f>IF(B53="","",EDATE(Payoff!$B$4,A53-1))</f>
        <v/>
      </c>
    </row>
    <row r="54">
      <c r="A54" s="11" t="n">
        <v>53</v>
      </c>
      <c r="B54" s="12">
        <f>IF(E53="","",IF(E53&lt;=0,"",E53))</f>
        <v/>
      </c>
      <c r="C54" s="12">
        <f>IF(B54="","",ROUND(B54*Payoff!$B$2/12,2))</f>
        <v/>
      </c>
      <c r="D54" s="12">
        <f>IF(B54="","",MIN(Payoff!$B$3,ROUND(B54+C54,2)))</f>
        <v/>
      </c>
      <c r="E54" s="12">
        <f>IF(B54="","",ROUND(B54+C54-D54,2))</f>
        <v/>
      </c>
      <c r="F54" s="13">
        <f>IF(B54="","",EDATE(Payoff!$B$4,A54-1))</f>
        <v/>
      </c>
    </row>
    <row r="55">
      <c r="A55" s="11" t="n">
        <v>54</v>
      </c>
      <c r="B55" s="12">
        <f>IF(E54="","",IF(E54&lt;=0,"",E54))</f>
        <v/>
      </c>
      <c r="C55" s="12">
        <f>IF(B55="","",ROUND(B55*Payoff!$B$2/12,2))</f>
        <v/>
      </c>
      <c r="D55" s="12">
        <f>IF(B55="","",MIN(Payoff!$B$3,ROUND(B55+C55,2)))</f>
        <v/>
      </c>
      <c r="E55" s="12">
        <f>IF(B55="","",ROUND(B55+C55-D55,2))</f>
        <v/>
      </c>
      <c r="F55" s="13">
        <f>IF(B55="","",EDATE(Payoff!$B$4,A55-1))</f>
        <v/>
      </c>
    </row>
    <row r="56">
      <c r="A56" s="11" t="n">
        <v>55</v>
      </c>
      <c r="B56" s="12">
        <f>IF(E55="","",IF(E55&lt;=0,"",E55))</f>
        <v/>
      </c>
      <c r="C56" s="12">
        <f>IF(B56="","",ROUND(B56*Payoff!$B$2/12,2))</f>
        <v/>
      </c>
      <c r="D56" s="12">
        <f>IF(B56="","",MIN(Payoff!$B$3,ROUND(B56+C56,2)))</f>
        <v/>
      </c>
      <c r="E56" s="12">
        <f>IF(B56="","",ROUND(B56+C56-D56,2))</f>
        <v/>
      </c>
      <c r="F56" s="13">
        <f>IF(B56="","",EDATE(Payoff!$B$4,A56-1))</f>
        <v/>
      </c>
    </row>
    <row r="57">
      <c r="A57" s="11" t="n">
        <v>56</v>
      </c>
      <c r="B57" s="12">
        <f>IF(E56="","",IF(E56&lt;=0,"",E56))</f>
        <v/>
      </c>
      <c r="C57" s="12">
        <f>IF(B57="","",ROUND(B57*Payoff!$B$2/12,2))</f>
        <v/>
      </c>
      <c r="D57" s="12">
        <f>IF(B57="","",MIN(Payoff!$B$3,ROUND(B57+C57,2)))</f>
        <v/>
      </c>
      <c r="E57" s="12">
        <f>IF(B57="","",ROUND(B57+C57-D57,2))</f>
        <v/>
      </c>
      <c r="F57" s="13">
        <f>IF(B57="","",EDATE(Payoff!$B$4,A57-1))</f>
        <v/>
      </c>
    </row>
    <row r="58">
      <c r="A58" s="11" t="n">
        <v>57</v>
      </c>
      <c r="B58" s="12">
        <f>IF(E57="","",IF(E57&lt;=0,"",E57))</f>
        <v/>
      </c>
      <c r="C58" s="12">
        <f>IF(B58="","",ROUND(B58*Payoff!$B$2/12,2))</f>
        <v/>
      </c>
      <c r="D58" s="12">
        <f>IF(B58="","",MIN(Payoff!$B$3,ROUND(B58+C58,2)))</f>
        <v/>
      </c>
      <c r="E58" s="12">
        <f>IF(B58="","",ROUND(B58+C58-D58,2))</f>
        <v/>
      </c>
      <c r="F58" s="13">
        <f>IF(B58="","",EDATE(Payoff!$B$4,A58-1))</f>
        <v/>
      </c>
    </row>
    <row r="59">
      <c r="A59" s="11" t="n">
        <v>58</v>
      </c>
      <c r="B59" s="12">
        <f>IF(E58="","",IF(E58&lt;=0,"",E58))</f>
        <v/>
      </c>
      <c r="C59" s="12">
        <f>IF(B59="","",ROUND(B59*Payoff!$B$2/12,2))</f>
        <v/>
      </c>
      <c r="D59" s="12">
        <f>IF(B59="","",MIN(Payoff!$B$3,ROUND(B59+C59,2)))</f>
        <v/>
      </c>
      <c r="E59" s="12">
        <f>IF(B59="","",ROUND(B59+C59-D59,2))</f>
        <v/>
      </c>
      <c r="F59" s="13">
        <f>IF(B59="","",EDATE(Payoff!$B$4,A59-1))</f>
        <v/>
      </c>
    </row>
    <row r="60">
      <c r="A60" s="11" t="n">
        <v>59</v>
      </c>
      <c r="B60" s="12">
        <f>IF(E59="","",IF(E59&lt;=0,"",E59))</f>
        <v/>
      </c>
      <c r="C60" s="12">
        <f>IF(B60="","",ROUND(B60*Payoff!$B$2/12,2))</f>
        <v/>
      </c>
      <c r="D60" s="12">
        <f>IF(B60="","",MIN(Payoff!$B$3,ROUND(B60+C60,2)))</f>
        <v/>
      </c>
      <c r="E60" s="12">
        <f>IF(B60="","",ROUND(B60+C60-D60,2))</f>
        <v/>
      </c>
      <c r="F60" s="13">
        <f>IF(B60="","",EDATE(Payoff!$B$4,A60-1))</f>
        <v/>
      </c>
    </row>
    <row r="61">
      <c r="A61" s="11" t="n">
        <v>60</v>
      </c>
      <c r="B61" s="12">
        <f>IF(E60="","",IF(E60&lt;=0,"",E60))</f>
        <v/>
      </c>
      <c r="C61" s="12">
        <f>IF(B61="","",ROUND(B61*Payoff!$B$2/12,2))</f>
        <v/>
      </c>
      <c r="D61" s="12">
        <f>IF(B61="","",MIN(Payoff!$B$3,ROUND(B61+C61,2)))</f>
        <v/>
      </c>
      <c r="E61" s="12">
        <f>IF(B61="","",ROUND(B61+C61-D61,2))</f>
        <v/>
      </c>
      <c r="F61" s="13">
        <f>IF(B61="","",EDATE(Payoff!$B$4,A61-1))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Tidy Tabs: How Many Months to Pay Off a Balance</t>
        </is>
      </c>
    </row>
    <row r="2">
      <c r="A2" s="15" t="inlineStr"/>
    </row>
    <row r="3">
      <c r="A3" s="15" t="inlineStr">
        <is>
          <t>1. Payoff tab: type the balance (B1), the yearly interest rate (B2), the monthly payment (B3) and the first payment date (B4). They are yellow.</t>
        </is>
      </c>
    </row>
    <row r="4">
      <c r="A4" s="15" t="inlineStr">
        <is>
          <t>2. B5 is =ROUNDUP(NPER(B2/12,-B3,B1),0). NPER wants the monthly rate (yearly rate divided by 12), the payment as a negative number, and the balance as the present value. ROUNDUP is there because a part month still needs a payment.</t>
        </is>
      </c>
    </row>
    <row r="5">
      <c r="A5" s="15" t="inlineStr">
        <is>
          <t>3. If the payment is not bigger than one month of interest (B1*B2/12), the balance never goes down and NPER returns #NUM!. B5 shows Payment too low instead. A blank or text input, a rate below 0, or a balance or payment of 0 or less shows Check inputs.</t>
        </is>
      </c>
    </row>
    <row r="6">
      <c r="A6" s="15" t="inlineStr">
        <is>
          <t>4. B6 is the last payment date, =EDATE(B4,B5-1). B7 is the last payment, taken from the Schedule tab. B8 is B3*(B5-1)+B7. B9 is B8-B1.</t>
        </is>
      </c>
    </row>
    <row r="7">
      <c r="A7" s="15" t="inlineStr">
        <is>
          <t>5. Schedule tab: 60 rows. Each month: interest = balance x yearly rate / 12 rounded to cents, payment = the smaller of your payment and balance plus interest, ending balance = balance + interest - payment. B10 on the Payoff tab shows OK when the schedule has exactly the NPER month count and ends at $0.00.</t>
        </is>
      </c>
    </row>
    <row r="8">
      <c r="A8" s="15" t="inlineStr">
        <is>
          <t>6. Longer than 60 months: B5 still works, but the Schedule tab stops at row 61 and B7 to B10 say Over 60 months. Copy the last Schedule row down to extend it.</t>
        </is>
      </c>
    </row>
    <row r="9">
      <c r="A9" s="15" t="inlineStr">
        <is>
          <t>7. Save for a goal (B13 to B17): =ROUNDUP(NPER(B15/12,-B14,0,B13),0) is the number of monthly deposits to reach the goal, with the first deposit at the end of month 1. B17 checks it with FV: the goal is reached in that month and not the month before.</t>
        </is>
      </c>
    </row>
    <row r="10">
      <c r="A10" s="15" t="inlineStr">
        <is>
          <t>8. The schedule rounds each month's interest to cents, so a real lender's statement can differ by cents or a month in rare cases. Arithmetic only: this is not borrowing advice and it does not follow any lender's APR rules.</t>
        </is>
      </c>
    </row>
    <row r="11">
      <c r="A11" s="15" t="inlineStr"/>
    </row>
    <row r="12">
      <c r="A12" s="15" t="inlineStr">
        <is>
          <t>The balance, rates and dates are fictional. Checked in LibreOffice Calc only; not opened in Excel or Google Sheets.</t>
        </is>
      </c>
    </row>
    <row r="13">
      <c r="A13" s="15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2026-10-19T07:45:47Z</dcterms:created>
  <dcterms:modified xmlns:dcterms="http://purl.org/dc/terms/" xmlns:xsi="http://www.w3.org/2001/XMLSchema-instance" xsi:type="dcterms:W3CDTF">2026-10-19T07:45:47Z</dcterms:modified>
</cp:coreProperties>
</file>