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'Orders'!$1:$1</definedName>
    <definedName name="_xlnm.Print_Area" localSheetId="0">'Orders'!$A$1:$H$50</definedName>
    <definedName name="_xlnm.Print_Titles" localSheetId="1">'Summary'!$1:$1</definedName>
    <definedName name="_xlnm.Print_Area" localSheetId="1">'Summary'!$A$1:$G$9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0" borderId="0" pivotButton="0" quotePrefix="0" xfId="0"/>
    <xf numFmtId="1" fontId="0" fillId="4" borderId="0" applyAlignment="1" pivotButton="0" quotePrefix="0" xfId="0">
      <alignment horizontal="right"/>
    </xf>
    <xf numFmtId="0" fontId="1" fillId="2" borderId="0" pivotButton="0" quotePrefix="0" xfId="0"/>
    <xf numFmtId="0" fontId="0" fillId="4" borderId="0" applyAlignment="1" pivotButton="0" quotePrefix="0" xfId="0">
      <alignment horizontal="right"/>
    </xf>
    <xf numFmtId="165" fontId="0" fillId="4" borderId="0" pivotButton="0" quotePrefix="0" xfId="0"/>
    <xf numFmtId="165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 ht="62" customHeight="1">
      <c r="A1" s="1" t="inlineStr">
        <is>
          <t>Order</t>
        </is>
      </c>
      <c r="B1" s="1" t="inlineStr">
        <is>
          <t>Item size or scent</t>
        </is>
      </c>
      <c r="C1" s="1" t="inlineStr">
        <is>
          <t>Quantity</t>
        </is>
      </c>
      <c r="D1" s="1" t="inlineStr">
        <is>
          <t>Times this item is listed</t>
        </is>
      </c>
      <c r="E1" s="1" t="inlineStr">
        <is>
          <t>First time this item is listed (1 = yes)</t>
        </is>
      </c>
      <c r="F1" s="1" t="inlineStr">
        <is>
          <t>Sort key (count minus row/100000)</t>
        </is>
      </c>
      <c r="G1" s="1" t="inlineStr">
        <is>
          <t>Times this quantity is listed</t>
        </is>
      </c>
      <c r="H1" s="1" t="inlineStr">
        <is>
          <t>First time this quantity is listed (1 = yes)</t>
        </is>
      </c>
    </row>
    <row r="2">
      <c r="A2" s="2" t="inlineStr">
        <is>
          <t>E-2001</t>
        </is>
      </c>
      <c r="B2" s="2" t="inlineStr">
        <is>
          <t>Lavender</t>
        </is>
      </c>
      <c r="C2" s="2" t="n">
        <v>2</v>
      </c>
      <c r="D2" s="3">
        <f>IF(B2="","",COUNTIF($B$2:$B$500,B2))</f>
        <v/>
      </c>
      <c r="E2" s="3">
        <f>IF(B2="","",IF(COUNTIF($B$2:B2,B2)=1,1,0))</f>
        <v/>
      </c>
      <c r="F2" s="4">
        <f>IF(E2=1,D2-ROW()/100000,"")</f>
        <v/>
      </c>
      <c r="G2" s="3">
        <f>IF(ISNUMBER(C2),COUNTIF($C$2:$C$500,C2),"")</f>
        <v/>
      </c>
      <c r="H2" s="3">
        <f>IF(ISNUMBER(C2),IF(COUNTIF($C$2:C2,C2)=1,1,0),"")</f>
        <v/>
      </c>
    </row>
    <row r="3">
      <c r="A3" s="2" t="inlineStr">
        <is>
          <t>E-2002</t>
        </is>
      </c>
      <c r="B3" s="2" t="inlineStr">
        <is>
          <t>Lavender</t>
        </is>
      </c>
      <c r="C3" s="2" t="n">
        <v>4</v>
      </c>
      <c r="D3" s="3">
        <f>IF(B3="","",COUNTIF($B$2:$B$500,B3))</f>
        <v/>
      </c>
      <c r="E3" s="3">
        <f>IF(B3="","",IF(COUNTIF($B$2:B3,B3)=1,1,0))</f>
        <v/>
      </c>
      <c r="F3" s="4">
        <f>IF(E3=1,D3-ROW()/100000,"")</f>
        <v/>
      </c>
      <c r="G3" s="3">
        <f>IF(ISNUMBER(C3),COUNTIF($C$2:$C$500,C3),"")</f>
        <v/>
      </c>
      <c r="H3" s="3">
        <f>IF(ISNUMBER(C3),IF(COUNTIF($C$2:C3,C3)=1,1,0),"")</f>
        <v/>
      </c>
    </row>
    <row r="4">
      <c r="A4" s="2" t="inlineStr">
        <is>
          <t>E-2003</t>
        </is>
      </c>
      <c r="B4" s="2" t="inlineStr">
        <is>
          <t>Sandalwood</t>
        </is>
      </c>
      <c r="C4" s="2" t="n">
        <v>1</v>
      </c>
      <c r="D4" s="3">
        <f>IF(B4="","",COUNTIF($B$2:$B$500,B4))</f>
        <v/>
      </c>
      <c r="E4" s="3">
        <f>IF(B4="","",IF(COUNTIF($B$2:B4,B4)=1,1,0))</f>
        <v/>
      </c>
      <c r="F4" s="4">
        <f>IF(E4=1,D4-ROW()/100000,"")</f>
        <v/>
      </c>
      <c r="G4" s="3">
        <f>IF(ISNUMBER(C4),COUNTIF($C$2:$C$500,C4),"")</f>
        <v/>
      </c>
      <c r="H4" s="3">
        <f>IF(ISNUMBER(C4),IF(COUNTIF($C$2:C4,C4)=1,1,0),"")</f>
        <v/>
      </c>
    </row>
    <row r="5">
      <c r="A5" s="2" t="inlineStr">
        <is>
          <t>E-2004</t>
        </is>
      </c>
      <c r="B5" s="2" t="inlineStr">
        <is>
          <t>Vanilla</t>
        </is>
      </c>
      <c r="C5" s="2" t="n">
        <v>3</v>
      </c>
      <c r="D5" s="3">
        <f>IF(B5="","",COUNTIF($B$2:$B$500,B5))</f>
        <v/>
      </c>
      <c r="E5" s="3">
        <f>IF(B5="","",IF(COUNTIF($B$2:B5,B5)=1,1,0))</f>
        <v/>
      </c>
      <c r="F5" s="4">
        <f>IF(E5=1,D5-ROW()/100000,"")</f>
        <v/>
      </c>
      <c r="G5" s="3">
        <f>IF(ISNUMBER(C5),COUNTIF($C$2:$C$500,C5),"")</f>
        <v/>
      </c>
      <c r="H5" s="3">
        <f>IF(ISNUMBER(C5),IF(COUNTIF($C$2:C5,C5)=1,1,0),"")</f>
        <v/>
      </c>
    </row>
    <row r="6">
      <c r="A6" s="2" t="inlineStr">
        <is>
          <t>E-2005</t>
        </is>
      </c>
      <c r="B6" s="2" t="inlineStr">
        <is>
          <t>Cedar</t>
        </is>
      </c>
      <c r="C6" s="2" t="n">
        <v>6</v>
      </c>
      <c r="D6" s="3">
        <f>IF(B6="","",COUNTIF($B$2:$B$500,B6))</f>
        <v/>
      </c>
      <c r="E6" s="3">
        <f>IF(B6="","",IF(COUNTIF($B$2:B6,B6)=1,1,0))</f>
        <v/>
      </c>
      <c r="F6" s="4">
        <f>IF(E6=1,D6-ROW()/100000,"")</f>
        <v/>
      </c>
      <c r="G6" s="3">
        <f>IF(ISNUMBER(C6),COUNTIF($C$2:$C$500,C6),"")</f>
        <v/>
      </c>
      <c r="H6" s="3">
        <f>IF(ISNUMBER(C6),IF(COUNTIF($C$2:C6,C6)=1,1,0),"")</f>
        <v/>
      </c>
    </row>
    <row r="7">
      <c r="A7" s="2" t="inlineStr">
        <is>
          <t>E-2006</t>
        </is>
      </c>
      <c r="B7" s="2" t="inlineStr">
        <is>
          <t>Sandalwood</t>
        </is>
      </c>
      <c r="C7" s="2" t="n">
        <v>1</v>
      </c>
      <c r="D7" s="3">
        <f>IF(B7="","",COUNTIF($B$2:$B$500,B7))</f>
        <v/>
      </c>
      <c r="E7" s="3">
        <f>IF(B7="","",IF(COUNTIF($B$2:B7,B7)=1,1,0))</f>
        <v/>
      </c>
      <c r="F7" s="4">
        <f>IF(E7=1,D7-ROW()/100000,"")</f>
        <v/>
      </c>
      <c r="G7" s="3">
        <f>IF(ISNUMBER(C7),COUNTIF($C$2:$C$500,C7),"")</f>
        <v/>
      </c>
      <c r="H7" s="3">
        <f>IF(ISNUMBER(C7),IF(COUNTIF($C$2:C7,C7)=1,1,0),"")</f>
        <v/>
      </c>
    </row>
    <row r="8">
      <c r="A8" s="2" t="inlineStr">
        <is>
          <t>E-2007</t>
        </is>
      </c>
      <c r="B8" s="2" t="inlineStr">
        <is>
          <t>Citrus</t>
        </is>
      </c>
      <c r="C8" s="2" t="n">
        <v>1</v>
      </c>
      <c r="D8" s="3">
        <f>IF(B8="","",COUNTIF($B$2:$B$500,B8))</f>
        <v/>
      </c>
      <c r="E8" s="3">
        <f>IF(B8="","",IF(COUNTIF($B$2:B8,B8)=1,1,0))</f>
        <v/>
      </c>
      <c r="F8" s="4">
        <f>IF(E8=1,D8-ROW()/100000,"")</f>
        <v/>
      </c>
      <c r="G8" s="3">
        <f>IF(ISNUMBER(C8),COUNTIF($C$2:$C$500,C8),"")</f>
        <v/>
      </c>
      <c r="H8" s="3">
        <f>IF(ISNUMBER(C8),IF(COUNTIF($C$2:C8,C8)=1,1,0),"")</f>
        <v/>
      </c>
    </row>
    <row r="9">
      <c r="A9" s="2" t="inlineStr">
        <is>
          <t>E-2008</t>
        </is>
      </c>
      <c r="B9" s="2" t="inlineStr">
        <is>
          <t>Vanilla</t>
        </is>
      </c>
      <c r="C9" s="2" t="n">
        <v>3</v>
      </c>
      <c r="D9" s="3">
        <f>IF(B9="","",COUNTIF($B$2:$B$500,B9))</f>
        <v/>
      </c>
      <c r="E9" s="3">
        <f>IF(B9="","",IF(COUNTIF($B$2:B9,B9)=1,1,0))</f>
        <v/>
      </c>
      <c r="F9" s="4">
        <f>IF(E9=1,D9-ROW()/100000,"")</f>
        <v/>
      </c>
      <c r="G9" s="3">
        <f>IF(ISNUMBER(C9),COUNTIF($C$2:$C$500,C9),"")</f>
        <v/>
      </c>
      <c r="H9" s="3">
        <f>IF(ISNUMBER(C9),IF(COUNTIF($C$2:C9,C9)=1,1,0),"")</f>
        <v/>
      </c>
    </row>
    <row r="10">
      <c r="A10" s="2" t="inlineStr">
        <is>
          <t>E-2009</t>
        </is>
      </c>
      <c r="B10" s="2" t="inlineStr">
        <is>
          <t>Vanilla</t>
        </is>
      </c>
      <c r="C10" s="2" t="n">
        <v>1</v>
      </c>
      <c r="D10" s="3">
        <f>IF(B10="","",COUNTIF($B$2:$B$500,B10))</f>
        <v/>
      </c>
      <c r="E10" s="3">
        <f>IF(B10="","",IF(COUNTIF($B$2:B10,B10)=1,1,0))</f>
        <v/>
      </c>
      <c r="F10" s="4">
        <f>IF(E10=1,D10-ROW()/100000,"")</f>
        <v/>
      </c>
      <c r="G10" s="3">
        <f>IF(ISNUMBER(C10),COUNTIF($C$2:$C$500,C10),"")</f>
        <v/>
      </c>
      <c r="H10" s="3">
        <f>IF(ISNUMBER(C10),IF(COUNTIF($C$2:C10,C10)=1,1,0),"")</f>
        <v/>
      </c>
    </row>
    <row r="11">
      <c r="A11" s="2" t="inlineStr">
        <is>
          <t>E-2010</t>
        </is>
      </c>
      <c r="B11" s="2" t="inlineStr">
        <is>
          <t>Lavender</t>
        </is>
      </c>
      <c r="C11" s="2" t="n">
        <v>1</v>
      </c>
      <c r="D11" s="3">
        <f>IF(B11="","",COUNTIF($B$2:$B$500,B11))</f>
        <v/>
      </c>
      <c r="E11" s="3">
        <f>IF(B11="","",IF(COUNTIF($B$2:B11,B11)=1,1,0))</f>
        <v/>
      </c>
      <c r="F11" s="4">
        <f>IF(E11=1,D11-ROW()/100000,"")</f>
        <v/>
      </c>
      <c r="G11" s="3">
        <f>IF(ISNUMBER(C11),COUNTIF($C$2:$C$500,C11),"")</f>
        <v/>
      </c>
      <c r="H11" s="3">
        <f>IF(ISNUMBER(C11),IF(COUNTIF($C$2:C11,C11)=1,1,0),"")</f>
        <v/>
      </c>
    </row>
    <row r="12">
      <c r="A12" s="2" t="inlineStr">
        <is>
          <t>E-2011</t>
        </is>
      </c>
      <c r="B12" s="2" t="inlineStr">
        <is>
          <t>Citrus</t>
        </is>
      </c>
      <c r="C12" s="2" t="n">
        <v>4</v>
      </c>
      <c r="D12" s="3">
        <f>IF(B12="","",COUNTIF($B$2:$B$500,B12))</f>
        <v/>
      </c>
      <c r="E12" s="3">
        <f>IF(B12="","",IF(COUNTIF($B$2:B12,B12)=1,1,0))</f>
        <v/>
      </c>
      <c r="F12" s="4">
        <f>IF(E12=1,D12-ROW()/100000,"")</f>
        <v/>
      </c>
      <c r="G12" s="3">
        <f>IF(ISNUMBER(C12),COUNTIF($C$2:$C$500,C12),"")</f>
        <v/>
      </c>
      <c r="H12" s="3">
        <f>IF(ISNUMBER(C12),IF(COUNTIF($C$2:C12,C12)=1,1,0),"")</f>
        <v/>
      </c>
    </row>
    <row r="13">
      <c r="A13" s="2" t="inlineStr">
        <is>
          <t>E-2012</t>
        </is>
      </c>
      <c r="B13" s="2" t="inlineStr">
        <is>
          <t>Cedar</t>
        </is>
      </c>
      <c r="C13" s="2" t="n">
        <v>1</v>
      </c>
      <c r="D13" s="3">
        <f>IF(B13="","",COUNTIF($B$2:$B$500,B13))</f>
        <v/>
      </c>
      <c r="E13" s="3">
        <f>IF(B13="","",IF(COUNTIF($B$2:B13,B13)=1,1,0))</f>
        <v/>
      </c>
      <c r="F13" s="4">
        <f>IF(E13=1,D13-ROW()/100000,"")</f>
        <v/>
      </c>
      <c r="G13" s="3">
        <f>IF(ISNUMBER(C13),COUNTIF($C$2:$C$500,C13),"")</f>
        <v/>
      </c>
      <c r="H13" s="3">
        <f>IF(ISNUMBER(C13),IF(COUNTIF($C$2:C13,C13)=1,1,0),"")</f>
        <v/>
      </c>
    </row>
    <row r="14">
      <c r="A14" s="2" t="inlineStr">
        <is>
          <t>E-2013</t>
        </is>
      </c>
      <c r="B14" s="2" t="inlineStr">
        <is>
          <t>Vanilla</t>
        </is>
      </c>
      <c r="C14" s="2" t="n">
        <v>2</v>
      </c>
      <c r="D14" s="3">
        <f>IF(B14="","",COUNTIF($B$2:$B$500,B14))</f>
        <v/>
      </c>
      <c r="E14" s="3">
        <f>IF(B14="","",IF(COUNTIF($B$2:B14,B14)=1,1,0))</f>
        <v/>
      </c>
      <c r="F14" s="4">
        <f>IF(E14=1,D14-ROW()/100000,"")</f>
        <v/>
      </c>
      <c r="G14" s="3">
        <f>IF(ISNUMBER(C14),COUNTIF($C$2:$C$500,C14),"")</f>
        <v/>
      </c>
      <c r="H14" s="3">
        <f>IF(ISNUMBER(C14),IF(COUNTIF($C$2:C14,C14)=1,1,0),"")</f>
        <v/>
      </c>
    </row>
    <row r="15">
      <c r="A15" s="2" t="inlineStr">
        <is>
          <t>E-2014</t>
        </is>
      </c>
      <c r="B15" s="2" t="inlineStr">
        <is>
          <t>Lavender</t>
        </is>
      </c>
      <c r="C15" s="2" t="n">
        <v>3</v>
      </c>
      <c r="D15" s="3">
        <f>IF(B15="","",COUNTIF($B$2:$B$500,B15))</f>
        <v/>
      </c>
      <c r="E15" s="3">
        <f>IF(B15="","",IF(COUNTIF($B$2:B15,B15)=1,1,0))</f>
        <v/>
      </c>
      <c r="F15" s="4">
        <f>IF(E15=1,D15-ROW()/100000,"")</f>
        <v/>
      </c>
      <c r="G15" s="3">
        <f>IF(ISNUMBER(C15),COUNTIF($C$2:$C$500,C15),"")</f>
        <v/>
      </c>
      <c r="H15" s="3">
        <f>IF(ISNUMBER(C15),IF(COUNTIF($C$2:C15,C15)=1,1,0),"")</f>
        <v/>
      </c>
    </row>
    <row r="16">
      <c r="A16" s="2" t="inlineStr">
        <is>
          <t>E-2015</t>
        </is>
      </c>
      <c r="B16" s="2" t="inlineStr">
        <is>
          <t>Lavender</t>
        </is>
      </c>
      <c r="C16" s="2" t="n">
        <v>3</v>
      </c>
      <c r="D16" s="3">
        <f>IF(B16="","",COUNTIF($B$2:$B$500,B16))</f>
        <v/>
      </c>
      <c r="E16" s="3">
        <f>IF(B16="","",IF(COUNTIF($B$2:B16,B16)=1,1,0))</f>
        <v/>
      </c>
      <c r="F16" s="4">
        <f>IF(E16=1,D16-ROW()/100000,"")</f>
        <v/>
      </c>
      <c r="G16" s="3">
        <f>IF(ISNUMBER(C16),COUNTIF($C$2:$C$500,C16),"")</f>
        <v/>
      </c>
      <c r="H16" s="3">
        <f>IF(ISNUMBER(C16),IF(COUNTIF($C$2:C16,C16)=1,1,0),"")</f>
        <v/>
      </c>
    </row>
    <row r="17">
      <c r="A17" s="2" t="inlineStr">
        <is>
          <t>E-2016</t>
        </is>
      </c>
      <c r="B17" s="2" t="inlineStr">
        <is>
          <t>Cedar</t>
        </is>
      </c>
      <c r="C17" s="2" t="n">
        <v>2</v>
      </c>
      <c r="D17" s="3">
        <f>IF(B17="","",COUNTIF($B$2:$B$500,B17))</f>
        <v/>
      </c>
      <c r="E17" s="3">
        <f>IF(B17="","",IF(COUNTIF($B$2:B17,B17)=1,1,0))</f>
        <v/>
      </c>
      <c r="F17" s="4">
        <f>IF(E17=1,D17-ROW()/100000,"")</f>
        <v/>
      </c>
      <c r="G17" s="3">
        <f>IF(ISNUMBER(C17),COUNTIF($C$2:$C$500,C17),"")</f>
        <v/>
      </c>
      <c r="H17" s="3">
        <f>IF(ISNUMBER(C17),IF(COUNTIF($C$2:C17,C17)=1,1,0),"")</f>
        <v/>
      </c>
    </row>
    <row r="18">
      <c r="A18" s="2" t="inlineStr">
        <is>
          <t>E-2017</t>
        </is>
      </c>
      <c r="B18" s="2" t="inlineStr">
        <is>
          <t>Cedar</t>
        </is>
      </c>
      <c r="C18" s="2" t="n">
        <v>3</v>
      </c>
      <c r="D18" s="3">
        <f>IF(B18="","",COUNTIF($B$2:$B$500,B18))</f>
        <v/>
      </c>
      <c r="E18" s="3">
        <f>IF(B18="","",IF(COUNTIF($B$2:B18,B18)=1,1,0))</f>
        <v/>
      </c>
      <c r="F18" s="4">
        <f>IF(E18=1,D18-ROW()/100000,"")</f>
        <v/>
      </c>
      <c r="G18" s="3">
        <f>IF(ISNUMBER(C18),COUNTIF($C$2:$C$500,C18),"")</f>
        <v/>
      </c>
      <c r="H18" s="3">
        <f>IF(ISNUMBER(C18),IF(COUNTIF($C$2:C18,C18)=1,1,0),"")</f>
        <v/>
      </c>
    </row>
    <row r="19">
      <c r="A19" s="2" t="inlineStr">
        <is>
          <t>E-2018</t>
        </is>
      </c>
      <c r="B19" s="2" t="inlineStr">
        <is>
          <t>Cedar</t>
        </is>
      </c>
      <c r="C19" s="2" t="n">
        <v>4</v>
      </c>
      <c r="D19" s="3">
        <f>IF(B19="","",COUNTIF($B$2:$B$500,B19))</f>
        <v/>
      </c>
      <c r="E19" s="3">
        <f>IF(B19="","",IF(COUNTIF($B$2:B19,B19)=1,1,0))</f>
        <v/>
      </c>
      <c r="F19" s="4">
        <f>IF(E19=1,D19-ROW()/100000,"")</f>
        <v/>
      </c>
      <c r="G19" s="3">
        <f>IF(ISNUMBER(C19),COUNTIF($C$2:$C$500,C19),"")</f>
        <v/>
      </c>
      <c r="H19" s="3">
        <f>IF(ISNUMBER(C19),IF(COUNTIF($C$2:C19,C19)=1,1,0),"")</f>
        <v/>
      </c>
    </row>
    <row r="20">
      <c r="A20" s="2" t="inlineStr">
        <is>
          <t>E-2019</t>
        </is>
      </c>
      <c r="B20" s="2" t="inlineStr">
        <is>
          <t>Lavender</t>
        </is>
      </c>
      <c r="C20" s="2" t="n">
        <v>3</v>
      </c>
      <c r="D20" s="3">
        <f>IF(B20="","",COUNTIF($B$2:$B$500,B20))</f>
        <v/>
      </c>
      <c r="E20" s="3">
        <f>IF(B20="","",IF(COUNTIF($B$2:B20,B20)=1,1,0))</f>
        <v/>
      </c>
      <c r="F20" s="4">
        <f>IF(E20=1,D20-ROW()/100000,"")</f>
        <v/>
      </c>
      <c r="G20" s="3">
        <f>IF(ISNUMBER(C20),COUNTIF($C$2:$C$500,C20),"")</f>
        <v/>
      </c>
      <c r="H20" s="3">
        <f>IF(ISNUMBER(C20),IF(COUNTIF($C$2:C20,C20)=1,1,0),"")</f>
        <v/>
      </c>
    </row>
    <row r="21">
      <c r="A21" s="2" t="inlineStr">
        <is>
          <t>E-2020</t>
        </is>
      </c>
      <c r="B21" s="2" t="inlineStr">
        <is>
          <t>Lavender</t>
        </is>
      </c>
      <c r="C21" s="2" t="n">
        <v>6</v>
      </c>
      <c r="D21" s="3">
        <f>IF(B21="","",COUNTIF($B$2:$B$500,B21))</f>
        <v/>
      </c>
      <c r="E21" s="3">
        <f>IF(B21="","",IF(COUNTIF($B$2:B21,B21)=1,1,0))</f>
        <v/>
      </c>
      <c r="F21" s="4">
        <f>IF(E21=1,D21-ROW()/100000,"")</f>
        <v/>
      </c>
      <c r="G21" s="3">
        <f>IF(ISNUMBER(C21),COUNTIF($C$2:$C$500,C21),"")</f>
        <v/>
      </c>
      <c r="H21" s="3">
        <f>IF(ISNUMBER(C21),IF(COUNTIF($C$2:C21,C21)=1,1,0),"")</f>
        <v/>
      </c>
    </row>
    <row r="22">
      <c r="A22" s="2" t="inlineStr">
        <is>
          <t>E-2021</t>
        </is>
      </c>
      <c r="B22" s="2" t="inlineStr">
        <is>
          <t>Citrus</t>
        </is>
      </c>
      <c r="C22" s="2" t="n">
        <v>3</v>
      </c>
      <c r="D22" s="3">
        <f>IF(B22="","",COUNTIF($B$2:$B$500,B22))</f>
        <v/>
      </c>
      <c r="E22" s="3">
        <f>IF(B22="","",IF(COUNTIF($B$2:B22,B22)=1,1,0))</f>
        <v/>
      </c>
      <c r="F22" s="4">
        <f>IF(E22=1,D22-ROW()/100000,"")</f>
        <v/>
      </c>
      <c r="G22" s="3">
        <f>IF(ISNUMBER(C22),COUNTIF($C$2:$C$500,C22),"")</f>
        <v/>
      </c>
      <c r="H22" s="3">
        <f>IF(ISNUMBER(C22),IF(COUNTIF($C$2:C22,C22)=1,1,0),"")</f>
        <v/>
      </c>
    </row>
    <row r="23">
      <c r="A23" s="2" t="inlineStr">
        <is>
          <t>E-2022</t>
        </is>
      </c>
      <c r="B23" s="2" t="inlineStr">
        <is>
          <t>Citrus</t>
        </is>
      </c>
      <c r="C23" s="2" t="n">
        <v>3</v>
      </c>
      <c r="D23" s="3">
        <f>IF(B23="","",COUNTIF($B$2:$B$500,B23))</f>
        <v/>
      </c>
      <c r="E23" s="3">
        <f>IF(B23="","",IF(COUNTIF($B$2:B23,B23)=1,1,0))</f>
        <v/>
      </c>
      <c r="F23" s="4">
        <f>IF(E23=1,D23-ROW()/100000,"")</f>
        <v/>
      </c>
      <c r="G23" s="3">
        <f>IF(ISNUMBER(C23),COUNTIF($C$2:$C$500,C23),"")</f>
        <v/>
      </c>
      <c r="H23" s="3">
        <f>IF(ISNUMBER(C23),IF(COUNTIF($C$2:C23,C23)=1,1,0),"")</f>
        <v/>
      </c>
    </row>
    <row r="24">
      <c r="A24" s="2" t="inlineStr">
        <is>
          <t>E-2023</t>
        </is>
      </c>
      <c r="B24" s="2" t="inlineStr">
        <is>
          <t>Lavender</t>
        </is>
      </c>
      <c r="C24" s="2" t="n">
        <v>1</v>
      </c>
      <c r="D24" s="3">
        <f>IF(B24="","",COUNTIF($B$2:$B$500,B24))</f>
        <v/>
      </c>
      <c r="E24" s="3">
        <f>IF(B24="","",IF(COUNTIF($B$2:B24,B24)=1,1,0))</f>
        <v/>
      </c>
      <c r="F24" s="4">
        <f>IF(E24=1,D24-ROW()/100000,"")</f>
        <v/>
      </c>
      <c r="G24" s="3">
        <f>IF(ISNUMBER(C24),COUNTIF($C$2:$C$500,C24),"")</f>
        <v/>
      </c>
      <c r="H24" s="3">
        <f>IF(ISNUMBER(C24),IF(COUNTIF($C$2:C24,C24)=1,1,0),"")</f>
        <v/>
      </c>
    </row>
    <row r="25">
      <c r="A25" s="2" t="inlineStr">
        <is>
          <t>E-2024</t>
        </is>
      </c>
      <c r="B25" s="2" t="inlineStr">
        <is>
          <t>Vanilla</t>
        </is>
      </c>
      <c r="C25" s="2" t="n">
        <v>3</v>
      </c>
      <c r="D25" s="3">
        <f>IF(B25="","",COUNTIF($B$2:$B$500,B25))</f>
        <v/>
      </c>
      <c r="E25" s="3">
        <f>IF(B25="","",IF(COUNTIF($B$2:B25,B25)=1,1,0))</f>
        <v/>
      </c>
      <c r="F25" s="4">
        <f>IF(E25=1,D25-ROW()/100000,"")</f>
        <v/>
      </c>
      <c r="G25" s="3">
        <f>IF(ISNUMBER(C25),COUNTIF($C$2:$C$500,C25),"")</f>
        <v/>
      </c>
      <c r="H25" s="3">
        <f>IF(ISNUMBER(C25),IF(COUNTIF($C$2:C25,C25)=1,1,0),"")</f>
        <v/>
      </c>
    </row>
    <row r="26">
      <c r="A26" s="2" t="inlineStr">
        <is>
          <t>E-2025</t>
        </is>
      </c>
      <c r="B26" s="2" t="inlineStr">
        <is>
          <t>Vanilla</t>
        </is>
      </c>
      <c r="C26" s="2" t="n">
        <v>2</v>
      </c>
      <c r="D26" s="3">
        <f>IF(B26="","",COUNTIF($B$2:$B$500,B26))</f>
        <v/>
      </c>
      <c r="E26" s="3">
        <f>IF(B26="","",IF(COUNTIF($B$2:B26,B26)=1,1,0))</f>
        <v/>
      </c>
      <c r="F26" s="4">
        <f>IF(E26=1,D26-ROW()/100000,"")</f>
        <v/>
      </c>
      <c r="G26" s="3">
        <f>IF(ISNUMBER(C26),COUNTIF($C$2:$C$500,C26),"")</f>
        <v/>
      </c>
      <c r="H26" s="3">
        <f>IF(ISNUMBER(C26),IF(COUNTIF($C$2:C26,C26)=1,1,0),"")</f>
        <v/>
      </c>
    </row>
    <row r="27">
      <c r="A27" s="2" t="inlineStr">
        <is>
          <t>E-2026</t>
        </is>
      </c>
      <c r="B27" s="2" t="inlineStr">
        <is>
          <t>Vanilla</t>
        </is>
      </c>
      <c r="C27" s="2" t="n">
        <v>1</v>
      </c>
      <c r="D27" s="3">
        <f>IF(B27="","",COUNTIF($B$2:$B$500,B27))</f>
        <v/>
      </c>
      <c r="E27" s="3">
        <f>IF(B27="","",IF(COUNTIF($B$2:B27,B27)=1,1,0))</f>
        <v/>
      </c>
      <c r="F27" s="4">
        <f>IF(E27=1,D27-ROW()/100000,"")</f>
        <v/>
      </c>
      <c r="G27" s="3">
        <f>IF(ISNUMBER(C27),COUNTIF($C$2:$C$500,C27),"")</f>
        <v/>
      </c>
      <c r="H27" s="3">
        <f>IF(ISNUMBER(C27),IF(COUNTIF($C$2:C27,C27)=1,1,0),"")</f>
        <v/>
      </c>
    </row>
    <row r="28">
      <c r="A28" s="2" t="inlineStr">
        <is>
          <t>E-2027</t>
        </is>
      </c>
      <c r="B28" s="2" t="inlineStr">
        <is>
          <t>Citrus</t>
        </is>
      </c>
      <c r="C28" s="2" t="n">
        <v>1</v>
      </c>
      <c r="D28" s="3">
        <f>IF(B28="","",COUNTIF($B$2:$B$500,B28))</f>
        <v/>
      </c>
      <c r="E28" s="3">
        <f>IF(B28="","",IF(COUNTIF($B$2:B28,B28)=1,1,0))</f>
        <v/>
      </c>
      <c r="F28" s="4">
        <f>IF(E28=1,D28-ROW()/100000,"")</f>
        <v/>
      </c>
      <c r="G28" s="3">
        <f>IF(ISNUMBER(C28),COUNTIF($C$2:$C$500,C28),"")</f>
        <v/>
      </c>
      <c r="H28" s="3">
        <f>IF(ISNUMBER(C28),IF(COUNTIF($C$2:C28,C28)=1,1,0),"")</f>
        <v/>
      </c>
    </row>
    <row r="29">
      <c r="A29" s="2" t="inlineStr">
        <is>
          <t>E-2028</t>
        </is>
      </c>
      <c r="B29" s="2" t="inlineStr">
        <is>
          <t>Sandalwood</t>
        </is>
      </c>
      <c r="C29" s="2" t="n">
        <v>2</v>
      </c>
      <c r="D29" s="3">
        <f>IF(B29="","",COUNTIF($B$2:$B$500,B29))</f>
        <v/>
      </c>
      <c r="E29" s="3">
        <f>IF(B29="","",IF(COUNTIF($B$2:B29,B29)=1,1,0))</f>
        <v/>
      </c>
      <c r="F29" s="4">
        <f>IF(E29=1,D29-ROW()/100000,"")</f>
        <v/>
      </c>
      <c r="G29" s="3">
        <f>IF(ISNUMBER(C29),COUNTIF($C$2:$C$500,C29),"")</f>
        <v/>
      </c>
      <c r="H29" s="3">
        <f>IF(ISNUMBER(C29),IF(COUNTIF($C$2:C29,C29)=1,1,0),"")</f>
        <v/>
      </c>
    </row>
    <row r="30">
      <c r="A30" s="2" t="inlineStr">
        <is>
          <t>E-2029</t>
        </is>
      </c>
      <c r="B30" s="2" t="inlineStr">
        <is>
          <t>Lavender</t>
        </is>
      </c>
      <c r="C30" s="2" t="n">
        <v>2</v>
      </c>
      <c r="D30" s="3">
        <f>IF(B30="","",COUNTIF($B$2:$B$500,B30))</f>
        <v/>
      </c>
      <c r="E30" s="3">
        <f>IF(B30="","",IF(COUNTIF($B$2:B30,B30)=1,1,0))</f>
        <v/>
      </c>
      <c r="F30" s="4">
        <f>IF(E30=1,D30-ROW()/100000,"")</f>
        <v/>
      </c>
      <c r="G30" s="3">
        <f>IF(ISNUMBER(C30),COUNTIF($C$2:$C$500,C30),"")</f>
        <v/>
      </c>
      <c r="H30" s="3">
        <f>IF(ISNUMBER(C30),IF(COUNTIF($C$2:C30,C30)=1,1,0),"")</f>
        <v/>
      </c>
    </row>
    <row r="31">
      <c r="A31" s="2" t="inlineStr">
        <is>
          <t>E-2030</t>
        </is>
      </c>
      <c r="B31" s="2" t="inlineStr">
        <is>
          <t>Sandalwood</t>
        </is>
      </c>
      <c r="C31" s="2" t="n">
        <v>6</v>
      </c>
      <c r="D31" s="3">
        <f>IF(B31="","",COUNTIF($B$2:$B$500,B31))</f>
        <v/>
      </c>
      <c r="E31" s="3">
        <f>IF(B31="","",IF(COUNTIF($B$2:B31,B31)=1,1,0))</f>
        <v/>
      </c>
      <c r="F31" s="4">
        <f>IF(E31=1,D31-ROW()/100000,"")</f>
        <v/>
      </c>
      <c r="G31" s="3">
        <f>IF(ISNUMBER(C31),COUNTIF($C$2:$C$500,C31),"")</f>
        <v/>
      </c>
      <c r="H31" s="3">
        <f>IF(ISNUMBER(C31),IF(COUNTIF($C$2:C31,C31)=1,1,0),"")</f>
        <v/>
      </c>
    </row>
    <row r="32">
      <c r="A32" s="2" t="inlineStr">
        <is>
          <t>E-2031</t>
        </is>
      </c>
      <c r="B32" s="2" t="inlineStr">
        <is>
          <t>Cedar</t>
        </is>
      </c>
      <c r="C32" s="2" t="n">
        <v>3</v>
      </c>
      <c r="D32" s="3">
        <f>IF(B32="","",COUNTIF($B$2:$B$500,B32))</f>
        <v/>
      </c>
      <c r="E32" s="3">
        <f>IF(B32="","",IF(COUNTIF($B$2:B32,B32)=1,1,0))</f>
        <v/>
      </c>
      <c r="F32" s="4">
        <f>IF(E32=1,D32-ROW()/100000,"")</f>
        <v/>
      </c>
      <c r="G32" s="3">
        <f>IF(ISNUMBER(C32),COUNTIF($C$2:$C$500,C32),"")</f>
        <v/>
      </c>
      <c r="H32" s="3">
        <f>IF(ISNUMBER(C32),IF(COUNTIF($C$2:C32,C32)=1,1,0),"")</f>
        <v/>
      </c>
    </row>
    <row r="33">
      <c r="A33" s="2" t="inlineStr">
        <is>
          <t>E-2032</t>
        </is>
      </c>
      <c r="B33" s="2" t="inlineStr">
        <is>
          <t>Sandalwood</t>
        </is>
      </c>
      <c r="C33" s="2" t="n">
        <v>1</v>
      </c>
      <c r="D33" s="3">
        <f>IF(B33="","",COUNTIF($B$2:$B$500,B33))</f>
        <v/>
      </c>
      <c r="E33" s="3">
        <f>IF(B33="","",IF(COUNTIF($B$2:B33,B33)=1,1,0))</f>
        <v/>
      </c>
      <c r="F33" s="4">
        <f>IF(E33=1,D33-ROW()/100000,"")</f>
        <v/>
      </c>
      <c r="G33" s="3">
        <f>IF(ISNUMBER(C33),COUNTIF($C$2:$C$500,C33),"")</f>
        <v/>
      </c>
      <c r="H33" s="3">
        <f>IF(ISNUMBER(C33),IF(COUNTIF($C$2:C33,C33)=1,1,0),"")</f>
        <v/>
      </c>
    </row>
    <row r="34">
      <c r="A34" s="2" t="inlineStr">
        <is>
          <t>E-2033</t>
        </is>
      </c>
      <c r="B34" s="2" t="inlineStr">
        <is>
          <t>Citrus</t>
        </is>
      </c>
      <c r="C34" s="2" t="n">
        <v>3</v>
      </c>
      <c r="D34" s="3">
        <f>IF(B34="","",COUNTIF($B$2:$B$500,B34))</f>
        <v/>
      </c>
      <c r="E34" s="3">
        <f>IF(B34="","",IF(COUNTIF($B$2:B34,B34)=1,1,0))</f>
        <v/>
      </c>
      <c r="F34" s="4">
        <f>IF(E34=1,D34-ROW()/100000,"")</f>
        <v/>
      </c>
      <c r="G34" s="3">
        <f>IF(ISNUMBER(C34),COUNTIF($C$2:$C$500,C34),"")</f>
        <v/>
      </c>
      <c r="H34" s="3">
        <f>IF(ISNUMBER(C34),IF(COUNTIF($C$2:C34,C34)=1,1,0),"")</f>
        <v/>
      </c>
    </row>
    <row r="35">
      <c r="A35" s="2" t="inlineStr">
        <is>
          <t>E-2034</t>
        </is>
      </c>
      <c r="B35" s="2" t="inlineStr">
        <is>
          <t>Cedar</t>
        </is>
      </c>
      <c r="C35" s="2" t="n">
        <v>1</v>
      </c>
      <c r="D35" s="3">
        <f>IF(B35="","",COUNTIF($B$2:$B$500,B35))</f>
        <v/>
      </c>
      <c r="E35" s="3">
        <f>IF(B35="","",IF(COUNTIF($B$2:B35,B35)=1,1,0))</f>
        <v/>
      </c>
      <c r="F35" s="4">
        <f>IF(E35=1,D35-ROW()/100000,"")</f>
        <v/>
      </c>
      <c r="G35" s="3">
        <f>IF(ISNUMBER(C35),COUNTIF($C$2:$C$500,C35),"")</f>
        <v/>
      </c>
      <c r="H35" s="3">
        <f>IF(ISNUMBER(C35),IF(COUNTIF($C$2:C35,C35)=1,1,0),"")</f>
        <v/>
      </c>
    </row>
    <row r="36">
      <c r="A36" s="2" t="inlineStr">
        <is>
          <t>E-2035</t>
        </is>
      </c>
      <c r="B36" s="2" t="inlineStr">
        <is>
          <t>Lavender</t>
        </is>
      </c>
      <c r="C36" s="2" t="n">
        <v>2</v>
      </c>
      <c r="D36" s="3">
        <f>IF(B36="","",COUNTIF($B$2:$B$500,B36))</f>
        <v/>
      </c>
      <c r="E36" s="3">
        <f>IF(B36="","",IF(COUNTIF($B$2:B36,B36)=1,1,0))</f>
        <v/>
      </c>
      <c r="F36" s="4">
        <f>IF(E36=1,D36-ROW()/100000,"")</f>
        <v/>
      </c>
      <c r="G36" s="3">
        <f>IF(ISNUMBER(C36),COUNTIF($C$2:$C$500,C36),"")</f>
        <v/>
      </c>
      <c r="H36" s="3">
        <f>IF(ISNUMBER(C36),IF(COUNTIF($C$2:C36,C36)=1,1,0),"")</f>
        <v/>
      </c>
    </row>
    <row r="37">
      <c r="A37" s="2" t="inlineStr">
        <is>
          <t>E-2036</t>
        </is>
      </c>
      <c r="B37" s="2" t="inlineStr">
        <is>
          <t>Citrus</t>
        </is>
      </c>
      <c r="C37" s="2" t="n">
        <v>4</v>
      </c>
      <c r="D37" s="3">
        <f>IF(B37="","",COUNTIF($B$2:$B$500,B37))</f>
        <v/>
      </c>
      <c r="E37" s="3">
        <f>IF(B37="","",IF(COUNTIF($B$2:B37,B37)=1,1,0))</f>
        <v/>
      </c>
      <c r="F37" s="4">
        <f>IF(E37=1,D37-ROW()/100000,"")</f>
        <v/>
      </c>
      <c r="G37" s="3">
        <f>IF(ISNUMBER(C37),COUNTIF($C$2:$C$500,C37),"")</f>
        <v/>
      </c>
      <c r="H37" s="3">
        <f>IF(ISNUMBER(C37),IF(COUNTIF($C$2:C37,C37)=1,1,0),"")</f>
        <v/>
      </c>
    </row>
    <row r="38">
      <c r="A38" s="2" t="inlineStr">
        <is>
          <t>E-2037</t>
        </is>
      </c>
      <c r="B38" s="2" t="inlineStr">
        <is>
          <t>Cedar</t>
        </is>
      </c>
      <c r="C38" s="2" t="n">
        <v>4</v>
      </c>
      <c r="D38" s="3">
        <f>IF(B38="","",COUNTIF($B$2:$B$500,B38))</f>
        <v/>
      </c>
      <c r="E38" s="3">
        <f>IF(B38="","",IF(COUNTIF($B$2:B38,B38)=1,1,0))</f>
        <v/>
      </c>
      <c r="F38" s="4">
        <f>IF(E38=1,D38-ROW()/100000,"")</f>
        <v/>
      </c>
      <c r="G38" s="3">
        <f>IF(ISNUMBER(C38),COUNTIF($C$2:$C$500,C38),"")</f>
        <v/>
      </c>
      <c r="H38" s="3">
        <f>IF(ISNUMBER(C38),IF(COUNTIF($C$2:C38,C38)=1,1,0),"")</f>
        <v/>
      </c>
    </row>
    <row r="39">
      <c r="A39" s="2" t="inlineStr">
        <is>
          <t>E-2038</t>
        </is>
      </c>
      <c r="B39" s="2" t="inlineStr">
        <is>
          <t>Cedar</t>
        </is>
      </c>
      <c r="C39" s="2" t="n">
        <v>2</v>
      </c>
      <c r="D39" s="3">
        <f>IF(B39="","",COUNTIF($B$2:$B$500,B39))</f>
        <v/>
      </c>
      <c r="E39" s="3">
        <f>IF(B39="","",IF(COUNTIF($B$2:B39,B39)=1,1,0))</f>
        <v/>
      </c>
      <c r="F39" s="4">
        <f>IF(E39=1,D39-ROW()/100000,"")</f>
        <v/>
      </c>
      <c r="G39" s="3">
        <f>IF(ISNUMBER(C39),COUNTIF($C$2:$C$500,C39),"")</f>
        <v/>
      </c>
      <c r="H39" s="3">
        <f>IF(ISNUMBER(C39),IF(COUNTIF($C$2:C39,C39)=1,1,0),"")</f>
        <v/>
      </c>
    </row>
    <row r="40">
      <c r="A40" s="2" t="inlineStr">
        <is>
          <t>E-2039</t>
        </is>
      </c>
      <c r="B40" s="2" t="inlineStr">
        <is>
          <t>Lavender</t>
        </is>
      </c>
      <c r="C40" s="2" t="n">
        <v>1</v>
      </c>
      <c r="D40" s="3">
        <f>IF(B40="","",COUNTIF($B$2:$B$500,B40))</f>
        <v/>
      </c>
      <c r="E40" s="3">
        <f>IF(B40="","",IF(COUNTIF($B$2:B40,B40)=1,1,0))</f>
        <v/>
      </c>
      <c r="F40" s="4">
        <f>IF(E40=1,D40-ROW()/100000,"")</f>
        <v/>
      </c>
      <c r="G40" s="3">
        <f>IF(ISNUMBER(C40),COUNTIF($C$2:$C$500,C40),"")</f>
        <v/>
      </c>
      <c r="H40" s="3">
        <f>IF(ISNUMBER(C40),IF(COUNTIF($C$2:C40,C40)=1,1,0),"")</f>
        <v/>
      </c>
    </row>
    <row r="41">
      <c r="A41" s="2" t="inlineStr">
        <is>
          <t>E-2040</t>
        </is>
      </c>
      <c r="B41" s="2" t="inlineStr">
        <is>
          <t>Vanilla</t>
        </is>
      </c>
      <c r="C41" s="2" t="n">
        <v>1</v>
      </c>
      <c r="D41" s="3">
        <f>IF(B41="","",COUNTIF($B$2:$B$500,B41))</f>
        <v/>
      </c>
      <c r="E41" s="3">
        <f>IF(B41="","",IF(COUNTIF($B$2:B41,B41)=1,1,0))</f>
        <v/>
      </c>
      <c r="F41" s="4">
        <f>IF(E41=1,D41-ROW()/100000,"")</f>
        <v/>
      </c>
      <c r="G41" s="3">
        <f>IF(ISNUMBER(C41),COUNTIF($C$2:$C$500,C41),"")</f>
        <v/>
      </c>
      <c r="H41" s="3">
        <f>IF(ISNUMBER(C41),IF(COUNTIF($C$2:C41,C41)=1,1,0),"")</f>
        <v/>
      </c>
    </row>
    <row r="42">
      <c r="A42" s="2" t="n"/>
      <c r="B42" s="2" t="n"/>
      <c r="C42" s="2" t="n"/>
      <c r="D42" s="3">
        <f>IF(B42="","",COUNTIF($B$2:$B$500,B42))</f>
        <v/>
      </c>
      <c r="E42" s="3">
        <f>IF(B42="","",IF(COUNTIF($B$2:B42,B42)=1,1,0))</f>
        <v/>
      </c>
      <c r="F42" s="4">
        <f>IF(E42=1,D42-ROW()/100000,"")</f>
        <v/>
      </c>
      <c r="G42" s="3">
        <f>IF(ISNUMBER(C42),COUNTIF($C$2:$C$500,C42),"")</f>
        <v/>
      </c>
      <c r="H42" s="3">
        <f>IF(ISNUMBER(C42),IF(COUNTIF($C$2:C42,C42)=1,1,0),"")</f>
        <v/>
      </c>
    </row>
    <row r="43">
      <c r="A43" s="2" t="n"/>
      <c r="B43" s="2" t="n"/>
      <c r="C43" s="2" t="n"/>
      <c r="D43" s="3">
        <f>IF(B43="","",COUNTIF($B$2:$B$500,B43))</f>
        <v/>
      </c>
      <c r="E43" s="3">
        <f>IF(B43="","",IF(COUNTIF($B$2:B43,B43)=1,1,0))</f>
        <v/>
      </c>
      <c r="F43" s="4">
        <f>IF(E43=1,D43-ROW()/100000,"")</f>
        <v/>
      </c>
      <c r="G43" s="3">
        <f>IF(ISNUMBER(C43),COUNTIF($C$2:$C$500,C43),"")</f>
        <v/>
      </c>
      <c r="H43" s="3">
        <f>IF(ISNUMBER(C43),IF(COUNTIF($C$2:C43,C43)=1,1,0),"")</f>
        <v/>
      </c>
    </row>
    <row r="44">
      <c r="A44" s="2" t="n"/>
      <c r="B44" s="2" t="n"/>
      <c r="C44" s="2" t="n"/>
      <c r="D44" s="3">
        <f>IF(B44="","",COUNTIF($B$2:$B$500,B44))</f>
        <v/>
      </c>
      <c r="E44" s="3">
        <f>IF(B44="","",IF(COUNTIF($B$2:B44,B44)=1,1,0))</f>
        <v/>
      </c>
      <c r="F44" s="4">
        <f>IF(E44=1,D44-ROW()/100000,"")</f>
        <v/>
      </c>
      <c r="G44" s="3">
        <f>IF(ISNUMBER(C44),COUNTIF($C$2:$C$500,C44),"")</f>
        <v/>
      </c>
      <c r="H44" s="3">
        <f>IF(ISNUMBER(C44),IF(COUNTIF($C$2:C44,C44)=1,1,0),"")</f>
        <v/>
      </c>
    </row>
    <row r="45">
      <c r="A45" s="2" t="n"/>
      <c r="B45" s="2" t="n"/>
      <c r="C45" s="2" t="n"/>
      <c r="D45" s="3">
        <f>IF(B45="","",COUNTIF($B$2:$B$500,B45))</f>
        <v/>
      </c>
      <c r="E45" s="3">
        <f>IF(B45="","",IF(COUNTIF($B$2:B45,B45)=1,1,0))</f>
        <v/>
      </c>
      <c r="F45" s="4">
        <f>IF(E45=1,D45-ROW()/100000,"")</f>
        <v/>
      </c>
      <c r="G45" s="3">
        <f>IF(ISNUMBER(C45),COUNTIF($C$2:$C$500,C45),"")</f>
        <v/>
      </c>
      <c r="H45" s="3">
        <f>IF(ISNUMBER(C45),IF(COUNTIF($C$2:C45,C45)=1,1,0),"")</f>
        <v/>
      </c>
    </row>
    <row r="46">
      <c r="A46" s="2" t="n"/>
      <c r="B46" s="2" t="n"/>
      <c r="C46" s="2" t="n"/>
      <c r="D46" s="3">
        <f>IF(B46="","",COUNTIF($B$2:$B$500,B46))</f>
        <v/>
      </c>
      <c r="E46" s="3">
        <f>IF(B46="","",IF(COUNTIF($B$2:B46,B46)=1,1,0))</f>
        <v/>
      </c>
      <c r="F46" s="4">
        <f>IF(E46=1,D46-ROW()/100000,"")</f>
        <v/>
      </c>
      <c r="G46" s="3">
        <f>IF(ISNUMBER(C46),COUNTIF($C$2:$C$500,C46),"")</f>
        <v/>
      </c>
      <c r="H46" s="3">
        <f>IF(ISNUMBER(C46),IF(COUNTIF($C$2:C46,C46)=1,1,0),"")</f>
        <v/>
      </c>
    </row>
    <row r="47">
      <c r="A47" s="2" t="n"/>
      <c r="B47" s="2" t="n"/>
      <c r="C47" s="2" t="n"/>
      <c r="D47" s="3">
        <f>IF(B47="","",COUNTIF($B$2:$B$500,B47))</f>
        <v/>
      </c>
      <c r="E47" s="3">
        <f>IF(B47="","",IF(COUNTIF($B$2:B47,B47)=1,1,0))</f>
        <v/>
      </c>
      <c r="F47" s="4">
        <f>IF(E47=1,D47-ROW()/100000,"")</f>
        <v/>
      </c>
      <c r="G47" s="3">
        <f>IF(ISNUMBER(C47),COUNTIF($C$2:$C$500,C47),"")</f>
        <v/>
      </c>
      <c r="H47" s="3">
        <f>IF(ISNUMBER(C47),IF(COUNTIF($C$2:C47,C47)=1,1,0),"")</f>
        <v/>
      </c>
    </row>
    <row r="48">
      <c r="A48" s="2" t="n"/>
      <c r="B48" s="2" t="n"/>
      <c r="C48" s="2" t="n"/>
      <c r="D48" s="3">
        <f>IF(B48="","",COUNTIF($B$2:$B$500,B48))</f>
        <v/>
      </c>
      <c r="E48" s="3">
        <f>IF(B48="","",IF(COUNTIF($B$2:B48,B48)=1,1,0))</f>
        <v/>
      </c>
      <c r="F48" s="4">
        <f>IF(E48=1,D48-ROW()/100000,"")</f>
        <v/>
      </c>
      <c r="G48" s="3">
        <f>IF(ISNUMBER(C48),COUNTIF($C$2:$C$500,C48),"")</f>
        <v/>
      </c>
      <c r="H48" s="3">
        <f>IF(ISNUMBER(C48),IF(COUNTIF($C$2:C48,C48)=1,1,0),"")</f>
        <v/>
      </c>
    </row>
    <row r="49">
      <c r="A49" s="2" t="n"/>
      <c r="B49" s="2" t="n"/>
      <c r="C49" s="2" t="n"/>
      <c r="D49" s="3">
        <f>IF(B49="","",COUNTIF($B$2:$B$500,B49))</f>
        <v/>
      </c>
      <c r="E49" s="3">
        <f>IF(B49="","",IF(COUNTIF($B$2:B49,B49)=1,1,0))</f>
        <v/>
      </c>
      <c r="F49" s="4">
        <f>IF(E49=1,D49-ROW()/100000,"")</f>
        <v/>
      </c>
      <c r="G49" s="3">
        <f>IF(ISNUMBER(C49),COUNTIF($C$2:$C$500,C49),"")</f>
        <v/>
      </c>
      <c r="H49" s="3">
        <f>IF(ISNUMBER(C49),IF(COUNTIF($C$2:C49,C49)=1,1,0),"")</f>
        <v/>
      </c>
    </row>
    <row r="50">
      <c r="A50" s="2" t="n"/>
      <c r="B50" s="2" t="n"/>
      <c r="C50" s="2" t="n"/>
      <c r="D50" s="3">
        <f>IF(B50="","",COUNTIF($B$2:$B$500,B50))</f>
        <v/>
      </c>
      <c r="E50" s="3">
        <f>IF(B50="","",IF(COUNTIF($B$2:B50,B50)=1,1,0))</f>
        <v/>
      </c>
      <c r="F50" s="4">
        <f>IF(E50=1,D50-ROW()/100000,"")</f>
        <v/>
      </c>
      <c r="G50" s="3">
        <f>IF(ISNUMBER(C50),COUNTIF($C$2:$C$500,C50),"")</f>
        <v/>
      </c>
      <c r="H50" s="3">
        <f>IF(ISNUMBER(C50),IF(COUNTIF($C$2:C50,C50)=1,1,0),"")</f>
        <v/>
      </c>
    </row>
    <row r="51">
      <c r="A51" s="2" t="n"/>
      <c r="B51" s="2" t="n"/>
      <c r="C51" s="2" t="n"/>
      <c r="D51" s="3">
        <f>IF(B51="","",COUNTIF($B$2:$B$500,B51))</f>
        <v/>
      </c>
      <c r="E51" s="3">
        <f>IF(B51="","",IF(COUNTIF($B$2:B51,B51)=1,1,0))</f>
        <v/>
      </c>
      <c r="F51" s="4">
        <f>IF(E51=1,D51-ROW()/100000,"")</f>
        <v/>
      </c>
      <c r="G51" s="3">
        <f>IF(ISNUMBER(C51),COUNTIF($C$2:$C$500,C51),"")</f>
        <v/>
      </c>
      <c r="H51" s="3">
        <f>IF(ISNUMBER(C51),IF(COUNTIF($C$2:C51,C51)=1,1,0),"")</f>
        <v/>
      </c>
    </row>
    <row r="52">
      <c r="A52" s="2" t="n"/>
      <c r="B52" s="2" t="n"/>
      <c r="C52" s="2" t="n"/>
      <c r="D52" s="3">
        <f>IF(B52="","",COUNTIF($B$2:$B$500,B52))</f>
        <v/>
      </c>
      <c r="E52" s="3">
        <f>IF(B52="","",IF(COUNTIF($B$2:B52,B52)=1,1,0))</f>
        <v/>
      </c>
      <c r="F52" s="4">
        <f>IF(E52=1,D52-ROW()/100000,"")</f>
        <v/>
      </c>
      <c r="G52" s="3">
        <f>IF(ISNUMBER(C52),COUNTIF($C$2:$C$500,C52),"")</f>
        <v/>
      </c>
      <c r="H52" s="3">
        <f>IF(ISNUMBER(C52),IF(COUNTIF($C$2:C52,C52)=1,1,0),"")</f>
        <v/>
      </c>
    </row>
    <row r="53">
      <c r="A53" s="2" t="n"/>
      <c r="B53" s="2" t="n"/>
      <c r="C53" s="2" t="n"/>
      <c r="D53" s="3">
        <f>IF(B53="","",COUNTIF($B$2:$B$500,B53))</f>
        <v/>
      </c>
      <c r="E53" s="3">
        <f>IF(B53="","",IF(COUNTIF($B$2:B53,B53)=1,1,0))</f>
        <v/>
      </c>
      <c r="F53" s="4">
        <f>IF(E53=1,D53-ROW()/100000,"")</f>
        <v/>
      </c>
      <c r="G53" s="3">
        <f>IF(ISNUMBER(C53),COUNTIF($C$2:$C$500,C53),"")</f>
        <v/>
      </c>
      <c r="H53" s="3">
        <f>IF(ISNUMBER(C53),IF(COUNTIF($C$2:C53,C53)=1,1,0),"")</f>
        <v/>
      </c>
    </row>
    <row r="54">
      <c r="A54" s="2" t="n"/>
      <c r="B54" s="2" t="n"/>
      <c r="C54" s="2" t="n"/>
      <c r="D54" s="3">
        <f>IF(B54="","",COUNTIF($B$2:$B$500,B54))</f>
        <v/>
      </c>
      <c r="E54" s="3">
        <f>IF(B54="","",IF(COUNTIF($B$2:B54,B54)=1,1,0))</f>
        <v/>
      </c>
      <c r="F54" s="4">
        <f>IF(E54=1,D54-ROW()/100000,"")</f>
        <v/>
      </c>
      <c r="G54" s="3">
        <f>IF(ISNUMBER(C54),COUNTIF($C$2:$C$500,C54),"")</f>
        <v/>
      </c>
      <c r="H54" s="3">
        <f>IF(ISNUMBER(C54),IF(COUNTIF($C$2:C54,C54)=1,1,0),"")</f>
        <v/>
      </c>
    </row>
    <row r="55">
      <c r="A55" s="2" t="n"/>
      <c r="B55" s="2" t="n"/>
      <c r="C55" s="2" t="n"/>
      <c r="D55" s="3">
        <f>IF(B55="","",COUNTIF($B$2:$B$500,B55))</f>
        <v/>
      </c>
      <c r="E55" s="3">
        <f>IF(B55="","",IF(COUNTIF($B$2:B55,B55)=1,1,0))</f>
        <v/>
      </c>
      <c r="F55" s="4">
        <f>IF(E55=1,D55-ROW()/100000,"")</f>
        <v/>
      </c>
      <c r="G55" s="3">
        <f>IF(ISNUMBER(C55),COUNTIF($C$2:$C$500,C55),"")</f>
        <v/>
      </c>
      <c r="H55" s="3">
        <f>IF(ISNUMBER(C55),IF(COUNTIF($C$2:C55,C55)=1,1,0),"")</f>
        <v/>
      </c>
    </row>
    <row r="56">
      <c r="A56" s="2" t="n"/>
      <c r="B56" s="2" t="n"/>
      <c r="C56" s="2" t="n"/>
      <c r="D56" s="3">
        <f>IF(B56="","",COUNTIF($B$2:$B$500,B56))</f>
        <v/>
      </c>
      <c r="E56" s="3">
        <f>IF(B56="","",IF(COUNTIF($B$2:B56,B56)=1,1,0))</f>
        <v/>
      </c>
      <c r="F56" s="4">
        <f>IF(E56=1,D56-ROW()/100000,"")</f>
        <v/>
      </c>
      <c r="G56" s="3">
        <f>IF(ISNUMBER(C56),COUNTIF($C$2:$C$500,C56),"")</f>
        <v/>
      </c>
      <c r="H56" s="3">
        <f>IF(ISNUMBER(C56),IF(COUNTIF($C$2:C56,C56)=1,1,0),"")</f>
        <v/>
      </c>
    </row>
    <row r="57">
      <c r="A57" s="2" t="n"/>
      <c r="B57" s="2" t="n"/>
      <c r="C57" s="2" t="n"/>
      <c r="D57" s="3">
        <f>IF(B57="","",COUNTIF($B$2:$B$500,B57))</f>
        <v/>
      </c>
      <c r="E57" s="3">
        <f>IF(B57="","",IF(COUNTIF($B$2:B57,B57)=1,1,0))</f>
        <v/>
      </c>
      <c r="F57" s="4">
        <f>IF(E57=1,D57-ROW()/100000,"")</f>
        <v/>
      </c>
      <c r="G57" s="3">
        <f>IF(ISNUMBER(C57),COUNTIF($C$2:$C$500,C57),"")</f>
        <v/>
      </c>
      <c r="H57" s="3">
        <f>IF(ISNUMBER(C57),IF(COUNTIF($C$2:C57,C57)=1,1,0),"")</f>
        <v/>
      </c>
    </row>
    <row r="58">
      <c r="A58" s="2" t="n"/>
      <c r="B58" s="2" t="n"/>
      <c r="C58" s="2" t="n"/>
      <c r="D58" s="3">
        <f>IF(B58="","",COUNTIF($B$2:$B$500,B58))</f>
        <v/>
      </c>
      <c r="E58" s="3">
        <f>IF(B58="","",IF(COUNTIF($B$2:B58,B58)=1,1,0))</f>
        <v/>
      </c>
      <c r="F58" s="4">
        <f>IF(E58=1,D58-ROW()/100000,"")</f>
        <v/>
      </c>
      <c r="G58" s="3">
        <f>IF(ISNUMBER(C58),COUNTIF($C$2:$C$500,C58),"")</f>
        <v/>
      </c>
      <c r="H58" s="3">
        <f>IF(ISNUMBER(C58),IF(COUNTIF($C$2:C58,C58)=1,1,0),"")</f>
        <v/>
      </c>
    </row>
    <row r="59">
      <c r="A59" s="2" t="n"/>
      <c r="B59" s="2" t="n"/>
      <c r="C59" s="2" t="n"/>
      <c r="D59" s="3">
        <f>IF(B59="","",COUNTIF($B$2:$B$500,B59))</f>
        <v/>
      </c>
      <c r="E59" s="3">
        <f>IF(B59="","",IF(COUNTIF($B$2:B59,B59)=1,1,0))</f>
        <v/>
      </c>
      <c r="F59" s="4">
        <f>IF(E59=1,D59-ROW()/100000,"")</f>
        <v/>
      </c>
      <c r="G59" s="3">
        <f>IF(ISNUMBER(C59),COUNTIF($C$2:$C$500,C59),"")</f>
        <v/>
      </c>
      <c r="H59" s="3">
        <f>IF(ISNUMBER(C59),IF(COUNTIF($C$2:C59,C59)=1,1,0),"")</f>
        <v/>
      </c>
    </row>
    <row r="60">
      <c r="A60" s="2" t="n"/>
      <c r="B60" s="2" t="n"/>
      <c r="C60" s="2" t="n"/>
      <c r="D60" s="3">
        <f>IF(B60="","",COUNTIF($B$2:$B$500,B60))</f>
        <v/>
      </c>
      <c r="E60" s="3">
        <f>IF(B60="","",IF(COUNTIF($B$2:B60,B60)=1,1,0))</f>
        <v/>
      </c>
      <c r="F60" s="4">
        <f>IF(E60=1,D60-ROW()/100000,"")</f>
        <v/>
      </c>
      <c r="G60" s="3">
        <f>IF(ISNUMBER(C60),COUNTIF($C$2:$C$500,C60),"")</f>
        <v/>
      </c>
      <c r="H60" s="3">
        <f>IF(ISNUMBER(C60),IF(COUNTIF($C$2:C60,C60)=1,1,0),"")</f>
        <v/>
      </c>
    </row>
    <row r="61">
      <c r="A61" s="2" t="n"/>
      <c r="B61" s="2" t="n"/>
      <c r="C61" s="2" t="n"/>
      <c r="D61" s="3">
        <f>IF(B61="","",COUNTIF($B$2:$B$500,B61))</f>
        <v/>
      </c>
      <c r="E61" s="3">
        <f>IF(B61="","",IF(COUNTIF($B$2:B61,B61)=1,1,0))</f>
        <v/>
      </c>
      <c r="F61" s="4">
        <f>IF(E61=1,D61-ROW()/100000,"")</f>
        <v/>
      </c>
      <c r="G61" s="3">
        <f>IF(ISNUMBER(C61),COUNTIF($C$2:$C$500,C61),"")</f>
        <v/>
      </c>
      <c r="H61" s="3">
        <f>IF(ISNUMBER(C61),IF(COUNTIF($C$2:C61,C61)=1,1,0),"")</f>
        <v/>
      </c>
    </row>
    <row r="62">
      <c r="A62" s="2" t="n"/>
      <c r="B62" s="2" t="n"/>
      <c r="C62" s="2" t="n"/>
      <c r="D62" s="3">
        <f>IF(B62="","",COUNTIF($B$2:$B$500,B62))</f>
        <v/>
      </c>
      <c r="E62" s="3">
        <f>IF(B62="","",IF(COUNTIF($B$2:B62,B62)=1,1,0))</f>
        <v/>
      </c>
      <c r="F62" s="4">
        <f>IF(E62=1,D62-ROW()/100000,"")</f>
        <v/>
      </c>
      <c r="G62" s="3">
        <f>IF(ISNUMBER(C62),COUNTIF($C$2:$C$500,C62),"")</f>
        <v/>
      </c>
      <c r="H62" s="3">
        <f>IF(ISNUMBER(C62),IF(COUNTIF($C$2:C62,C62)=1,1,0),"")</f>
        <v/>
      </c>
    </row>
    <row r="63">
      <c r="A63" s="2" t="n"/>
      <c r="B63" s="2" t="n"/>
      <c r="C63" s="2" t="n"/>
      <c r="D63" s="3">
        <f>IF(B63="","",COUNTIF($B$2:$B$500,B63))</f>
        <v/>
      </c>
      <c r="E63" s="3">
        <f>IF(B63="","",IF(COUNTIF($B$2:B63,B63)=1,1,0))</f>
        <v/>
      </c>
      <c r="F63" s="4">
        <f>IF(E63=1,D63-ROW()/100000,"")</f>
        <v/>
      </c>
      <c r="G63" s="3">
        <f>IF(ISNUMBER(C63),COUNTIF($C$2:$C$500,C63),"")</f>
        <v/>
      </c>
      <c r="H63" s="3">
        <f>IF(ISNUMBER(C63),IF(COUNTIF($C$2:C63,C63)=1,1,0),"")</f>
        <v/>
      </c>
    </row>
    <row r="64">
      <c r="A64" s="2" t="n"/>
      <c r="B64" s="2" t="n"/>
      <c r="C64" s="2" t="n"/>
      <c r="D64" s="3">
        <f>IF(B64="","",COUNTIF($B$2:$B$500,B64))</f>
        <v/>
      </c>
      <c r="E64" s="3">
        <f>IF(B64="","",IF(COUNTIF($B$2:B64,B64)=1,1,0))</f>
        <v/>
      </c>
      <c r="F64" s="4">
        <f>IF(E64=1,D64-ROW()/100000,"")</f>
        <v/>
      </c>
      <c r="G64" s="3">
        <f>IF(ISNUMBER(C64),COUNTIF($C$2:$C$500,C64),"")</f>
        <v/>
      </c>
      <c r="H64" s="3">
        <f>IF(ISNUMBER(C64),IF(COUNTIF($C$2:C64,C64)=1,1,0),"")</f>
        <v/>
      </c>
    </row>
    <row r="65">
      <c r="A65" s="2" t="n"/>
      <c r="B65" s="2" t="n"/>
      <c r="C65" s="2" t="n"/>
      <c r="D65" s="3">
        <f>IF(B65="","",COUNTIF($B$2:$B$500,B65))</f>
        <v/>
      </c>
      <c r="E65" s="3">
        <f>IF(B65="","",IF(COUNTIF($B$2:B65,B65)=1,1,0))</f>
        <v/>
      </c>
      <c r="F65" s="4">
        <f>IF(E65=1,D65-ROW()/100000,"")</f>
        <v/>
      </c>
      <c r="G65" s="3">
        <f>IF(ISNUMBER(C65),COUNTIF($C$2:$C$500,C65),"")</f>
        <v/>
      </c>
      <c r="H65" s="3">
        <f>IF(ISNUMBER(C65),IF(COUNTIF($C$2:C65,C65)=1,1,0),"")</f>
        <v/>
      </c>
    </row>
    <row r="66">
      <c r="A66" s="2" t="n"/>
      <c r="B66" s="2" t="n"/>
      <c r="C66" s="2" t="n"/>
      <c r="D66" s="3">
        <f>IF(B66="","",COUNTIF($B$2:$B$500,B66))</f>
        <v/>
      </c>
      <c r="E66" s="3">
        <f>IF(B66="","",IF(COUNTIF($B$2:B66,B66)=1,1,0))</f>
        <v/>
      </c>
      <c r="F66" s="4">
        <f>IF(E66=1,D66-ROW()/100000,"")</f>
        <v/>
      </c>
      <c r="G66" s="3">
        <f>IF(ISNUMBER(C66),COUNTIF($C$2:$C$500,C66),"")</f>
        <v/>
      </c>
      <c r="H66" s="3">
        <f>IF(ISNUMBER(C66),IF(COUNTIF($C$2:C66,C66)=1,1,0),"")</f>
        <v/>
      </c>
    </row>
    <row r="67">
      <c r="A67" s="2" t="n"/>
      <c r="B67" s="2" t="n"/>
      <c r="C67" s="2" t="n"/>
      <c r="D67" s="3">
        <f>IF(B67="","",COUNTIF($B$2:$B$500,B67))</f>
        <v/>
      </c>
      <c r="E67" s="3">
        <f>IF(B67="","",IF(COUNTIF($B$2:B67,B67)=1,1,0))</f>
        <v/>
      </c>
      <c r="F67" s="4">
        <f>IF(E67=1,D67-ROW()/100000,"")</f>
        <v/>
      </c>
      <c r="G67" s="3">
        <f>IF(ISNUMBER(C67),COUNTIF($C$2:$C$500,C67),"")</f>
        <v/>
      </c>
      <c r="H67" s="3">
        <f>IF(ISNUMBER(C67),IF(COUNTIF($C$2:C67,C67)=1,1,0),"")</f>
        <v/>
      </c>
    </row>
    <row r="68">
      <c r="A68" s="2" t="n"/>
      <c r="B68" s="2" t="n"/>
      <c r="C68" s="2" t="n"/>
      <c r="D68" s="3">
        <f>IF(B68="","",COUNTIF($B$2:$B$500,B68))</f>
        <v/>
      </c>
      <c r="E68" s="3">
        <f>IF(B68="","",IF(COUNTIF($B$2:B68,B68)=1,1,0))</f>
        <v/>
      </c>
      <c r="F68" s="4">
        <f>IF(E68=1,D68-ROW()/100000,"")</f>
        <v/>
      </c>
      <c r="G68" s="3">
        <f>IF(ISNUMBER(C68),COUNTIF($C$2:$C$500,C68),"")</f>
        <v/>
      </c>
      <c r="H68" s="3">
        <f>IF(ISNUMBER(C68),IF(COUNTIF($C$2:C68,C68)=1,1,0),"")</f>
        <v/>
      </c>
    </row>
    <row r="69">
      <c r="A69" s="2" t="n"/>
      <c r="B69" s="2" t="n"/>
      <c r="C69" s="2" t="n"/>
      <c r="D69" s="3">
        <f>IF(B69="","",COUNTIF($B$2:$B$500,B69))</f>
        <v/>
      </c>
      <c r="E69" s="3">
        <f>IF(B69="","",IF(COUNTIF($B$2:B69,B69)=1,1,0))</f>
        <v/>
      </c>
      <c r="F69" s="4">
        <f>IF(E69=1,D69-ROW()/100000,"")</f>
        <v/>
      </c>
      <c r="G69" s="3">
        <f>IF(ISNUMBER(C69),COUNTIF($C$2:$C$500,C69),"")</f>
        <v/>
      </c>
      <c r="H69" s="3">
        <f>IF(ISNUMBER(C69),IF(COUNTIF($C$2:C69,C69)=1,1,0),"")</f>
        <v/>
      </c>
    </row>
    <row r="70">
      <c r="A70" s="2" t="n"/>
      <c r="B70" s="2" t="n"/>
      <c r="C70" s="2" t="n"/>
      <c r="D70" s="3">
        <f>IF(B70="","",COUNTIF($B$2:$B$500,B70))</f>
        <v/>
      </c>
      <c r="E70" s="3">
        <f>IF(B70="","",IF(COUNTIF($B$2:B70,B70)=1,1,0))</f>
        <v/>
      </c>
      <c r="F70" s="4">
        <f>IF(E70=1,D70-ROW()/100000,"")</f>
        <v/>
      </c>
      <c r="G70" s="3">
        <f>IF(ISNUMBER(C70),COUNTIF($C$2:$C$500,C70),"")</f>
        <v/>
      </c>
      <c r="H70" s="3">
        <f>IF(ISNUMBER(C70),IF(COUNTIF($C$2:C70,C70)=1,1,0),"")</f>
        <v/>
      </c>
    </row>
    <row r="71">
      <c r="A71" s="2" t="n"/>
      <c r="B71" s="2" t="n"/>
      <c r="C71" s="2" t="n"/>
      <c r="D71" s="3">
        <f>IF(B71="","",COUNTIF($B$2:$B$500,B71))</f>
        <v/>
      </c>
      <c r="E71" s="3">
        <f>IF(B71="","",IF(COUNTIF($B$2:B71,B71)=1,1,0))</f>
        <v/>
      </c>
      <c r="F71" s="4">
        <f>IF(E71=1,D71-ROW()/100000,"")</f>
        <v/>
      </c>
      <c r="G71" s="3">
        <f>IF(ISNUMBER(C71),COUNTIF($C$2:$C$500,C71),"")</f>
        <v/>
      </c>
      <c r="H71" s="3">
        <f>IF(ISNUMBER(C71),IF(COUNTIF($C$2:C71,C71)=1,1,0),"")</f>
        <v/>
      </c>
    </row>
    <row r="72">
      <c r="A72" s="2" t="n"/>
      <c r="B72" s="2" t="n"/>
      <c r="C72" s="2" t="n"/>
      <c r="D72" s="3">
        <f>IF(B72="","",COUNTIF($B$2:$B$500,B72))</f>
        <v/>
      </c>
      <c r="E72" s="3">
        <f>IF(B72="","",IF(COUNTIF($B$2:B72,B72)=1,1,0))</f>
        <v/>
      </c>
      <c r="F72" s="4">
        <f>IF(E72=1,D72-ROW()/100000,"")</f>
        <v/>
      </c>
      <c r="G72" s="3">
        <f>IF(ISNUMBER(C72),COUNTIF($C$2:$C$500,C72),"")</f>
        <v/>
      </c>
      <c r="H72" s="3">
        <f>IF(ISNUMBER(C72),IF(COUNTIF($C$2:C72,C72)=1,1,0),"")</f>
        <v/>
      </c>
    </row>
    <row r="73">
      <c r="A73" s="2" t="n"/>
      <c r="B73" s="2" t="n"/>
      <c r="C73" s="2" t="n"/>
      <c r="D73" s="3">
        <f>IF(B73="","",COUNTIF($B$2:$B$500,B73))</f>
        <v/>
      </c>
      <c r="E73" s="3">
        <f>IF(B73="","",IF(COUNTIF($B$2:B73,B73)=1,1,0))</f>
        <v/>
      </c>
      <c r="F73" s="4">
        <f>IF(E73=1,D73-ROW()/100000,"")</f>
        <v/>
      </c>
      <c r="G73" s="3">
        <f>IF(ISNUMBER(C73),COUNTIF($C$2:$C$500,C73),"")</f>
        <v/>
      </c>
      <c r="H73" s="3">
        <f>IF(ISNUMBER(C73),IF(COUNTIF($C$2:C73,C73)=1,1,0),"")</f>
        <v/>
      </c>
    </row>
    <row r="74">
      <c r="A74" s="2" t="n"/>
      <c r="B74" s="2" t="n"/>
      <c r="C74" s="2" t="n"/>
      <c r="D74" s="3">
        <f>IF(B74="","",COUNTIF($B$2:$B$500,B74))</f>
        <v/>
      </c>
      <c r="E74" s="3">
        <f>IF(B74="","",IF(COUNTIF($B$2:B74,B74)=1,1,0))</f>
        <v/>
      </c>
      <c r="F74" s="4">
        <f>IF(E74=1,D74-ROW()/100000,"")</f>
        <v/>
      </c>
      <c r="G74" s="3">
        <f>IF(ISNUMBER(C74),COUNTIF($C$2:$C$500,C74),"")</f>
        <v/>
      </c>
      <c r="H74" s="3">
        <f>IF(ISNUMBER(C74),IF(COUNTIF($C$2:C74,C74)=1,1,0),"")</f>
        <v/>
      </c>
    </row>
    <row r="75">
      <c r="A75" s="2" t="n"/>
      <c r="B75" s="2" t="n"/>
      <c r="C75" s="2" t="n"/>
      <c r="D75" s="3">
        <f>IF(B75="","",COUNTIF($B$2:$B$500,B75))</f>
        <v/>
      </c>
      <c r="E75" s="3">
        <f>IF(B75="","",IF(COUNTIF($B$2:B75,B75)=1,1,0))</f>
        <v/>
      </c>
      <c r="F75" s="4">
        <f>IF(E75=1,D75-ROW()/100000,"")</f>
        <v/>
      </c>
      <c r="G75" s="3">
        <f>IF(ISNUMBER(C75),COUNTIF($C$2:$C$500,C75),"")</f>
        <v/>
      </c>
      <c r="H75" s="3">
        <f>IF(ISNUMBER(C75),IF(COUNTIF($C$2:C75,C75)=1,1,0),"")</f>
        <v/>
      </c>
    </row>
    <row r="76">
      <c r="A76" s="2" t="n"/>
      <c r="B76" s="2" t="n"/>
      <c r="C76" s="2" t="n"/>
      <c r="D76" s="3">
        <f>IF(B76="","",COUNTIF($B$2:$B$500,B76))</f>
        <v/>
      </c>
      <c r="E76" s="3">
        <f>IF(B76="","",IF(COUNTIF($B$2:B76,B76)=1,1,0))</f>
        <v/>
      </c>
      <c r="F76" s="4">
        <f>IF(E76=1,D76-ROW()/100000,"")</f>
        <v/>
      </c>
      <c r="G76" s="3">
        <f>IF(ISNUMBER(C76),COUNTIF($C$2:$C$500,C76),"")</f>
        <v/>
      </c>
      <c r="H76" s="3">
        <f>IF(ISNUMBER(C76),IF(COUNTIF($C$2:C76,C76)=1,1,0),"")</f>
        <v/>
      </c>
    </row>
    <row r="77">
      <c r="A77" s="2" t="n"/>
      <c r="B77" s="2" t="n"/>
      <c r="C77" s="2" t="n"/>
      <c r="D77" s="3">
        <f>IF(B77="","",COUNTIF($B$2:$B$500,B77))</f>
        <v/>
      </c>
      <c r="E77" s="3">
        <f>IF(B77="","",IF(COUNTIF($B$2:B77,B77)=1,1,0))</f>
        <v/>
      </c>
      <c r="F77" s="4">
        <f>IF(E77=1,D77-ROW()/100000,"")</f>
        <v/>
      </c>
      <c r="G77" s="3">
        <f>IF(ISNUMBER(C77),COUNTIF($C$2:$C$500,C77),"")</f>
        <v/>
      </c>
      <c r="H77" s="3">
        <f>IF(ISNUMBER(C77),IF(COUNTIF($C$2:C77,C77)=1,1,0),"")</f>
        <v/>
      </c>
    </row>
    <row r="78">
      <c r="A78" s="2" t="n"/>
      <c r="B78" s="2" t="n"/>
      <c r="C78" s="2" t="n"/>
      <c r="D78" s="3">
        <f>IF(B78="","",COUNTIF($B$2:$B$500,B78))</f>
        <v/>
      </c>
      <c r="E78" s="3">
        <f>IF(B78="","",IF(COUNTIF($B$2:B78,B78)=1,1,0))</f>
        <v/>
      </c>
      <c r="F78" s="4">
        <f>IF(E78=1,D78-ROW()/100000,"")</f>
        <v/>
      </c>
      <c r="G78" s="3">
        <f>IF(ISNUMBER(C78),COUNTIF($C$2:$C$500,C78),"")</f>
        <v/>
      </c>
      <c r="H78" s="3">
        <f>IF(ISNUMBER(C78),IF(COUNTIF($C$2:C78,C78)=1,1,0),"")</f>
        <v/>
      </c>
    </row>
    <row r="79">
      <c r="A79" s="2" t="n"/>
      <c r="B79" s="2" t="n"/>
      <c r="C79" s="2" t="n"/>
      <c r="D79" s="3">
        <f>IF(B79="","",COUNTIF($B$2:$B$500,B79))</f>
        <v/>
      </c>
      <c r="E79" s="3">
        <f>IF(B79="","",IF(COUNTIF($B$2:B79,B79)=1,1,0))</f>
        <v/>
      </c>
      <c r="F79" s="4">
        <f>IF(E79=1,D79-ROW()/100000,"")</f>
        <v/>
      </c>
      <c r="G79" s="3">
        <f>IF(ISNUMBER(C79),COUNTIF($C$2:$C$500,C79),"")</f>
        <v/>
      </c>
      <c r="H79" s="3">
        <f>IF(ISNUMBER(C79),IF(COUNTIF($C$2:C79,C79)=1,1,0),"")</f>
        <v/>
      </c>
    </row>
    <row r="80">
      <c r="A80" s="2" t="n"/>
      <c r="B80" s="2" t="n"/>
      <c r="C80" s="2" t="n"/>
      <c r="D80" s="3">
        <f>IF(B80="","",COUNTIF($B$2:$B$500,B80))</f>
        <v/>
      </c>
      <c r="E80" s="3">
        <f>IF(B80="","",IF(COUNTIF($B$2:B80,B80)=1,1,0))</f>
        <v/>
      </c>
      <c r="F80" s="4">
        <f>IF(E80=1,D80-ROW()/100000,"")</f>
        <v/>
      </c>
      <c r="G80" s="3">
        <f>IF(ISNUMBER(C80),COUNTIF($C$2:$C$500,C80),"")</f>
        <v/>
      </c>
      <c r="H80" s="3">
        <f>IF(ISNUMBER(C80),IF(COUNTIF($C$2:C80,C80)=1,1,0),"")</f>
        <v/>
      </c>
    </row>
    <row r="81">
      <c r="A81" s="2" t="n"/>
      <c r="B81" s="2" t="n"/>
      <c r="C81" s="2" t="n"/>
      <c r="D81" s="3">
        <f>IF(B81="","",COUNTIF($B$2:$B$500,B81))</f>
        <v/>
      </c>
      <c r="E81" s="3">
        <f>IF(B81="","",IF(COUNTIF($B$2:B81,B81)=1,1,0))</f>
        <v/>
      </c>
      <c r="F81" s="4">
        <f>IF(E81=1,D81-ROW()/100000,"")</f>
        <v/>
      </c>
      <c r="G81" s="3">
        <f>IF(ISNUMBER(C81),COUNTIF($C$2:$C$500,C81),"")</f>
        <v/>
      </c>
      <c r="H81" s="3">
        <f>IF(ISNUMBER(C81),IF(COUNTIF($C$2:C81,C81)=1,1,0),"")</f>
        <v/>
      </c>
    </row>
    <row r="82">
      <c r="A82" s="2" t="n"/>
      <c r="B82" s="2" t="n"/>
      <c r="C82" s="2" t="n"/>
      <c r="D82" s="3">
        <f>IF(B82="","",COUNTIF($B$2:$B$500,B82))</f>
        <v/>
      </c>
      <c r="E82" s="3">
        <f>IF(B82="","",IF(COUNTIF($B$2:B82,B82)=1,1,0))</f>
        <v/>
      </c>
      <c r="F82" s="4">
        <f>IF(E82=1,D82-ROW()/100000,"")</f>
        <v/>
      </c>
      <c r="G82" s="3">
        <f>IF(ISNUMBER(C82),COUNTIF($C$2:$C$500,C82),"")</f>
        <v/>
      </c>
      <c r="H82" s="3">
        <f>IF(ISNUMBER(C82),IF(COUNTIF($C$2:C82,C82)=1,1,0),"")</f>
        <v/>
      </c>
    </row>
    <row r="83">
      <c r="A83" s="2" t="n"/>
      <c r="B83" s="2" t="n"/>
      <c r="C83" s="2" t="n"/>
      <c r="D83" s="3">
        <f>IF(B83="","",COUNTIF($B$2:$B$500,B83))</f>
        <v/>
      </c>
      <c r="E83" s="3">
        <f>IF(B83="","",IF(COUNTIF($B$2:B83,B83)=1,1,0))</f>
        <v/>
      </c>
      <c r="F83" s="4">
        <f>IF(E83=1,D83-ROW()/100000,"")</f>
        <v/>
      </c>
      <c r="G83" s="3">
        <f>IF(ISNUMBER(C83),COUNTIF($C$2:$C$500,C83),"")</f>
        <v/>
      </c>
      <c r="H83" s="3">
        <f>IF(ISNUMBER(C83),IF(COUNTIF($C$2:C83,C83)=1,1,0),"")</f>
        <v/>
      </c>
    </row>
    <row r="84">
      <c r="A84" s="2" t="n"/>
      <c r="B84" s="2" t="n"/>
      <c r="C84" s="2" t="n"/>
      <c r="D84" s="3">
        <f>IF(B84="","",COUNTIF($B$2:$B$500,B84))</f>
        <v/>
      </c>
      <c r="E84" s="3">
        <f>IF(B84="","",IF(COUNTIF($B$2:B84,B84)=1,1,0))</f>
        <v/>
      </c>
      <c r="F84" s="4">
        <f>IF(E84=1,D84-ROW()/100000,"")</f>
        <v/>
      </c>
      <c r="G84" s="3">
        <f>IF(ISNUMBER(C84),COUNTIF($C$2:$C$500,C84),"")</f>
        <v/>
      </c>
      <c r="H84" s="3">
        <f>IF(ISNUMBER(C84),IF(COUNTIF($C$2:C84,C84)=1,1,0),"")</f>
        <v/>
      </c>
    </row>
    <row r="85">
      <c r="A85" s="2" t="n"/>
      <c r="B85" s="2" t="n"/>
      <c r="C85" s="2" t="n"/>
      <c r="D85" s="3">
        <f>IF(B85="","",COUNTIF($B$2:$B$500,B85))</f>
        <v/>
      </c>
      <c r="E85" s="3">
        <f>IF(B85="","",IF(COUNTIF($B$2:B85,B85)=1,1,0))</f>
        <v/>
      </c>
      <c r="F85" s="4">
        <f>IF(E85=1,D85-ROW()/100000,"")</f>
        <v/>
      </c>
      <c r="G85" s="3">
        <f>IF(ISNUMBER(C85),COUNTIF($C$2:$C$500,C85),"")</f>
        <v/>
      </c>
      <c r="H85" s="3">
        <f>IF(ISNUMBER(C85),IF(COUNTIF($C$2:C85,C85)=1,1,0),"")</f>
        <v/>
      </c>
    </row>
    <row r="86">
      <c r="A86" s="2" t="n"/>
      <c r="B86" s="2" t="n"/>
      <c r="C86" s="2" t="n"/>
      <c r="D86" s="3">
        <f>IF(B86="","",COUNTIF($B$2:$B$500,B86))</f>
        <v/>
      </c>
      <c r="E86" s="3">
        <f>IF(B86="","",IF(COUNTIF($B$2:B86,B86)=1,1,0))</f>
        <v/>
      </c>
      <c r="F86" s="4">
        <f>IF(E86=1,D86-ROW()/100000,"")</f>
        <v/>
      </c>
      <c r="G86" s="3">
        <f>IF(ISNUMBER(C86),COUNTIF($C$2:$C$500,C86),"")</f>
        <v/>
      </c>
      <c r="H86" s="3">
        <f>IF(ISNUMBER(C86),IF(COUNTIF($C$2:C86,C86)=1,1,0),"")</f>
        <v/>
      </c>
    </row>
    <row r="87">
      <c r="A87" s="2" t="n"/>
      <c r="B87" s="2" t="n"/>
      <c r="C87" s="2" t="n"/>
      <c r="D87" s="3">
        <f>IF(B87="","",COUNTIF($B$2:$B$500,B87))</f>
        <v/>
      </c>
      <c r="E87" s="3">
        <f>IF(B87="","",IF(COUNTIF($B$2:B87,B87)=1,1,0))</f>
        <v/>
      </c>
      <c r="F87" s="4">
        <f>IF(E87=1,D87-ROW()/100000,"")</f>
        <v/>
      </c>
      <c r="G87" s="3">
        <f>IF(ISNUMBER(C87),COUNTIF($C$2:$C$500,C87),"")</f>
        <v/>
      </c>
      <c r="H87" s="3">
        <f>IF(ISNUMBER(C87),IF(COUNTIF($C$2:C87,C87)=1,1,0),"")</f>
        <v/>
      </c>
    </row>
    <row r="88">
      <c r="A88" s="2" t="n"/>
      <c r="B88" s="2" t="n"/>
      <c r="C88" s="2" t="n"/>
      <c r="D88" s="3">
        <f>IF(B88="","",COUNTIF($B$2:$B$500,B88))</f>
        <v/>
      </c>
      <c r="E88" s="3">
        <f>IF(B88="","",IF(COUNTIF($B$2:B88,B88)=1,1,0))</f>
        <v/>
      </c>
      <c r="F88" s="4">
        <f>IF(E88=1,D88-ROW()/100000,"")</f>
        <v/>
      </c>
      <c r="G88" s="3">
        <f>IF(ISNUMBER(C88),COUNTIF($C$2:$C$500,C88),"")</f>
        <v/>
      </c>
      <c r="H88" s="3">
        <f>IF(ISNUMBER(C88),IF(COUNTIF($C$2:C88,C88)=1,1,0),"")</f>
        <v/>
      </c>
    </row>
    <row r="89">
      <c r="A89" s="2" t="n"/>
      <c r="B89" s="2" t="n"/>
      <c r="C89" s="2" t="n"/>
      <c r="D89" s="3">
        <f>IF(B89="","",COUNTIF($B$2:$B$500,B89))</f>
        <v/>
      </c>
      <c r="E89" s="3">
        <f>IF(B89="","",IF(COUNTIF($B$2:B89,B89)=1,1,0))</f>
        <v/>
      </c>
      <c r="F89" s="4">
        <f>IF(E89=1,D89-ROW()/100000,"")</f>
        <v/>
      </c>
      <c r="G89" s="3">
        <f>IF(ISNUMBER(C89),COUNTIF($C$2:$C$500,C89),"")</f>
        <v/>
      </c>
      <c r="H89" s="3">
        <f>IF(ISNUMBER(C89),IF(COUNTIF($C$2:C89,C89)=1,1,0),"")</f>
        <v/>
      </c>
    </row>
    <row r="90">
      <c r="A90" s="2" t="n"/>
      <c r="B90" s="2" t="n"/>
      <c r="C90" s="2" t="n"/>
      <c r="D90" s="3">
        <f>IF(B90="","",COUNTIF($B$2:$B$500,B90))</f>
        <v/>
      </c>
      <c r="E90" s="3">
        <f>IF(B90="","",IF(COUNTIF($B$2:B90,B90)=1,1,0))</f>
        <v/>
      </c>
      <c r="F90" s="4">
        <f>IF(E90=1,D90-ROW()/100000,"")</f>
        <v/>
      </c>
      <c r="G90" s="3">
        <f>IF(ISNUMBER(C90),COUNTIF($C$2:$C$500,C90),"")</f>
        <v/>
      </c>
      <c r="H90" s="3">
        <f>IF(ISNUMBER(C90),IF(COUNTIF($C$2:C90,C90)=1,1,0),"")</f>
        <v/>
      </c>
    </row>
    <row r="91">
      <c r="A91" s="2" t="n"/>
      <c r="B91" s="2" t="n"/>
      <c r="C91" s="2" t="n"/>
      <c r="D91" s="3">
        <f>IF(B91="","",COUNTIF($B$2:$B$500,B91))</f>
        <v/>
      </c>
      <c r="E91" s="3">
        <f>IF(B91="","",IF(COUNTIF($B$2:B91,B91)=1,1,0))</f>
        <v/>
      </c>
      <c r="F91" s="4">
        <f>IF(E91=1,D91-ROW()/100000,"")</f>
        <v/>
      </c>
      <c r="G91" s="3">
        <f>IF(ISNUMBER(C91),COUNTIF($C$2:$C$500,C91),"")</f>
        <v/>
      </c>
      <c r="H91" s="3">
        <f>IF(ISNUMBER(C91),IF(COUNTIF($C$2:C91,C91)=1,1,0),"")</f>
        <v/>
      </c>
    </row>
    <row r="92">
      <c r="A92" s="2" t="n"/>
      <c r="B92" s="2" t="n"/>
      <c r="C92" s="2" t="n"/>
      <c r="D92" s="3">
        <f>IF(B92="","",COUNTIF($B$2:$B$500,B92))</f>
        <v/>
      </c>
      <c r="E92" s="3">
        <f>IF(B92="","",IF(COUNTIF($B$2:B92,B92)=1,1,0))</f>
        <v/>
      </c>
      <c r="F92" s="4">
        <f>IF(E92=1,D92-ROW()/100000,"")</f>
        <v/>
      </c>
      <c r="G92" s="3">
        <f>IF(ISNUMBER(C92),COUNTIF($C$2:$C$500,C92),"")</f>
        <v/>
      </c>
      <c r="H92" s="3">
        <f>IF(ISNUMBER(C92),IF(COUNTIF($C$2:C92,C92)=1,1,0),"")</f>
        <v/>
      </c>
    </row>
    <row r="93">
      <c r="A93" s="2" t="n"/>
      <c r="B93" s="2" t="n"/>
      <c r="C93" s="2" t="n"/>
      <c r="D93" s="3">
        <f>IF(B93="","",COUNTIF($B$2:$B$500,B93))</f>
        <v/>
      </c>
      <c r="E93" s="3">
        <f>IF(B93="","",IF(COUNTIF($B$2:B93,B93)=1,1,0))</f>
        <v/>
      </c>
      <c r="F93" s="4">
        <f>IF(E93=1,D93-ROW()/100000,"")</f>
        <v/>
      </c>
      <c r="G93" s="3">
        <f>IF(ISNUMBER(C93),COUNTIF($C$2:$C$500,C93),"")</f>
        <v/>
      </c>
      <c r="H93" s="3">
        <f>IF(ISNUMBER(C93),IF(COUNTIF($C$2:C93,C93)=1,1,0),"")</f>
        <v/>
      </c>
    </row>
    <row r="94">
      <c r="A94" s="2" t="n"/>
      <c r="B94" s="2" t="n"/>
      <c r="C94" s="2" t="n"/>
      <c r="D94" s="3">
        <f>IF(B94="","",COUNTIF($B$2:$B$500,B94))</f>
        <v/>
      </c>
      <c r="E94" s="3">
        <f>IF(B94="","",IF(COUNTIF($B$2:B94,B94)=1,1,0))</f>
        <v/>
      </c>
      <c r="F94" s="4">
        <f>IF(E94=1,D94-ROW()/100000,"")</f>
        <v/>
      </c>
      <c r="G94" s="3">
        <f>IF(ISNUMBER(C94),COUNTIF($C$2:$C$500,C94),"")</f>
        <v/>
      </c>
      <c r="H94" s="3">
        <f>IF(ISNUMBER(C94),IF(COUNTIF($C$2:C94,C94)=1,1,0),"")</f>
        <v/>
      </c>
    </row>
    <row r="95">
      <c r="A95" s="2" t="n"/>
      <c r="B95" s="2" t="n"/>
      <c r="C95" s="2" t="n"/>
      <c r="D95" s="3">
        <f>IF(B95="","",COUNTIF($B$2:$B$500,B95))</f>
        <v/>
      </c>
      <c r="E95" s="3">
        <f>IF(B95="","",IF(COUNTIF($B$2:B95,B95)=1,1,0))</f>
        <v/>
      </c>
      <c r="F95" s="4">
        <f>IF(E95=1,D95-ROW()/100000,"")</f>
        <v/>
      </c>
      <c r="G95" s="3">
        <f>IF(ISNUMBER(C95),COUNTIF($C$2:$C$500,C95),"")</f>
        <v/>
      </c>
      <c r="H95" s="3">
        <f>IF(ISNUMBER(C95),IF(COUNTIF($C$2:C95,C95)=1,1,0),"")</f>
        <v/>
      </c>
    </row>
    <row r="96">
      <c r="A96" s="2" t="n"/>
      <c r="B96" s="2" t="n"/>
      <c r="C96" s="2" t="n"/>
      <c r="D96" s="3">
        <f>IF(B96="","",COUNTIF($B$2:$B$500,B96))</f>
        <v/>
      </c>
      <c r="E96" s="3">
        <f>IF(B96="","",IF(COUNTIF($B$2:B96,B96)=1,1,0))</f>
        <v/>
      </c>
      <c r="F96" s="4">
        <f>IF(E96=1,D96-ROW()/100000,"")</f>
        <v/>
      </c>
      <c r="G96" s="3">
        <f>IF(ISNUMBER(C96),COUNTIF($C$2:$C$500,C96),"")</f>
        <v/>
      </c>
      <c r="H96" s="3">
        <f>IF(ISNUMBER(C96),IF(COUNTIF($C$2:C96,C96)=1,1,0),"")</f>
        <v/>
      </c>
    </row>
    <row r="97">
      <c r="A97" s="2" t="n"/>
      <c r="B97" s="2" t="n"/>
      <c r="C97" s="2" t="n"/>
      <c r="D97" s="3">
        <f>IF(B97="","",COUNTIF($B$2:$B$500,B97))</f>
        <v/>
      </c>
      <c r="E97" s="3">
        <f>IF(B97="","",IF(COUNTIF($B$2:B97,B97)=1,1,0))</f>
        <v/>
      </c>
      <c r="F97" s="4">
        <f>IF(E97=1,D97-ROW()/100000,"")</f>
        <v/>
      </c>
      <c r="G97" s="3">
        <f>IF(ISNUMBER(C97),COUNTIF($C$2:$C$500,C97),"")</f>
        <v/>
      </c>
      <c r="H97" s="3">
        <f>IF(ISNUMBER(C97),IF(COUNTIF($C$2:C97,C97)=1,1,0),"")</f>
        <v/>
      </c>
    </row>
    <row r="98">
      <c r="A98" s="2" t="n"/>
      <c r="B98" s="2" t="n"/>
      <c r="C98" s="2" t="n"/>
      <c r="D98" s="3">
        <f>IF(B98="","",COUNTIF($B$2:$B$500,B98))</f>
        <v/>
      </c>
      <c r="E98" s="3">
        <f>IF(B98="","",IF(COUNTIF($B$2:B98,B98)=1,1,0))</f>
        <v/>
      </c>
      <c r="F98" s="4">
        <f>IF(E98=1,D98-ROW()/100000,"")</f>
        <v/>
      </c>
      <c r="G98" s="3">
        <f>IF(ISNUMBER(C98),COUNTIF($C$2:$C$500,C98),"")</f>
        <v/>
      </c>
      <c r="H98" s="3">
        <f>IF(ISNUMBER(C98),IF(COUNTIF($C$2:C98,C98)=1,1,0),"")</f>
        <v/>
      </c>
    </row>
    <row r="99">
      <c r="A99" s="2" t="n"/>
      <c r="B99" s="2" t="n"/>
      <c r="C99" s="2" t="n"/>
      <c r="D99" s="3">
        <f>IF(B99="","",COUNTIF($B$2:$B$500,B99))</f>
        <v/>
      </c>
      <c r="E99" s="3">
        <f>IF(B99="","",IF(COUNTIF($B$2:B99,B99)=1,1,0))</f>
        <v/>
      </c>
      <c r="F99" s="4">
        <f>IF(E99=1,D99-ROW()/100000,"")</f>
        <v/>
      </c>
      <c r="G99" s="3">
        <f>IF(ISNUMBER(C99),COUNTIF($C$2:$C$500,C99),"")</f>
        <v/>
      </c>
      <c r="H99" s="3">
        <f>IF(ISNUMBER(C99),IF(COUNTIF($C$2:C99,C99)=1,1,0),"")</f>
        <v/>
      </c>
    </row>
    <row r="100">
      <c r="A100" s="2" t="n"/>
      <c r="B100" s="2" t="n"/>
      <c r="C100" s="2" t="n"/>
      <c r="D100" s="3">
        <f>IF(B100="","",COUNTIF($B$2:$B$500,B100))</f>
        <v/>
      </c>
      <c r="E100" s="3">
        <f>IF(B100="","",IF(COUNTIF($B$2:B100,B100)=1,1,0))</f>
        <v/>
      </c>
      <c r="F100" s="4">
        <f>IF(E100=1,D100-ROW()/100000,"")</f>
        <v/>
      </c>
      <c r="G100" s="3">
        <f>IF(ISNUMBER(C100),COUNTIF($C$2:$C$500,C100),"")</f>
        <v/>
      </c>
      <c r="H100" s="3">
        <f>IF(ISNUMBER(C100),IF(COUNTIF($C$2:C100,C100)=1,1,0),"")</f>
        <v/>
      </c>
    </row>
    <row r="101">
      <c r="A101" s="2" t="n"/>
      <c r="B101" s="2" t="n"/>
      <c r="C101" s="2" t="n"/>
      <c r="D101" s="3">
        <f>IF(B101="","",COUNTIF($B$2:$B$500,B101))</f>
        <v/>
      </c>
      <c r="E101" s="3">
        <f>IF(B101="","",IF(COUNTIF($B$2:B101,B101)=1,1,0))</f>
        <v/>
      </c>
      <c r="F101" s="4">
        <f>IF(E101=1,D101-ROW()/100000,"")</f>
        <v/>
      </c>
      <c r="G101" s="3">
        <f>IF(ISNUMBER(C101),COUNTIF($C$2:$C$500,C101),"")</f>
        <v/>
      </c>
      <c r="H101" s="3">
        <f>IF(ISNUMBER(C101),IF(COUNTIF($C$2:C101,C101)=1,1,0),"")</f>
        <v/>
      </c>
    </row>
    <row r="102">
      <c r="A102" s="2" t="n"/>
      <c r="B102" s="2" t="n"/>
      <c r="C102" s="2" t="n"/>
      <c r="D102" s="3">
        <f>IF(B102="","",COUNTIF($B$2:$B$500,B102))</f>
        <v/>
      </c>
      <c r="E102" s="3">
        <f>IF(B102="","",IF(COUNTIF($B$2:B102,B102)=1,1,0))</f>
        <v/>
      </c>
      <c r="F102" s="4">
        <f>IF(E102=1,D102-ROW()/100000,"")</f>
        <v/>
      </c>
      <c r="G102" s="3">
        <f>IF(ISNUMBER(C102),COUNTIF($C$2:$C$500,C102),"")</f>
        <v/>
      </c>
      <c r="H102" s="3">
        <f>IF(ISNUMBER(C102),IF(COUNTIF($C$2:C102,C102)=1,1,0),"")</f>
        <v/>
      </c>
    </row>
    <row r="103">
      <c r="A103" s="2" t="n"/>
      <c r="B103" s="2" t="n"/>
      <c r="C103" s="2" t="n"/>
      <c r="D103" s="3">
        <f>IF(B103="","",COUNTIF($B$2:$B$500,B103))</f>
        <v/>
      </c>
      <c r="E103" s="3">
        <f>IF(B103="","",IF(COUNTIF($B$2:B103,B103)=1,1,0))</f>
        <v/>
      </c>
      <c r="F103" s="4">
        <f>IF(E103=1,D103-ROW()/100000,"")</f>
        <v/>
      </c>
      <c r="G103" s="3">
        <f>IF(ISNUMBER(C103),COUNTIF($C$2:$C$500,C103),"")</f>
        <v/>
      </c>
      <c r="H103" s="3">
        <f>IF(ISNUMBER(C103),IF(COUNTIF($C$2:C103,C103)=1,1,0),"")</f>
        <v/>
      </c>
    </row>
    <row r="104">
      <c r="A104" s="2" t="n"/>
      <c r="B104" s="2" t="n"/>
      <c r="C104" s="2" t="n"/>
      <c r="D104" s="3">
        <f>IF(B104="","",COUNTIF($B$2:$B$500,B104))</f>
        <v/>
      </c>
      <c r="E104" s="3">
        <f>IF(B104="","",IF(COUNTIF($B$2:B104,B104)=1,1,0))</f>
        <v/>
      </c>
      <c r="F104" s="4">
        <f>IF(E104=1,D104-ROW()/100000,"")</f>
        <v/>
      </c>
      <c r="G104" s="3">
        <f>IF(ISNUMBER(C104),COUNTIF($C$2:$C$500,C104),"")</f>
        <v/>
      </c>
      <c r="H104" s="3">
        <f>IF(ISNUMBER(C104),IF(COUNTIF($C$2:C104,C104)=1,1,0),"")</f>
        <v/>
      </c>
    </row>
    <row r="105">
      <c r="A105" s="2" t="n"/>
      <c r="B105" s="2" t="n"/>
      <c r="C105" s="2" t="n"/>
      <c r="D105" s="3">
        <f>IF(B105="","",COUNTIF($B$2:$B$500,B105))</f>
        <v/>
      </c>
      <c r="E105" s="3">
        <f>IF(B105="","",IF(COUNTIF($B$2:B105,B105)=1,1,0))</f>
        <v/>
      </c>
      <c r="F105" s="4">
        <f>IF(E105=1,D105-ROW()/100000,"")</f>
        <v/>
      </c>
      <c r="G105" s="3">
        <f>IF(ISNUMBER(C105),COUNTIF($C$2:$C$500,C105),"")</f>
        <v/>
      </c>
      <c r="H105" s="3">
        <f>IF(ISNUMBER(C105),IF(COUNTIF($C$2:C105,C105)=1,1,0),"")</f>
        <v/>
      </c>
    </row>
    <row r="106">
      <c r="A106" s="2" t="n"/>
      <c r="B106" s="2" t="n"/>
      <c r="C106" s="2" t="n"/>
      <c r="D106" s="3">
        <f>IF(B106="","",COUNTIF($B$2:$B$500,B106))</f>
        <v/>
      </c>
      <c r="E106" s="3">
        <f>IF(B106="","",IF(COUNTIF($B$2:B106,B106)=1,1,0))</f>
        <v/>
      </c>
      <c r="F106" s="4">
        <f>IF(E106=1,D106-ROW()/100000,"")</f>
        <v/>
      </c>
      <c r="G106" s="3">
        <f>IF(ISNUMBER(C106),COUNTIF($C$2:$C$500,C106),"")</f>
        <v/>
      </c>
      <c r="H106" s="3">
        <f>IF(ISNUMBER(C106),IF(COUNTIF($C$2:C106,C106)=1,1,0),"")</f>
        <v/>
      </c>
    </row>
    <row r="107">
      <c r="A107" s="2" t="n"/>
      <c r="B107" s="2" t="n"/>
      <c r="C107" s="2" t="n"/>
      <c r="D107" s="3">
        <f>IF(B107="","",COUNTIF($B$2:$B$500,B107))</f>
        <v/>
      </c>
      <c r="E107" s="3">
        <f>IF(B107="","",IF(COUNTIF($B$2:B107,B107)=1,1,0))</f>
        <v/>
      </c>
      <c r="F107" s="4">
        <f>IF(E107=1,D107-ROW()/100000,"")</f>
        <v/>
      </c>
      <c r="G107" s="3">
        <f>IF(ISNUMBER(C107),COUNTIF($C$2:$C$500,C107),"")</f>
        <v/>
      </c>
      <c r="H107" s="3">
        <f>IF(ISNUMBER(C107),IF(COUNTIF($C$2:C107,C107)=1,1,0),"")</f>
        <v/>
      </c>
    </row>
    <row r="108">
      <c r="A108" s="2" t="n"/>
      <c r="B108" s="2" t="n"/>
      <c r="C108" s="2" t="n"/>
      <c r="D108" s="3">
        <f>IF(B108="","",COUNTIF($B$2:$B$500,B108))</f>
        <v/>
      </c>
      <c r="E108" s="3">
        <f>IF(B108="","",IF(COUNTIF($B$2:B108,B108)=1,1,0))</f>
        <v/>
      </c>
      <c r="F108" s="4">
        <f>IF(E108=1,D108-ROW()/100000,"")</f>
        <v/>
      </c>
      <c r="G108" s="3">
        <f>IF(ISNUMBER(C108),COUNTIF($C$2:$C$500,C108),"")</f>
        <v/>
      </c>
      <c r="H108" s="3">
        <f>IF(ISNUMBER(C108),IF(COUNTIF($C$2:C108,C108)=1,1,0),"")</f>
        <v/>
      </c>
    </row>
    <row r="109">
      <c r="A109" s="2" t="n"/>
      <c r="B109" s="2" t="n"/>
      <c r="C109" s="2" t="n"/>
      <c r="D109" s="3">
        <f>IF(B109="","",COUNTIF($B$2:$B$500,B109))</f>
        <v/>
      </c>
      <c r="E109" s="3">
        <f>IF(B109="","",IF(COUNTIF($B$2:B109,B109)=1,1,0))</f>
        <v/>
      </c>
      <c r="F109" s="4">
        <f>IF(E109=1,D109-ROW()/100000,"")</f>
        <v/>
      </c>
      <c r="G109" s="3">
        <f>IF(ISNUMBER(C109),COUNTIF($C$2:$C$500,C109),"")</f>
        <v/>
      </c>
      <c r="H109" s="3">
        <f>IF(ISNUMBER(C109),IF(COUNTIF($C$2:C109,C109)=1,1,0),"")</f>
        <v/>
      </c>
    </row>
    <row r="110">
      <c r="A110" s="2" t="n"/>
      <c r="B110" s="2" t="n"/>
      <c r="C110" s="2" t="n"/>
      <c r="D110" s="3">
        <f>IF(B110="","",COUNTIF($B$2:$B$500,B110))</f>
        <v/>
      </c>
      <c r="E110" s="3">
        <f>IF(B110="","",IF(COUNTIF($B$2:B110,B110)=1,1,0))</f>
        <v/>
      </c>
      <c r="F110" s="4">
        <f>IF(E110=1,D110-ROW()/100000,"")</f>
        <v/>
      </c>
      <c r="G110" s="3">
        <f>IF(ISNUMBER(C110),COUNTIF($C$2:$C$500,C110),"")</f>
        <v/>
      </c>
      <c r="H110" s="3">
        <f>IF(ISNUMBER(C110),IF(COUNTIF($C$2:C110,C110)=1,1,0),"")</f>
        <v/>
      </c>
    </row>
    <row r="111">
      <c r="A111" s="2" t="n"/>
      <c r="B111" s="2" t="n"/>
      <c r="C111" s="2" t="n"/>
      <c r="D111" s="3">
        <f>IF(B111="","",COUNTIF($B$2:$B$500,B111))</f>
        <v/>
      </c>
      <c r="E111" s="3">
        <f>IF(B111="","",IF(COUNTIF($B$2:B111,B111)=1,1,0))</f>
        <v/>
      </c>
      <c r="F111" s="4">
        <f>IF(E111=1,D111-ROW()/100000,"")</f>
        <v/>
      </c>
      <c r="G111" s="3">
        <f>IF(ISNUMBER(C111),COUNTIF($C$2:$C$500,C111),"")</f>
        <v/>
      </c>
      <c r="H111" s="3">
        <f>IF(ISNUMBER(C111),IF(COUNTIF($C$2:C111,C111)=1,1,0),"")</f>
        <v/>
      </c>
    </row>
    <row r="112">
      <c r="A112" s="2" t="n"/>
      <c r="B112" s="2" t="n"/>
      <c r="C112" s="2" t="n"/>
      <c r="D112" s="3">
        <f>IF(B112="","",COUNTIF($B$2:$B$500,B112))</f>
        <v/>
      </c>
      <c r="E112" s="3">
        <f>IF(B112="","",IF(COUNTIF($B$2:B112,B112)=1,1,0))</f>
        <v/>
      </c>
      <c r="F112" s="4">
        <f>IF(E112=1,D112-ROW()/100000,"")</f>
        <v/>
      </c>
      <c r="G112" s="3">
        <f>IF(ISNUMBER(C112),COUNTIF($C$2:$C$500,C112),"")</f>
        <v/>
      </c>
      <c r="H112" s="3">
        <f>IF(ISNUMBER(C112),IF(COUNTIF($C$2:C112,C112)=1,1,0),"")</f>
        <v/>
      </c>
    </row>
    <row r="113">
      <c r="A113" s="2" t="n"/>
      <c r="B113" s="2" t="n"/>
      <c r="C113" s="2" t="n"/>
      <c r="D113" s="3">
        <f>IF(B113="","",COUNTIF($B$2:$B$500,B113))</f>
        <v/>
      </c>
      <c r="E113" s="3">
        <f>IF(B113="","",IF(COUNTIF($B$2:B113,B113)=1,1,0))</f>
        <v/>
      </c>
      <c r="F113" s="4">
        <f>IF(E113=1,D113-ROW()/100000,"")</f>
        <v/>
      </c>
      <c r="G113" s="3">
        <f>IF(ISNUMBER(C113),COUNTIF($C$2:$C$500,C113),"")</f>
        <v/>
      </c>
      <c r="H113" s="3">
        <f>IF(ISNUMBER(C113),IF(COUNTIF($C$2:C113,C113)=1,1,0),"")</f>
        <v/>
      </c>
    </row>
    <row r="114">
      <c r="A114" s="2" t="n"/>
      <c r="B114" s="2" t="n"/>
      <c r="C114" s="2" t="n"/>
      <c r="D114" s="3">
        <f>IF(B114="","",COUNTIF($B$2:$B$500,B114))</f>
        <v/>
      </c>
      <c r="E114" s="3">
        <f>IF(B114="","",IF(COUNTIF($B$2:B114,B114)=1,1,0))</f>
        <v/>
      </c>
      <c r="F114" s="4">
        <f>IF(E114=1,D114-ROW()/100000,"")</f>
        <v/>
      </c>
      <c r="G114" s="3">
        <f>IF(ISNUMBER(C114),COUNTIF($C$2:$C$500,C114),"")</f>
        <v/>
      </c>
      <c r="H114" s="3">
        <f>IF(ISNUMBER(C114),IF(COUNTIF($C$2:C114,C114)=1,1,0),"")</f>
        <v/>
      </c>
    </row>
    <row r="115">
      <c r="A115" s="2" t="n"/>
      <c r="B115" s="2" t="n"/>
      <c r="C115" s="2" t="n"/>
      <c r="D115" s="3">
        <f>IF(B115="","",COUNTIF($B$2:$B$500,B115))</f>
        <v/>
      </c>
      <c r="E115" s="3">
        <f>IF(B115="","",IF(COUNTIF($B$2:B115,B115)=1,1,0))</f>
        <v/>
      </c>
      <c r="F115" s="4">
        <f>IF(E115=1,D115-ROW()/100000,"")</f>
        <v/>
      </c>
      <c r="G115" s="3">
        <f>IF(ISNUMBER(C115),COUNTIF($C$2:$C$500,C115),"")</f>
        <v/>
      </c>
      <c r="H115" s="3">
        <f>IF(ISNUMBER(C115),IF(COUNTIF($C$2:C115,C115)=1,1,0),"")</f>
        <v/>
      </c>
    </row>
    <row r="116">
      <c r="A116" s="2" t="n"/>
      <c r="B116" s="2" t="n"/>
      <c r="C116" s="2" t="n"/>
      <c r="D116" s="3">
        <f>IF(B116="","",COUNTIF($B$2:$B$500,B116))</f>
        <v/>
      </c>
      <c r="E116" s="3">
        <f>IF(B116="","",IF(COUNTIF($B$2:B116,B116)=1,1,0))</f>
        <v/>
      </c>
      <c r="F116" s="4">
        <f>IF(E116=1,D116-ROW()/100000,"")</f>
        <v/>
      </c>
      <c r="G116" s="3">
        <f>IF(ISNUMBER(C116),COUNTIF($C$2:$C$500,C116),"")</f>
        <v/>
      </c>
      <c r="H116" s="3">
        <f>IF(ISNUMBER(C116),IF(COUNTIF($C$2:C116,C116)=1,1,0),"")</f>
        <v/>
      </c>
    </row>
    <row r="117">
      <c r="A117" s="2" t="n"/>
      <c r="B117" s="2" t="n"/>
      <c r="C117" s="2" t="n"/>
      <c r="D117" s="3">
        <f>IF(B117="","",COUNTIF($B$2:$B$500,B117))</f>
        <v/>
      </c>
      <c r="E117" s="3">
        <f>IF(B117="","",IF(COUNTIF($B$2:B117,B117)=1,1,0))</f>
        <v/>
      </c>
      <c r="F117" s="4">
        <f>IF(E117=1,D117-ROW()/100000,"")</f>
        <v/>
      </c>
      <c r="G117" s="3">
        <f>IF(ISNUMBER(C117),COUNTIF($C$2:$C$500,C117),"")</f>
        <v/>
      </c>
      <c r="H117" s="3">
        <f>IF(ISNUMBER(C117),IF(COUNTIF($C$2:C117,C117)=1,1,0),"")</f>
        <v/>
      </c>
    </row>
    <row r="118">
      <c r="A118" s="2" t="n"/>
      <c r="B118" s="2" t="n"/>
      <c r="C118" s="2" t="n"/>
      <c r="D118" s="3">
        <f>IF(B118="","",COUNTIF($B$2:$B$500,B118))</f>
        <v/>
      </c>
      <c r="E118" s="3">
        <f>IF(B118="","",IF(COUNTIF($B$2:B118,B118)=1,1,0))</f>
        <v/>
      </c>
      <c r="F118" s="4">
        <f>IF(E118=1,D118-ROW()/100000,"")</f>
        <v/>
      </c>
      <c r="G118" s="3">
        <f>IF(ISNUMBER(C118),COUNTIF($C$2:$C$500,C118),"")</f>
        <v/>
      </c>
      <c r="H118" s="3">
        <f>IF(ISNUMBER(C118),IF(COUNTIF($C$2:C118,C118)=1,1,0),"")</f>
        <v/>
      </c>
    </row>
    <row r="119">
      <c r="A119" s="2" t="n"/>
      <c r="B119" s="2" t="n"/>
      <c r="C119" s="2" t="n"/>
      <c r="D119" s="3">
        <f>IF(B119="","",COUNTIF($B$2:$B$500,B119))</f>
        <v/>
      </c>
      <c r="E119" s="3">
        <f>IF(B119="","",IF(COUNTIF($B$2:B119,B119)=1,1,0))</f>
        <v/>
      </c>
      <c r="F119" s="4">
        <f>IF(E119=1,D119-ROW()/100000,"")</f>
        <v/>
      </c>
      <c r="G119" s="3">
        <f>IF(ISNUMBER(C119),COUNTIF($C$2:$C$500,C119),"")</f>
        <v/>
      </c>
      <c r="H119" s="3">
        <f>IF(ISNUMBER(C119),IF(COUNTIF($C$2:C119,C119)=1,1,0),"")</f>
        <v/>
      </c>
    </row>
    <row r="120">
      <c r="A120" s="2" t="n"/>
      <c r="B120" s="2" t="n"/>
      <c r="C120" s="2" t="n"/>
      <c r="D120" s="3">
        <f>IF(B120="","",COUNTIF($B$2:$B$500,B120))</f>
        <v/>
      </c>
      <c r="E120" s="3">
        <f>IF(B120="","",IF(COUNTIF($B$2:B120,B120)=1,1,0))</f>
        <v/>
      </c>
      <c r="F120" s="4">
        <f>IF(E120=1,D120-ROW()/100000,"")</f>
        <v/>
      </c>
      <c r="G120" s="3">
        <f>IF(ISNUMBER(C120),COUNTIF($C$2:$C$500,C120),"")</f>
        <v/>
      </c>
      <c r="H120" s="3">
        <f>IF(ISNUMBER(C120),IF(COUNTIF($C$2:C120,C120)=1,1,0),"")</f>
        <v/>
      </c>
    </row>
    <row r="121">
      <c r="A121" s="2" t="n"/>
      <c r="B121" s="2" t="n"/>
      <c r="C121" s="2" t="n"/>
      <c r="D121" s="3">
        <f>IF(B121="","",COUNTIF($B$2:$B$500,B121))</f>
        <v/>
      </c>
      <c r="E121" s="3">
        <f>IF(B121="","",IF(COUNTIF($B$2:B121,B121)=1,1,0))</f>
        <v/>
      </c>
      <c r="F121" s="4">
        <f>IF(E121=1,D121-ROW()/100000,"")</f>
        <v/>
      </c>
      <c r="G121" s="3">
        <f>IF(ISNUMBER(C121),COUNTIF($C$2:$C$500,C121),"")</f>
        <v/>
      </c>
      <c r="H121" s="3">
        <f>IF(ISNUMBER(C121),IF(COUNTIF($C$2:C121,C121)=1,1,0),"")</f>
        <v/>
      </c>
    </row>
    <row r="122">
      <c r="A122" s="2" t="n"/>
      <c r="B122" s="2" t="n"/>
      <c r="C122" s="2" t="n"/>
      <c r="D122" s="3">
        <f>IF(B122="","",COUNTIF($B$2:$B$500,B122))</f>
        <v/>
      </c>
      <c r="E122" s="3">
        <f>IF(B122="","",IF(COUNTIF($B$2:B122,B122)=1,1,0))</f>
        <v/>
      </c>
      <c r="F122" s="4">
        <f>IF(E122=1,D122-ROW()/100000,"")</f>
        <v/>
      </c>
      <c r="G122" s="3">
        <f>IF(ISNUMBER(C122),COUNTIF($C$2:$C$500,C122),"")</f>
        <v/>
      </c>
      <c r="H122" s="3">
        <f>IF(ISNUMBER(C122),IF(COUNTIF($C$2:C122,C122)=1,1,0),"")</f>
        <v/>
      </c>
    </row>
    <row r="123">
      <c r="A123" s="2" t="n"/>
      <c r="B123" s="2" t="n"/>
      <c r="C123" s="2" t="n"/>
      <c r="D123" s="3">
        <f>IF(B123="","",COUNTIF($B$2:$B$500,B123))</f>
        <v/>
      </c>
      <c r="E123" s="3">
        <f>IF(B123="","",IF(COUNTIF($B$2:B123,B123)=1,1,0))</f>
        <v/>
      </c>
      <c r="F123" s="4">
        <f>IF(E123=1,D123-ROW()/100000,"")</f>
        <v/>
      </c>
      <c r="G123" s="3">
        <f>IF(ISNUMBER(C123),COUNTIF($C$2:$C$500,C123),"")</f>
        <v/>
      </c>
      <c r="H123" s="3">
        <f>IF(ISNUMBER(C123),IF(COUNTIF($C$2:C123,C123)=1,1,0),"")</f>
        <v/>
      </c>
    </row>
    <row r="124">
      <c r="A124" s="2" t="n"/>
      <c r="B124" s="2" t="n"/>
      <c r="C124" s="2" t="n"/>
      <c r="D124" s="3">
        <f>IF(B124="","",COUNTIF($B$2:$B$500,B124))</f>
        <v/>
      </c>
      <c r="E124" s="3">
        <f>IF(B124="","",IF(COUNTIF($B$2:B124,B124)=1,1,0))</f>
        <v/>
      </c>
      <c r="F124" s="4">
        <f>IF(E124=1,D124-ROW()/100000,"")</f>
        <v/>
      </c>
      <c r="G124" s="3">
        <f>IF(ISNUMBER(C124),COUNTIF($C$2:$C$500,C124),"")</f>
        <v/>
      </c>
      <c r="H124" s="3">
        <f>IF(ISNUMBER(C124),IF(COUNTIF($C$2:C124,C124)=1,1,0),"")</f>
        <v/>
      </c>
    </row>
    <row r="125">
      <c r="A125" s="2" t="n"/>
      <c r="B125" s="2" t="n"/>
      <c r="C125" s="2" t="n"/>
      <c r="D125" s="3">
        <f>IF(B125="","",COUNTIF($B$2:$B$500,B125))</f>
        <v/>
      </c>
      <c r="E125" s="3">
        <f>IF(B125="","",IF(COUNTIF($B$2:B125,B125)=1,1,0))</f>
        <v/>
      </c>
      <c r="F125" s="4">
        <f>IF(E125=1,D125-ROW()/100000,"")</f>
        <v/>
      </c>
      <c r="G125" s="3">
        <f>IF(ISNUMBER(C125),COUNTIF($C$2:$C$500,C125),"")</f>
        <v/>
      </c>
      <c r="H125" s="3">
        <f>IF(ISNUMBER(C125),IF(COUNTIF($C$2:C125,C125)=1,1,0),"")</f>
        <v/>
      </c>
    </row>
    <row r="126">
      <c r="A126" s="2" t="n"/>
      <c r="B126" s="2" t="n"/>
      <c r="C126" s="2" t="n"/>
      <c r="D126" s="3">
        <f>IF(B126="","",COUNTIF($B$2:$B$500,B126))</f>
        <v/>
      </c>
      <c r="E126" s="3">
        <f>IF(B126="","",IF(COUNTIF($B$2:B126,B126)=1,1,0))</f>
        <v/>
      </c>
      <c r="F126" s="4">
        <f>IF(E126=1,D126-ROW()/100000,"")</f>
        <v/>
      </c>
      <c r="G126" s="3">
        <f>IF(ISNUMBER(C126),COUNTIF($C$2:$C$500,C126),"")</f>
        <v/>
      </c>
      <c r="H126" s="3">
        <f>IF(ISNUMBER(C126),IF(COUNTIF($C$2:C126,C126)=1,1,0),"")</f>
        <v/>
      </c>
    </row>
    <row r="127">
      <c r="A127" s="2" t="n"/>
      <c r="B127" s="2" t="n"/>
      <c r="C127" s="2" t="n"/>
      <c r="D127" s="3">
        <f>IF(B127="","",COUNTIF($B$2:$B$500,B127))</f>
        <v/>
      </c>
      <c r="E127" s="3">
        <f>IF(B127="","",IF(COUNTIF($B$2:B127,B127)=1,1,0))</f>
        <v/>
      </c>
      <c r="F127" s="4">
        <f>IF(E127=1,D127-ROW()/100000,"")</f>
        <v/>
      </c>
      <c r="G127" s="3">
        <f>IF(ISNUMBER(C127),COUNTIF($C$2:$C$500,C127),"")</f>
        <v/>
      </c>
      <c r="H127" s="3">
        <f>IF(ISNUMBER(C127),IF(COUNTIF($C$2:C127,C127)=1,1,0),"")</f>
        <v/>
      </c>
    </row>
    <row r="128">
      <c r="A128" s="2" t="n"/>
      <c r="B128" s="2" t="n"/>
      <c r="C128" s="2" t="n"/>
      <c r="D128" s="3">
        <f>IF(B128="","",COUNTIF($B$2:$B$500,B128))</f>
        <v/>
      </c>
      <c r="E128" s="3">
        <f>IF(B128="","",IF(COUNTIF($B$2:B128,B128)=1,1,0))</f>
        <v/>
      </c>
      <c r="F128" s="4">
        <f>IF(E128=1,D128-ROW()/100000,"")</f>
        <v/>
      </c>
      <c r="G128" s="3">
        <f>IF(ISNUMBER(C128),COUNTIF($C$2:$C$500,C128),"")</f>
        <v/>
      </c>
      <c r="H128" s="3">
        <f>IF(ISNUMBER(C128),IF(COUNTIF($C$2:C128,C128)=1,1,0),"")</f>
        <v/>
      </c>
    </row>
    <row r="129">
      <c r="A129" s="2" t="n"/>
      <c r="B129" s="2" t="n"/>
      <c r="C129" s="2" t="n"/>
      <c r="D129" s="3">
        <f>IF(B129="","",COUNTIF($B$2:$B$500,B129))</f>
        <v/>
      </c>
      <c r="E129" s="3">
        <f>IF(B129="","",IF(COUNTIF($B$2:B129,B129)=1,1,0))</f>
        <v/>
      </c>
      <c r="F129" s="4">
        <f>IF(E129=1,D129-ROW()/100000,"")</f>
        <v/>
      </c>
      <c r="G129" s="3">
        <f>IF(ISNUMBER(C129),COUNTIF($C$2:$C$500,C129),"")</f>
        <v/>
      </c>
      <c r="H129" s="3">
        <f>IF(ISNUMBER(C129),IF(COUNTIF($C$2:C129,C129)=1,1,0),"")</f>
        <v/>
      </c>
    </row>
    <row r="130">
      <c r="A130" s="2" t="n"/>
      <c r="B130" s="2" t="n"/>
      <c r="C130" s="2" t="n"/>
      <c r="D130" s="3">
        <f>IF(B130="","",COUNTIF($B$2:$B$500,B130))</f>
        <v/>
      </c>
      <c r="E130" s="3">
        <f>IF(B130="","",IF(COUNTIF($B$2:B130,B130)=1,1,0))</f>
        <v/>
      </c>
      <c r="F130" s="4">
        <f>IF(E130=1,D130-ROW()/100000,"")</f>
        <v/>
      </c>
      <c r="G130" s="3">
        <f>IF(ISNUMBER(C130),COUNTIF($C$2:$C$500,C130),"")</f>
        <v/>
      </c>
      <c r="H130" s="3">
        <f>IF(ISNUMBER(C130),IF(COUNTIF($C$2:C130,C130)=1,1,0),"")</f>
        <v/>
      </c>
    </row>
    <row r="131">
      <c r="A131" s="2" t="n"/>
      <c r="B131" s="2" t="n"/>
      <c r="C131" s="2" t="n"/>
      <c r="D131" s="3">
        <f>IF(B131="","",COUNTIF($B$2:$B$500,B131))</f>
        <v/>
      </c>
      <c r="E131" s="3">
        <f>IF(B131="","",IF(COUNTIF($B$2:B131,B131)=1,1,0))</f>
        <v/>
      </c>
      <c r="F131" s="4">
        <f>IF(E131=1,D131-ROW()/100000,"")</f>
        <v/>
      </c>
      <c r="G131" s="3">
        <f>IF(ISNUMBER(C131),COUNTIF($C$2:$C$500,C131),"")</f>
        <v/>
      </c>
      <c r="H131" s="3">
        <f>IF(ISNUMBER(C131),IF(COUNTIF($C$2:C131,C131)=1,1,0),"")</f>
        <v/>
      </c>
    </row>
    <row r="132">
      <c r="A132" s="2" t="n"/>
      <c r="B132" s="2" t="n"/>
      <c r="C132" s="2" t="n"/>
      <c r="D132" s="3">
        <f>IF(B132="","",COUNTIF($B$2:$B$500,B132))</f>
        <v/>
      </c>
      <c r="E132" s="3">
        <f>IF(B132="","",IF(COUNTIF($B$2:B132,B132)=1,1,0))</f>
        <v/>
      </c>
      <c r="F132" s="4">
        <f>IF(E132=1,D132-ROW()/100000,"")</f>
        <v/>
      </c>
      <c r="G132" s="3">
        <f>IF(ISNUMBER(C132),COUNTIF($C$2:$C$500,C132),"")</f>
        <v/>
      </c>
      <c r="H132" s="3">
        <f>IF(ISNUMBER(C132),IF(COUNTIF($C$2:C132,C132)=1,1,0),"")</f>
        <v/>
      </c>
    </row>
    <row r="133">
      <c r="A133" s="2" t="n"/>
      <c r="B133" s="2" t="n"/>
      <c r="C133" s="2" t="n"/>
      <c r="D133" s="3">
        <f>IF(B133="","",COUNTIF($B$2:$B$500,B133))</f>
        <v/>
      </c>
      <c r="E133" s="3">
        <f>IF(B133="","",IF(COUNTIF($B$2:B133,B133)=1,1,0))</f>
        <v/>
      </c>
      <c r="F133" s="4">
        <f>IF(E133=1,D133-ROW()/100000,"")</f>
        <v/>
      </c>
      <c r="G133" s="3">
        <f>IF(ISNUMBER(C133),COUNTIF($C$2:$C$500,C133),"")</f>
        <v/>
      </c>
      <c r="H133" s="3">
        <f>IF(ISNUMBER(C133),IF(COUNTIF($C$2:C133,C133)=1,1,0),"")</f>
        <v/>
      </c>
    </row>
    <row r="134">
      <c r="A134" s="2" t="n"/>
      <c r="B134" s="2" t="n"/>
      <c r="C134" s="2" t="n"/>
      <c r="D134" s="3">
        <f>IF(B134="","",COUNTIF($B$2:$B$500,B134))</f>
        <v/>
      </c>
      <c r="E134" s="3">
        <f>IF(B134="","",IF(COUNTIF($B$2:B134,B134)=1,1,0))</f>
        <v/>
      </c>
      <c r="F134" s="4">
        <f>IF(E134=1,D134-ROW()/100000,"")</f>
        <v/>
      </c>
      <c r="G134" s="3">
        <f>IF(ISNUMBER(C134),COUNTIF($C$2:$C$500,C134),"")</f>
        <v/>
      </c>
      <c r="H134" s="3">
        <f>IF(ISNUMBER(C134),IF(COUNTIF($C$2:C134,C134)=1,1,0),"")</f>
        <v/>
      </c>
    </row>
    <row r="135">
      <c r="A135" s="2" t="n"/>
      <c r="B135" s="2" t="n"/>
      <c r="C135" s="2" t="n"/>
      <c r="D135" s="3">
        <f>IF(B135="","",COUNTIF($B$2:$B$500,B135))</f>
        <v/>
      </c>
      <c r="E135" s="3">
        <f>IF(B135="","",IF(COUNTIF($B$2:B135,B135)=1,1,0))</f>
        <v/>
      </c>
      <c r="F135" s="4">
        <f>IF(E135=1,D135-ROW()/100000,"")</f>
        <v/>
      </c>
      <c r="G135" s="3">
        <f>IF(ISNUMBER(C135),COUNTIF($C$2:$C$500,C135),"")</f>
        <v/>
      </c>
      <c r="H135" s="3">
        <f>IF(ISNUMBER(C135),IF(COUNTIF($C$2:C135,C135)=1,1,0),"")</f>
        <v/>
      </c>
    </row>
    <row r="136">
      <c r="A136" s="2" t="n"/>
      <c r="B136" s="2" t="n"/>
      <c r="C136" s="2" t="n"/>
      <c r="D136" s="3">
        <f>IF(B136="","",COUNTIF($B$2:$B$500,B136))</f>
        <v/>
      </c>
      <c r="E136" s="3">
        <f>IF(B136="","",IF(COUNTIF($B$2:B136,B136)=1,1,0))</f>
        <v/>
      </c>
      <c r="F136" s="4">
        <f>IF(E136=1,D136-ROW()/100000,"")</f>
        <v/>
      </c>
      <c r="G136" s="3">
        <f>IF(ISNUMBER(C136),COUNTIF($C$2:$C$500,C136),"")</f>
        <v/>
      </c>
      <c r="H136" s="3">
        <f>IF(ISNUMBER(C136),IF(COUNTIF($C$2:C136,C136)=1,1,0),"")</f>
        <v/>
      </c>
    </row>
    <row r="137">
      <c r="A137" s="2" t="n"/>
      <c r="B137" s="2" t="n"/>
      <c r="C137" s="2" t="n"/>
      <c r="D137" s="3">
        <f>IF(B137="","",COUNTIF($B$2:$B$500,B137))</f>
        <v/>
      </c>
      <c r="E137" s="3">
        <f>IF(B137="","",IF(COUNTIF($B$2:B137,B137)=1,1,0))</f>
        <v/>
      </c>
      <c r="F137" s="4">
        <f>IF(E137=1,D137-ROW()/100000,"")</f>
        <v/>
      </c>
      <c r="G137" s="3">
        <f>IF(ISNUMBER(C137),COUNTIF($C$2:$C$500,C137),"")</f>
        <v/>
      </c>
      <c r="H137" s="3">
        <f>IF(ISNUMBER(C137),IF(COUNTIF($C$2:C137,C137)=1,1,0),"")</f>
        <v/>
      </c>
    </row>
    <row r="138">
      <c r="A138" s="2" t="n"/>
      <c r="B138" s="2" t="n"/>
      <c r="C138" s="2" t="n"/>
      <c r="D138" s="3">
        <f>IF(B138="","",COUNTIF($B$2:$B$500,B138))</f>
        <v/>
      </c>
      <c r="E138" s="3">
        <f>IF(B138="","",IF(COUNTIF($B$2:B138,B138)=1,1,0))</f>
        <v/>
      </c>
      <c r="F138" s="4">
        <f>IF(E138=1,D138-ROW()/100000,"")</f>
        <v/>
      </c>
      <c r="G138" s="3">
        <f>IF(ISNUMBER(C138),COUNTIF($C$2:$C$500,C138),"")</f>
        <v/>
      </c>
      <c r="H138" s="3">
        <f>IF(ISNUMBER(C138),IF(COUNTIF($C$2:C138,C138)=1,1,0),"")</f>
        <v/>
      </c>
    </row>
    <row r="139">
      <c r="A139" s="2" t="n"/>
      <c r="B139" s="2" t="n"/>
      <c r="C139" s="2" t="n"/>
      <c r="D139" s="3">
        <f>IF(B139="","",COUNTIF($B$2:$B$500,B139))</f>
        <v/>
      </c>
      <c r="E139" s="3">
        <f>IF(B139="","",IF(COUNTIF($B$2:B139,B139)=1,1,0))</f>
        <v/>
      </c>
      <c r="F139" s="4">
        <f>IF(E139=1,D139-ROW()/100000,"")</f>
        <v/>
      </c>
      <c r="G139" s="3">
        <f>IF(ISNUMBER(C139),COUNTIF($C$2:$C$500,C139),"")</f>
        <v/>
      </c>
      <c r="H139" s="3">
        <f>IF(ISNUMBER(C139),IF(COUNTIF($C$2:C139,C139)=1,1,0),"")</f>
        <v/>
      </c>
    </row>
    <row r="140">
      <c r="A140" s="2" t="n"/>
      <c r="B140" s="2" t="n"/>
      <c r="C140" s="2" t="n"/>
      <c r="D140" s="3">
        <f>IF(B140="","",COUNTIF($B$2:$B$500,B140))</f>
        <v/>
      </c>
      <c r="E140" s="3">
        <f>IF(B140="","",IF(COUNTIF($B$2:B140,B140)=1,1,0))</f>
        <v/>
      </c>
      <c r="F140" s="4">
        <f>IF(E140=1,D140-ROW()/100000,"")</f>
        <v/>
      </c>
      <c r="G140" s="3">
        <f>IF(ISNUMBER(C140),COUNTIF($C$2:$C$500,C140),"")</f>
        <v/>
      </c>
      <c r="H140" s="3">
        <f>IF(ISNUMBER(C140),IF(COUNTIF($C$2:C140,C140)=1,1,0),"")</f>
        <v/>
      </c>
    </row>
    <row r="141">
      <c r="A141" s="2" t="n"/>
      <c r="B141" s="2" t="n"/>
      <c r="C141" s="2" t="n"/>
      <c r="D141" s="3">
        <f>IF(B141="","",COUNTIF($B$2:$B$500,B141))</f>
        <v/>
      </c>
      <c r="E141" s="3">
        <f>IF(B141="","",IF(COUNTIF($B$2:B141,B141)=1,1,0))</f>
        <v/>
      </c>
      <c r="F141" s="4">
        <f>IF(E141=1,D141-ROW()/100000,"")</f>
        <v/>
      </c>
      <c r="G141" s="3">
        <f>IF(ISNUMBER(C141),COUNTIF($C$2:$C$500,C141),"")</f>
        <v/>
      </c>
      <c r="H141" s="3">
        <f>IF(ISNUMBER(C141),IF(COUNTIF($C$2:C141,C141)=1,1,0),"")</f>
        <v/>
      </c>
    </row>
    <row r="142">
      <c r="A142" s="2" t="n"/>
      <c r="B142" s="2" t="n"/>
      <c r="C142" s="2" t="n"/>
      <c r="D142" s="3">
        <f>IF(B142="","",COUNTIF($B$2:$B$500,B142))</f>
        <v/>
      </c>
      <c r="E142" s="3">
        <f>IF(B142="","",IF(COUNTIF($B$2:B142,B142)=1,1,0))</f>
        <v/>
      </c>
      <c r="F142" s="4">
        <f>IF(E142=1,D142-ROW()/100000,"")</f>
        <v/>
      </c>
      <c r="G142" s="3">
        <f>IF(ISNUMBER(C142),COUNTIF($C$2:$C$500,C142),"")</f>
        <v/>
      </c>
      <c r="H142" s="3">
        <f>IF(ISNUMBER(C142),IF(COUNTIF($C$2:C142,C142)=1,1,0),"")</f>
        <v/>
      </c>
    </row>
    <row r="143">
      <c r="A143" s="2" t="n"/>
      <c r="B143" s="2" t="n"/>
      <c r="C143" s="2" t="n"/>
      <c r="D143" s="3">
        <f>IF(B143="","",COUNTIF($B$2:$B$500,B143))</f>
        <v/>
      </c>
      <c r="E143" s="3">
        <f>IF(B143="","",IF(COUNTIF($B$2:B143,B143)=1,1,0))</f>
        <v/>
      </c>
      <c r="F143" s="4">
        <f>IF(E143=1,D143-ROW()/100000,"")</f>
        <v/>
      </c>
      <c r="G143" s="3">
        <f>IF(ISNUMBER(C143),COUNTIF($C$2:$C$500,C143),"")</f>
        <v/>
      </c>
      <c r="H143" s="3">
        <f>IF(ISNUMBER(C143),IF(COUNTIF($C$2:C143,C143)=1,1,0),"")</f>
        <v/>
      </c>
    </row>
    <row r="144">
      <c r="A144" s="2" t="n"/>
      <c r="B144" s="2" t="n"/>
      <c r="C144" s="2" t="n"/>
      <c r="D144" s="3">
        <f>IF(B144="","",COUNTIF($B$2:$B$500,B144))</f>
        <v/>
      </c>
      <c r="E144" s="3">
        <f>IF(B144="","",IF(COUNTIF($B$2:B144,B144)=1,1,0))</f>
        <v/>
      </c>
      <c r="F144" s="4">
        <f>IF(E144=1,D144-ROW()/100000,"")</f>
        <v/>
      </c>
      <c r="G144" s="3">
        <f>IF(ISNUMBER(C144),COUNTIF($C$2:$C$500,C144),"")</f>
        <v/>
      </c>
      <c r="H144" s="3">
        <f>IF(ISNUMBER(C144),IF(COUNTIF($C$2:C144,C144)=1,1,0),"")</f>
        <v/>
      </c>
    </row>
    <row r="145">
      <c r="A145" s="2" t="n"/>
      <c r="B145" s="2" t="n"/>
      <c r="C145" s="2" t="n"/>
      <c r="D145" s="3">
        <f>IF(B145="","",COUNTIF($B$2:$B$500,B145))</f>
        <v/>
      </c>
      <c r="E145" s="3">
        <f>IF(B145="","",IF(COUNTIF($B$2:B145,B145)=1,1,0))</f>
        <v/>
      </c>
      <c r="F145" s="4">
        <f>IF(E145=1,D145-ROW()/100000,"")</f>
        <v/>
      </c>
      <c r="G145" s="3">
        <f>IF(ISNUMBER(C145),COUNTIF($C$2:$C$500,C145),"")</f>
        <v/>
      </c>
      <c r="H145" s="3">
        <f>IF(ISNUMBER(C145),IF(COUNTIF($C$2:C145,C145)=1,1,0),"")</f>
        <v/>
      </c>
    </row>
    <row r="146">
      <c r="A146" s="2" t="n"/>
      <c r="B146" s="2" t="n"/>
      <c r="C146" s="2" t="n"/>
      <c r="D146" s="3">
        <f>IF(B146="","",COUNTIF($B$2:$B$500,B146))</f>
        <v/>
      </c>
      <c r="E146" s="3">
        <f>IF(B146="","",IF(COUNTIF($B$2:B146,B146)=1,1,0))</f>
        <v/>
      </c>
      <c r="F146" s="4">
        <f>IF(E146=1,D146-ROW()/100000,"")</f>
        <v/>
      </c>
      <c r="G146" s="3">
        <f>IF(ISNUMBER(C146),COUNTIF($C$2:$C$500,C146),"")</f>
        <v/>
      </c>
      <c r="H146" s="3">
        <f>IF(ISNUMBER(C146),IF(COUNTIF($C$2:C146,C146)=1,1,0),"")</f>
        <v/>
      </c>
    </row>
    <row r="147">
      <c r="A147" s="2" t="n"/>
      <c r="B147" s="2" t="n"/>
      <c r="C147" s="2" t="n"/>
      <c r="D147" s="3">
        <f>IF(B147="","",COUNTIF($B$2:$B$500,B147))</f>
        <v/>
      </c>
      <c r="E147" s="3">
        <f>IF(B147="","",IF(COUNTIF($B$2:B147,B147)=1,1,0))</f>
        <v/>
      </c>
      <c r="F147" s="4">
        <f>IF(E147=1,D147-ROW()/100000,"")</f>
        <v/>
      </c>
      <c r="G147" s="3">
        <f>IF(ISNUMBER(C147),COUNTIF($C$2:$C$500,C147),"")</f>
        <v/>
      </c>
      <c r="H147" s="3">
        <f>IF(ISNUMBER(C147),IF(COUNTIF($C$2:C147,C147)=1,1,0),"")</f>
        <v/>
      </c>
    </row>
    <row r="148">
      <c r="A148" s="2" t="n"/>
      <c r="B148" s="2" t="n"/>
      <c r="C148" s="2" t="n"/>
      <c r="D148" s="3">
        <f>IF(B148="","",COUNTIF($B$2:$B$500,B148))</f>
        <v/>
      </c>
      <c r="E148" s="3">
        <f>IF(B148="","",IF(COUNTIF($B$2:B148,B148)=1,1,0))</f>
        <v/>
      </c>
      <c r="F148" s="4">
        <f>IF(E148=1,D148-ROW()/100000,"")</f>
        <v/>
      </c>
      <c r="G148" s="3">
        <f>IF(ISNUMBER(C148),COUNTIF($C$2:$C$500,C148),"")</f>
        <v/>
      </c>
      <c r="H148" s="3">
        <f>IF(ISNUMBER(C148),IF(COUNTIF($C$2:C148,C148)=1,1,0),"")</f>
        <v/>
      </c>
    </row>
    <row r="149">
      <c r="A149" s="2" t="n"/>
      <c r="B149" s="2" t="n"/>
      <c r="C149" s="2" t="n"/>
      <c r="D149" s="3">
        <f>IF(B149="","",COUNTIF($B$2:$B$500,B149))</f>
        <v/>
      </c>
      <c r="E149" s="3">
        <f>IF(B149="","",IF(COUNTIF($B$2:B149,B149)=1,1,0))</f>
        <v/>
      </c>
      <c r="F149" s="4">
        <f>IF(E149=1,D149-ROW()/100000,"")</f>
        <v/>
      </c>
      <c r="G149" s="3">
        <f>IF(ISNUMBER(C149),COUNTIF($C$2:$C$500,C149),"")</f>
        <v/>
      </c>
      <c r="H149" s="3">
        <f>IF(ISNUMBER(C149),IF(COUNTIF($C$2:C149,C149)=1,1,0),"")</f>
        <v/>
      </c>
    </row>
    <row r="150">
      <c r="A150" s="2" t="n"/>
      <c r="B150" s="2" t="n"/>
      <c r="C150" s="2" t="n"/>
      <c r="D150" s="3">
        <f>IF(B150="","",COUNTIF($B$2:$B$500,B150))</f>
        <v/>
      </c>
      <c r="E150" s="3">
        <f>IF(B150="","",IF(COUNTIF($B$2:B150,B150)=1,1,0))</f>
        <v/>
      </c>
      <c r="F150" s="4">
        <f>IF(E150=1,D150-ROW()/100000,"")</f>
        <v/>
      </c>
      <c r="G150" s="3">
        <f>IF(ISNUMBER(C150),COUNTIF($C$2:$C$500,C150),"")</f>
        <v/>
      </c>
      <c r="H150" s="3">
        <f>IF(ISNUMBER(C150),IF(COUNTIF($C$2:C150,C150)=1,1,0),"")</f>
        <v/>
      </c>
    </row>
    <row r="151">
      <c r="A151" s="2" t="n"/>
      <c r="B151" s="2" t="n"/>
      <c r="C151" s="2" t="n"/>
      <c r="D151" s="3">
        <f>IF(B151="","",COUNTIF($B$2:$B$500,B151))</f>
        <v/>
      </c>
      <c r="E151" s="3">
        <f>IF(B151="","",IF(COUNTIF($B$2:B151,B151)=1,1,0))</f>
        <v/>
      </c>
      <c r="F151" s="4">
        <f>IF(E151=1,D151-ROW()/100000,"")</f>
        <v/>
      </c>
      <c r="G151" s="3">
        <f>IF(ISNUMBER(C151),COUNTIF($C$2:$C$500,C151),"")</f>
        <v/>
      </c>
      <c r="H151" s="3">
        <f>IF(ISNUMBER(C151),IF(COUNTIF($C$2:C151,C151)=1,1,0),"")</f>
        <v/>
      </c>
    </row>
    <row r="152">
      <c r="A152" s="2" t="n"/>
      <c r="B152" s="2" t="n"/>
      <c r="C152" s="2" t="n"/>
      <c r="D152" s="3">
        <f>IF(B152="","",COUNTIF($B$2:$B$500,B152))</f>
        <v/>
      </c>
      <c r="E152" s="3">
        <f>IF(B152="","",IF(COUNTIF($B$2:B152,B152)=1,1,0))</f>
        <v/>
      </c>
      <c r="F152" s="4">
        <f>IF(E152=1,D152-ROW()/100000,"")</f>
        <v/>
      </c>
      <c r="G152" s="3">
        <f>IF(ISNUMBER(C152),COUNTIF($C$2:$C$500,C152),"")</f>
        <v/>
      </c>
      <c r="H152" s="3">
        <f>IF(ISNUMBER(C152),IF(COUNTIF($C$2:C152,C152)=1,1,0),"")</f>
        <v/>
      </c>
    </row>
    <row r="153">
      <c r="A153" s="2" t="n"/>
      <c r="B153" s="2" t="n"/>
      <c r="C153" s="2" t="n"/>
      <c r="D153" s="3">
        <f>IF(B153="","",COUNTIF($B$2:$B$500,B153))</f>
        <v/>
      </c>
      <c r="E153" s="3">
        <f>IF(B153="","",IF(COUNTIF($B$2:B153,B153)=1,1,0))</f>
        <v/>
      </c>
      <c r="F153" s="4">
        <f>IF(E153=1,D153-ROW()/100000,"")</f>
        <v/>
      </c>
      <c r="G153" s="3">
        <f>IF(ISNUMBER(C153),COUNTIF($C$2:$C$500,C153),"")</f>
        <v/>
      </c>
      <c r="H153" s="3">
        <f>IF(ISNUMBER(C153),IF(COUNTIF($C$2:C153,C153)=1,1,0),"")</f>
        <v/>
      </c>
    </row>
    <row r="154">
      <c r="A154" s="2" t="n"/>
      <c r="B154" s="2" t="n"/>
      <c r="C154" s="2" t="n"/>
      <c r="D154" s="3">
        <f>IF(B154="","",COUNTIF($B$2:$B$500,B154))</f>
        <v/>
      </c>
      <c r="E154" s="3">
        <f>IF(B154="","",IF(COUNTIF($B$2:B154,B154)=1,1,0))</f>
        <v/>
      </c>
      <c r="F154" s="4">
        <f>IF(E154=1,D154-ROW()/100000,"")</f>
        <v/>
      </c>
      <c r="G154" s="3">
        <f>IF(ISNUMBER(C154),COUNTIF($C$2:$C$500,C154),"")</f>
        <v/>
      </c>
      <c r="H154" s="3">
        <f>IF(ISNUMBER(C154),IF(COUNTIF($C$2:C154,C154)=1,1,0),"")</f>
        <v/>
      </c>
    </row>
    <row r="155">
      <c r="A155" s="2" t="n"/>
      <c r="B155" s="2" t="n"/>
      <c r="C155" s="2" t="n"/>
      <c r="D155" s="3">
        <f>IF(B155="","",COUNTIF($B$2:$B$500,B155))</f>
        <v/>
      </c>
      <c r="E155" s="3">
        <f>IF(B155="","",IF(COUNTIF($B$2:B155,B155)=1,1,0))</f>
        <v/>
      </c>
      <c r="F155" s="4">
        <f>IF(E155=1,D155-ROW()/100000,"")</f>
        <v/>
      </c>
      <c r="G155" s="3">
        <f>IF(ISNUMBER(C155),COUNTIF($C$2:$C$500,C155),"")</f>
        <v/>
      </c>
      <c r="H155" s="3">
        <f>IF(ISNUMBER(C155),IF(COUNTIF($C$2:C155,C155)=1,1,0),"")</f>
        <v/>
      </c>
    </row>
    <row r="156">
      <c r="A156" s="2" t="n"/>
      <c r="B156" s="2" t="n"/>
      <c r="C156" s="2" t="n"/>
      <c r="D156" s="3">
        <f>IF(B156="","",COUNTIF($B$2:$B$500,B156))</f>
        <v/>
      </c>
      <c r="E156" s="3">
        <f>IF(B156="","",IF(COUNTIF($B$2:B156,B156)=1,1,0))</f>
        <v/>
      </c>
      <c r="F156" s="4">
        <f>IF(E156=1,D156-ROW()/100000,"")</f>
        <v/>
      </c>
      <c r="G156" s="3">
        <f>IF(ISNUMBER(C156),COUNTIF($C$2:$C$500,C156),"")</f>
        <v/>
      </c>
      <c r="H156" s="3">
        <f>IF(ISNUMBER(C156),IF(COUNTIF($C$2:C156,C156)=1,1,0),"")</f>
        <v/>
      </c>
    </row>
    <row r="157">
      <c r="A157" s="2" t="n"/>
      <c r="B157" s="2" t="n"/>
      <c r="C157" s="2" t="n"/>
      <c r="D157" s="3">
        <f>IF(B157="","",COUNTIF($B$2:$B$500,B157))</f>
        <v/>
      </c>
      <c r="E157" s="3">
        <f>IF(B157="","",IF(COUNTIF($B$2:B157,B157)=1,1,0))</f>
        <v/>
      </c>
      <c r="F157" s="4">
        <f>IF(E157=1,D157-ROW()/100000,"")</f>
        <v/>
      </c>
      <c r="G157" s="3">
        <f>IF(ISNUMBER(C157),COUNTIF($C$2:$C$500,C157),"")</f>
        <v/>
      </c>
      <c r="H157" s="3">
        <f>IF(ISNUMBER(C157),IF(COUNTIF($C$2:C157,C157)=1,1,0),"")</f>
        <v/>
      </c>
    </row>
    <row r="158">
      <c r="A158" s="2" t="n"/>
      <c r="B158" s="2" t="n"/>
      <c r="C158" s="2" t="n"/>
      <c r="D158" s="3">
        <f>IF(B158="","",COUNTIF($B$2:$B$500,B158))</f>
        <v/>
      </c>
      <c r="E158" s="3">
        <f>IF(B158="","",IF(COUNTIF($B$2:B158,B158)=1,1,0))</f>
        <v/>
      </c>
      <c r="F158" s="4">
        <f>IF(E158=1,D158-ROW()/100000,"")</f>
        <v/>
      </c>
      <c r="G158" s="3">
        <f>IF(ISNUMBER(C158),COUNTIF($C$2:$C$500,C158),"")</f>
        <v/>
      </c>
      <c r="H158" s="3">
        <f>IF(ISNUMBER(C158),IF(COUNTIF($C$2:C158,C158)=1,1,0),"")</f>
        <v/>
      </c>
    </row>
    <row r="159">
      <c r="A159" s="2" t="n"/>
      <c r="B159" s="2" t="n"/>
      <c r="C159" s="2" t="n"/>
      <c r="D159" s="3">
        <f>IF(B159="","",COUNTIF($B$2:$B$500,B159))</f>
        <v/>
      </c>
      <c r="E159" s="3">
        <f>IF(B159="","",IF(COUNTIF($B$2:B159,B159)=1,1,0))</f>
        <v/>
      </c>
      <c r="F159" s="4">
        <f>IF(E159=1,D159-ROW()/100000,"")</f>
        <v/>
      </c>
      <c r="G159" s="3">
        <f>IF(ISNUMBER(C159),COUNTIF($C$2:$C$500,C159),"")</f>
        <v/>
      </c>
      <c r="H159" s="3">
        <f>IF(ISNUMBER(C159),IF(COUNTIF($C$2:C159,C159)=1,1,0),"")</f>
        <v/>
      </c>
    </row>
    <row r="160">
      <c r="A160" s="2" t="n"/>
      <c r="B160" s="2" t="n"/>
      <c r="C160" s="2" t="n"/>
      <c r="D160" s="3">
        <f>IF(B160="","",COUNTIF($B$2:$B$500,B160))</f>
        <v/>
      </c>
      <c r="E160" s="3">
        <f>IF(B160="","",IF(COUNTIF($B$2:B160,B160)=1,1,0))</f>
        <v/>
      </c>
      <c r="F160" s="4">
        <f>IF(E160=1,D160-ROW()/100000,"")</f>
        <v/>
      </c>
      <c r="G160" s="3">
        <f>IF(ISNUMBER(C160),COUNTIF($C$2:$C$500,C160),"")</f>
        <v/>
      </c>
      <c r="H160" s="3">
        <f>IF(ISNUMBER(C160),IF(COUNTIF($C$2:C160,C160)=1,1,0),"")</f>
        <v/>
      </c>
    </row>
    <row r="161">
      <c r="A161" s="2" t="n"/>
      <c r="B161" s="2" t="n"/>
      <c r="C161" s="2" t="n"/>
      <c r="D161" s="3">
        <f>IF(B161="","",COUNTIF($B$2:$B$500,B161))</f>
        <v/>
      </c>
      <c r="E161" s="3">
        <f>IF(B161="","",IF(COUNTIF($B$2:B161,B161)=1,1,0))</f>
        <v/>
      </c>
      <c r="F161" s="4">
        <f>IF(E161=1,D161-ROW()/100000,"")</f>
        <v/>
      </c>
      <c r="G161" s="3">
        <f>IF(ISNUMBER(C161),COUNTIF($C$2:$C$500,C161),"")</f>
        <v/>
      </c>
      <c r="H161" s="3">
        <f>IF(ISNUMBER(C161),IF(COUNTIF($C$2:C161,C161)=1,1,0),"")</f>
        <v/>
      </c>
    </row>
    <row r="162">
      <c r="A162" s="2" t="n"/>
      <c r="B162" s="2" t="n"/>
      <c r="C162" s="2" t="n"/>
      <c r="D162" s="3">
        <f>IF(B162="","",COUNTIF($B$2:$B$500,B162))</f>
        <v/>
      </c>
      <c r="E162" s="3">
        <f>IF(B162="","",IF(COUNTIF($B$2:B162,B162)=1,1,0))</f>
        <v/>
      </c>
      <c r="F162" s="4">
        <f>IF(E162=1,D162-ROW()/100000,"")</f>
        <v/>
      </c>
      <c r="G162" s="3">
        <f>IF(ISNUMBER(C162),COUNTIF($C$2:$C$500,C162),"")</f>
        <v/>
      </c>
      <c r="H162" s="3">
        <f>IF(ISNUMBER(C162),IF(COUNTIF($C$2:C162,C162)=1,1,0),"")</f>
        <v/>
      </c>
    </row>
    <row r="163">
      <c r="A163" s="2" t="n"/>
      <c r="B163" s="2" t="n"/>
      <c r="C163" s="2" t="n"/>
      <c r="D163" s="3">
        <f>IF(B163="","",COUNTIF($B$2:$B$500,B163))</f>
        <v/>
      </c>
      <c r="E163" s="3">
        <f>IF(B163="","",IF(COUNTIF($B$2:B163,B163)=1,1,0))</f>
        <v/>
      </c>
      <c r="F163" s="4">
        <f>IF(E163=1,D163-ROW()/100000,"")</f>
        <v/>
      </c>
      <c r="G163" s="3">
        <f>IF(ISNUMBER(C163),COUNTIF($C$2:$C$500,C163),"")</f>
        <v/>
      </c>
      <c r="H163" s="3">
        <f>IF(ISNUMBER(C163),IF(COUNTIF($C$2:C163,C163)=1,1,0),"")</f>
        <v/>
      </c>
    </row>
    <row r="164">
      <c r="A164" s="2" t="n"/>
      <c r="B164" s="2" t="n"/>
      <c r="C164" s="2" t="n"/>
      <c r="D164" s="3">
        <f>IF(B164="","",COUNTIF($B$2:$B$500,B164))</f>
        <v/>
      </c>
      <c r="E164" s="3">
        <f>IF(B164="","",IF(COUNTIF($B$2:B164,B164)=1,1,0))</f>
        <v/>
      </c>
      <c r="F164" s="4">
        <f>IF(E164=1,D164-ROW()/100000,"")</f>
        <v/>
      </c>
      <c r="G164" s="3">
        <f>IF(ISNUMBER(C164),COUNTIF($C$2:$C$500,C164),"")</f>
        <v/>
      </c>
      <c r="H164" s="3">
        <f>IF(ISNUMBER(C164),IF(COUNTIF($C$2:C164,C164)=1,1,0),"")</f>
        <v/>
      </c>
    </row>
    <row r="165">
      <c r="A165" s="2" t="n"/>
      <c r="B165" s="2" t="n"/>
      <c r="C165" s="2" t="n"/>
      <c r="D165" s="3">
        <f>IF(B165="","",COUNTIF($B$2:$B$500,B165))</f>
        <v/>
      </c>
      <c r="E165" s="3">
        <f>IF(B165="","",IF(COUNTIF($B$2:B165,B165)=1,1,0))</f>
        <v/>
      </c>
      <c r="F165" s="4">
        <f>IF(E165=1,D165-ROW()/100000,"")</f>
        <v/>
      </c>
      <c r="G165" s="3">
        <f>IF(ISNUMBER(C165),COUNTIF($C$2:$C$500,C165),"")</f>
        <v/>
      </c>
      <c r="H165" s="3">
        <f>IF(ISNUMBER(C165),IF(COUNTIF($C$2:C165,C165)=1,1,0),"")</f>
        <v/>
      </c>
    </row>
    <row r="166">
      <c r="A166" s="2" t="n"/>
      <c r="B166" s="2" t="n"/>
      <c r="C166" s="2" t="n"/>
      <c r="D166" s="3">
        <f>IF(B166="","",COUNTIF($B$2:$B$500,B166))</f>
        <v/>
      </c>
      <c r="E166" s="3">
        <f>IF(B166="","",IF(COUNTIF($B$2:B166,B166)=1,1,0))</f>
        <v/>
      </c>
      <c r="F166" s="4">
        <f>IF(E166=1,D166-ROW()/100000,"")</f>
        <v/>
      </c>
      <c r="G166" s="3">
        <f>IF(ISNUMBER(C166),COUNTIF($C$2:$C$500,C166),"")</f>
        <v/>
      </c>
      <c r="H166" s="3">
        <f>IF(ISNUMBER(C166),IF(COUNTIF($C$2:C166,C166)=1,1,0),"")</f>
        <v/>
      </c>
    </row>
    <row r="167">
      <c r="A167" s="2" t="n"/>
      <c r="B167" s="2" t="n"/>
      <c r="C167" s="2" t="n"/>
      <c r="D167" s="3">
        <f>IF(B167="","",COUNTIF($B$2:$B$500,B167))</f>
        <v/>
      </c>
      <c r="E167" s="3">
        <f>IF(B167="","",IF(COUNTIF($B$2:B167,B167)=1,1,0))</f>
        <v/>
      </c>
      <c r="F167" s="4">
        <f>IF(E167=1,D167-ROW()/100000,"")</f>
        <v/>
      </c>
      <c r="G167" s="3">
        <f>IF(ISNUMBER(C167),COUNTIF($C$2:$C$500,C167),"")</f>
        <v/>
      </c>
      <c r="H167" s="3">
        <f>IF(ISNUMBER(C167),IF(COUNTIF($C$2:C167,C167)=1,1,0),"")</f>
        <v/>
      </c>
    </row>
    <row r="168">
      <c r="A168" s="2" t="n"/>
      <c r="B168" s="2" t="n"/>
      <c r="C168" s="2" t="n"/>
      <c r="D168" s="3">
        <f>IF(B168="","",COUNTIF($B$2:$B$500,B168))</f>
        <v/>
      </c>
      <c r="E168" s="3">
        <f>IF(B168="","",IF(COUNTIF($B$2:B168,B168)=1,1,0))</f>
        <v/>
      </c>
      <c r="F168" s="4">
        <f>IF(E168=1,D168-ROW()/100000,"")</f>
        <v/>
      </c>
      <c r="G168" s="3">
        <f>IF(ISNUMBER(C168),COUNTIF($C$2:$C$500,C168),"")</f>
        <v/>
      </c>
      <c r="H168" s="3">
        <f>IF(ISNUMBER(C168),IF(COUNTIF($C$2:C168,C168)=1,1,0),"")</f>
        <v/>
      </c>
    </row>
    <row r="169">
      <c r="A169" s="2" t="n"/>
      <c r="B169" s="2" t="n"/>
      <c r="C169" s="2" t="n"/>
      <c r="D169" s="3">
        <f>IF(B169="","",COUNTIF($B$2:$B$500,B169))</f>
        <v/>
      </c>
      <c r="E169" s="3">
        <f>IF(B169="","",IF(COUNTIF($B$2:B169,B169)=1,1,0))</f>
        <v/>
      </c>
      <c r="F169" s="4">
        <f>IF(E169=1,D169-ROW()/100000,"")</f>
        <v/>
      </c>
      <c r="G169" s="3">
        <f>IF(ISNUMBER(C169),COUNTIF($C$2:$C$500,C169),"")</f>
        <v/>
      </c>
      <c r="H169" s="3">
        <f>IF(ISNUMBER(C169),IF(COUNTIF($C$2:C169,C169)=1,1,0),"")</f>
        <v/>
      </c>
    </row>
    <row r="170">
      <c r="A170" s="2" t="n"/>
      <c r="B170" s="2" t="n"/>
      <c r="C170" s="2" t="n"/>
      <c r="D170" s="3">
        <f>IF(B170="","",COUNTIF($B$2:$B$500,B170))</f>
        <v/>
      </c>
      <c r="E170" s="3">
        <f>IF(B170="","",IF(COUNTIF($B$2:B170,B170)=1,1,0))</f>
        <v/>
      </c>
      <c r="F170" s="4">
        <f>IF(E170=1,D170-ROW()/100000,"")</f>
        <v/>
      </c>
      <c r="G170" s="3">
        <f>IF(ISNUMBER(C170),COUNTIF($C$2:$C$500,C170),"")</f>
        <v/>
      </c>
      <c r="H170" s="3">
        <f>IF(ISNUMBER(C170),IF(COUNTIF($C$2:C170,C170)=1,1,0),"")</f>
        <v/>
      </c>
    </row>
    <row r="171">
      <c r="A171" s="2" t="n"/>
      <c r="B171" s="2" t="n"/>
      <c r="C171" s="2" t="n"/>
      <c r="D171" s="3">
        <f>IF(B171="","",COUNTIF($B$2:$B$500,B171))</f>
        <v/>
      </c>
      <c r="E171" s="3">
        <f>IF(B171="","",IF(COUNTIF($B$2:B171,B171)=1,1,0))</f>
        <v/>
      </c>
      <c r="F171" s="4">
        <f>IF(E171=1,D171-ROW()/100000,"")</f>
        <v/>
      </c>
      <c r="G171" s="3">
        <f>IF(ISNUMBER(C171),COUNTIF($C$2:$C$500,C171),"")</f>
        <v/>
      </c>
      <c r="H171" s="3">
        <f>IF(ISNUMBER(C171),IF(COUNTIF($C$2:C171,C171)=1,1,0),"")</f>
        <v/>
      </c>
    </row>
    <row r="172">
      <c r="A172" s="2" t="n"/>
      <c r="B172" s="2" t="n"/>
      <c r="C172" s="2" t="n"/>
      <c r="D172" s="3">
        <f>IF(B172="","",COUNTIF($B$2:$B$500,B172))</f>
        <v/>
      </c>
      <c r="E172" s="3">
        <f>IF(B172="","",IF(COUNTIF($B$2:B172,B172)=1,1,0))</f>
        <v/>
      </c>
      <c r="F172" s="4">
        <f>IF(E172=1,D172-ROW()/100000,"")</f>
        <v/>
      </c>
      <c r="G172" s="3">
        <f>IF(ISNUMBER(C172),COUNTIF($C$2:$C$500,C172),"")</f>
        <v/>
      </c>
      <c r="H172" s="3">
        <f>IF(ISNUMBER(C172),IF(COUNTIF($C$2:C172,C172)=1,1,0),"")</f>
        <v/>
      </c>
    </row>
    <row r="173">
      <c r="A173" s="2" t="n"/>
      <c r="B173" s="2" t="n"/>
      <c r="C173" s="2" t="n"/>
      <c r="D173" s="3">
        <f>IF(B173="","",COUNTIF($B$2:$B$500,B173))</f>
        <v/>
      </c>
      <c r="E173" s="3">
        <f>IF(B173="","",IF(COUNTIF($B$2:B173,B173)=1,1,0))</f>
        <v/>
      </c>
      <c r="F173" s="4">
        <f>IF(E173=1,D173-ROW()/100000,"")</f>
        <v/>
      </c>
      <c r="G173" s="3">
        <f>IF(ISNUMBER(C173),COUNTIF($C$2:$C$500,C173),"")</f>
        <v/>
      </c>
      <c r="H173" s="3">
        <f>IF(ISNUMBER(C173),IF(COUNTIF($C$2:C173,C173)=1,1,0),"")</f>
        <v/>
      </c>
    </row>
    <row r="174">
      <c r="A174" s="2" t="n"/>
      <c r="B174" s="2" t="n"/>
      <c r="C174" s="2" t="n"/>
      <c r="D174" s="3">
        <f>IF(B174="","",COUNTIF($B$2:$B$500,B174))</f>
        <v/>
      </c>
      <c r="E174" s="3">
        <f>IF(B174="","",IF(COUNTIF($B$2:B174,B174)=1,1,0))</f>
        <v/>
      </c>
      <c r="F174" s="4">
        <f>IF(E174=1,D174-ROW()/100000,"")</f>
        <v/>
      </c>
      <c r="G174" s="3">
        <f>IF(ISNUMBER(C174),COUNTIF($C$2:$C$500,C174),"")</f>
        <v/>
      </c>
      <c r="H174" s="3">
        <f>IF(ISNUMBER(C174),IF(COUNTIF($C$2:C174,C174)=1,1,0),"")</f>
        <v/>
      </c>
    </row>
    <row r="175">
      <c r="A175" s="2" t="n"/>
      <c r="B175" s="2" t="n"/>
      <c r="C175" s="2" t="n"/>
      <c r="D175" s="3">
        <f>IF(B175="","",COUNTIF($B$2:$B$500,B175))</f>
        <v/>
      </c>
      <c r="E175" s="3">
        <f>IF(B175="","",IF(COUNTIF($B$2:B175,B175)=1,1,0))</f>
        <v/>
      </c>
      <c r="F175" s="4">
        <f>IF(E175=1,D175-ROW()/100000,"")</f>
        <v/>
      </c>
      <c r="G175" s="3">
        <f>IF(ISNUMBER(C175),COUNTIF($C$2:$C$500,C175),"")</f>
        <v/>
      </c>
      <c r="H175" s="3">
        <f>IF(ISNUMBER(C175),IF(COUNTIF($C$2:C175,C175)=1,1,0),"")</f>
        <v/>
      </c>
    </row>
    <row r="176">
      <c r="A176" s="2" t="n"/>
      <c r="B176" s="2" t="n"/>
      <c r="C176" s="2" t="n"/>
      <c r="D176" s="3">
        <f>IF(B176="","",COUNTIF($B$2:$B$500,B176))</f>
        <v/>
      </c>
      <c r="E176" s="3">
        <f>IF(B176="","",IF(COUNTIF($B$2:B176,B176)=1,1,0))</f>
        <v/>
      </c>
      <c r="F176" s="4">
        <f>IF(E176=1,D176-ROW()/100000,"")</f>
        <v/>
      </c>
      <c r="G176" s="3">
        <f>IF(ISNUMBER(C176),COUNTIF($C$2:$C$500,C176),"")</f>
        <v/>
      </c>
      <c r="H176" s="3">
        <f>IF(ISNUMBER(C176),IF(COUNTIF($C$2:C176,C176)=1,1,0),"")</f>
        <v/>
      </c>
    </row>
    <row r="177">
      <c r="A177" s="2" t="n"/>
      <c r="B177" s="2" t="n"/>
      <c r="C177" s="2" t="n"/>
      <c r="D177" s="3">
        <f>IF(B177="","",COUNTIF($B$2:$B$500,B177))</f>
        <v/>
      </c>
      <c r="E177" s="3">
        <f>IF(B177="","",IF(COUNTIF($B$2:B177,B177)=1,1,0))</f>
        <v/>
      </c>
      <c r="F177" s="4">
        <f>IF(E177=1,D177-ROW()/100000,"")</f>
        <v/>
      </c>
      <c r="G177" s="3">
        <f>IF(ISNUMBER(C177),COUNTIF($C$2:$C$500,C177),"")</f>
        <v/>
      </c>
      <c r="H177" s="3">
        <f>IF(ISNUMBER(C177),IF(COUNTIF($C$2:C177,C177)=1,1,0),"")</f>
        <v/>
      </c>
    </row>
    <row r="178">
      <c r="A178" s="2" t="n"/>
      <c r="B178" s="2" t="n"/>
      <c r="C178" s="2" t="n"/>
      <c r="D178" s="3">
        <f>IF(B178="","",COUNTIF($B$2:$B$500,B178))</f>
        <v/>
      </c>
      <c r="E178" s="3">
        <f>IF(B178="","",IF(COUNTIF($B$2:B178,B178)=1,1,0))</f>
        <v/>
      </c>
      <c r="F178" s="4">
        <f>IF(E178=1,D178-ROW()/100000,"")</f>
        <v/>
      </c>
      <c r="G178" s="3">
        <f>IF(ISNUMBER(C178),COUNTIF($C$2:$C$500,C178),"")</f>
        <v/>
      </c>
      <c r="H178" s="3">
        <f>IF(ISNUMBER(C178),IF(COUNTIF($C$2:C178,C178)=1,1,0),"")</f>
        <v/>
      </c>
    </row>
    <row r="179">
      <c r="A179" s="2" t="n"/>
      <c r="B179" s="2" t="n"/>
      <c r="C179" s="2" t="n"/>
      <c r="D179" s="3">
        <f>IF(B179="","",COUNTIF($B$2:$B$500,B179))</f>
        <v/>
      </c>
      <c r="E179" s="3">
        <f>IF(B179="","",IF(COUNTIF($B$2:B179,B179)=1,1,0))</f>
        <v/>
      </c>
      <c r="F179" s="4">
        <f>IF(E179=1,D179-ROW()/100000,"")</f>
        <v/>
      </c>
      <c r="G179" s="3">
        <f>IF(ISNUMBER(C179),COUNTIF($C$2:$C$500,C179),"")</f>
        <v/>
      </c>
      <c r="H179" s="3">
        <f>IF(ISNUMBER(C179),IF(COUNTIF($C$2:C179,C179)=1,1,0),"")</f>
        <v/>
      </c>
    </row>
    <row r="180">
      <c r="A180" s="2" t="n"/>
      <c r="B180" s="2" t="n"/>
      <c r="C180" s="2" t="n"/>
      <c r="D180" s="3">
        <f>IF(B180="","",COUNTIF($B$2:$B$500,B180))</f>
        <v/>
      </c>
      <c r="E180" s="3">
        <f>IF(B180="","",IF(COUNTIF($B$2:B180,B180)=1,1,0))</f>
        <v/>
      </c>
      <c r="F180" s="4">
        <f>IF(E180=1,D180-ROW()/100000,"")</f>
        <v/>
      </c>
      <c r="G180" s="3">
        <f>IF(ISNUMBER(C180),COUNTIF($C$2:$C$500,C180),"")</f>
        <v/>
      </c>
      <c r="H180" s="3">
        <f>IF(ISNUMBER(C180),IF(COUNTIF($C$2:C180,C180)=1,1,0),"")</f>
        <v/>
      </c>
    </row>
    <row r="181">
      <c r="A181" s="2" t="n"/>
      <c r="B181" s="2" t="n"/>
      <c r="C181" s="2" t="n"/>
      <c r="D181" s="3">
        <f>IF(B181="","",COUNTIF($B$2:$B$500,B181))</f>
        <v/>
      </c>
      <c r="E181" s="3">
        <f>IF(B181="","",IF(COUNTIF($B$2:B181,B181)=1,1,0))</f>
        <v/>
      </c>
      <c r="F181" s="4">
        <f>IF(E181=1,D181-ROW()/100000,"")</f>
        <v/>
      </c>
      <c r="G181" s="3">
        <f>IF(ISNUMBER(C181),COUNTIF($C$2:$C$500,C181),"")</f>
        <v/>
      </c>
      <c r="H181" s="3">
        <f>IF(ISNUMBER(C181),IF(COUNTIF($C$2:C181,C181)=1,1,0),"")</f>
        <v/>
      </c>
    </row>
    <row r="182">
      <c r="A182" s="2" t="n"/>
      <c r="B182" s="2" t="n"/>
      <c r="C182" s="2" t="n"/>
      <c r="D182" s="3">
        <f>IF(B182="","",COUNTIF($B$2:$B$500,B182))</f>
        <v/>
      </c>
      <c r="E182" s="3">
        <f>IF(B182="","",IF(COUNTIF($B$2:B182,B182)=1,1,0))</f>
        <v/>
      </c>
      <c r="F182" s="4">
        <f>IF(E182=1,D182-ROW()/100000,"")</f>
        <v/>
      </c>
      <c r="G182" s="3">
        <f>IF(ISNUMBER(C182),COUNTIF($C$2:$C$500,C182),"")</f>
        <v/>
      </c>
      <c r="H182" s="3">
        <f>IF(ISNUMBER(C182),IF(COUNTIF($C$2:C182,C182)=1,1,0),"")</f>
        <v/>
      </c>
    </row>
    <row r="183">
      <c r="A183" s="2" t="n"/>
      <c r="B183" s="2" t="n"/>
      <c r="C183" s="2" t="n"/>
      <c r="D183" s="3">
        <f>IF(B183="","",COUNTIF($B$2:$B$500,B183))</f>
        <v/>
      </c>
      <c r="E183" s="3">
        <f>IF(B183="","",IF(COUNTIF($B$2:B183,B183)=1,1,0))</f>
        <v/>
      </c>
      <c r="F183" s="4">
        <f>IF(E183=1,D183-ROW()/100000,"")</f>
        <v/>
      </c>
      <c r="G183" s="3">
        <f>IF(ISNUMBER(C183),COUNTIF($C$2:$C$500,C183),"")</f>
        <v/>
      </c>
      <c r="H183" s="3">
        <f>IF(ISNUMBER(C183),IF(COUNTIF($C$2:C183,C183)=1,1,0),"")</f>
        <v/>
      </c>
    </row>
    <row r="184">
      <c r="A184" s="2" t="n"/>
      <c r="B184" s="2" t="n"/>
      <c r="C184" s="2" t="n"/>
      <c r="D184" s="3">
        <f>IF(B184="","",COUNTIF($B$2:$B$500,B184))</f>
        <v/>
      </c>
      <c r="E184" s="3">
        <f>IF(B184="","",IF(COUNTIF($B$2:B184,B184)=1,1,0))</f>
        <v/>
      </c>
      <c r="F184" s="4">
        <f>IF(E184=1,D184-ROW()/100000,"")</f>
        <v/>
      </c>
      <c r="G184" s="3">
        <f>IF(ISNUMBER(C184),COUNTIF($C$2:$C$500,C184),"")</f>
        <v/>
      </c>
      <c r="H184" s="3">
        <f>IF(ISNUMBER(C184),IF(COUNTIF($C$2:C184,C184)=1,1,0),"")</f>
        <v/>
      </c>
    </row>
    <row r="185">
      <c r="A185" s="2" t="n"/>
      <c r="B185" s="2" t="n"/>
      <c r="C185" s="2" t="n"/>
      <c r="D185" s="3">
        <f>IF(B185="","",COUNTIF($B$2:$B$500,B185))</f>
        <v/>
      </c>
      <c r="E185" s="3">
        <f>IF(B185="","",IF(COUNTIF($B$2:B185,B185)=1,1,0))</f>
        <v/>
      </c>
      <c r="F185" s="4">
        <f>IF(E185=1,D185-ROW()/100000,"")</f>
        <v/>
      </c>
      <c r="G185" s="3">
        <f>IF(ISNUMBER(C185),COUNTIF($C$2:$C$500,C185),"")</f>
        <v/>
      </c>
      <c r="H185" s="3">
        <f>IF(ISNUMBER(C185),IF(COUNTIF($C$2:C185,C185)=1,1,0),"")</f>
        <v/>
      </c>
    </row>
    <row r="186">
      <c r="A186" s="2" t="n"/>
      <c r="B186" s="2" t="n"/>
      <c r="C186" s="2" t="n"/>
      <c r="D186" s="3">
        <f>IF(B186="","",COUNTIF($B$2:$B$500,B186))</f>
        <v/>
      </c>
      <c r="E186" s="3">
        <f>IF(B186="","",IF(COUNTIF($B$2:B186,B186)=1,1,0))</f>
        <v/>
      </c>
      <c r="F186" s="4">
        <f>IF(E186=1,D186-ROW()/100000,"")</f>
        <v/>
      </c>
      <c r="G186" s="3">
        <f>IF(ISNUMBER(C186),COUNTIF($C$2:$C$500,C186),"")</f>
        <v/>
      </c>
      <c r="H186" s="3">
        <f>IF(ISNUMBER(C186),IF(COUNTIF($C$2:C186,C186)=1,1,0),"")</f>
        <v/>
      </c>
    </row>
    <row r="187">
      <c r="A187" s="2" t="n"/>
      <c r="B187" s="2" t="n"/>
      <c r="C187" s="2" t="n"/>
      <c r="D187" s="3">
        <f>IF(B187="","",COUNTIF($B$2:$B$500,B187))</f>
        <v/>
      </c>
      <c r="E187" s="3">
        <f>IF(B187="","",IF(COUNTIF($B$2:B187,B187)=1,1,0))</f>
        <v/>
      </c>
      <c r="F187" s="4">
        <f>IF(E187=1,D187-ROW()/100000,"")</f>
        <v/>
      </c>
      <c r="G187" s="3">
        <f>IF(ISNUMBER(C187),COUNTIF($C$2:$C$500,C187),"")</f>
        <v/>
      </c>
      <c r="H187" s="3">
        <f>IF(ISNUMBER(C187),IF(COUNTIF($C$2:C187,C187)=1,1,0),"")</f>
        <v/>
      </c>
    </row>
    <row r="188">
      <c r="A188" s="2" t="n"/>
      <c r="B188" s="2" t="n"/>
      <c r="C188" s="2" t="n"/>
      <c r="D188" s="3">
        <f>IF(B188="","",COUNTIF($B$2:$B$500,B188))</f>
        <v/>
      </c>
      <c r="E188" s="3">
        <f>IF(B188="","",IF(COUNTIF($B$2:B188,B188)=1,1,0))</f>
        <v/>
      </c>
      <c r="F188" s="4">
        <f>IF(E188=1,D188-ROW()/100000,"")</f>
        <v/>
      </c>
      <c r="G188" s="3">
        <f>IF(ISNUMBER(C188),COUNTIF($C$2:$C$500,C188),"")</f>
        <v/>
      </c>
      <c r="H188" s="3">
        <f>IF(ISNUMBER(C188),IF(COUNTIF($C$2:C188,C188)=1,1,0),"")</f>
        <v/>
      </c>
    </row>
    <row r="189">
      <c r="A189" s="2" t="n"/>
      <c r="B189" s="2" t="n"/>
      <c r="C189" s="2" t="n"/>
      <c r="D189" s="3">
        <f>IF(B189="","",COUNTIF($B$2:$B$500,B189))</f>
        <v/>
      </c>
      <c r="E189" s="3">
        <f>IF(B189="","",IF(COUNTIF($B$2:B189,B189)=1,1,0))</f>
        <v/>
      </c>
      <c r="F189" s="4">
        <f>IF(E189=1,D189-ROW()/100000,"")</f>
        <v/>
      </c>
      <c r="G189" s="3">
        <f>IF(ISNUMBER(C189),COUNTIF($C$2:$C$500,C189),"")</f>
        <v/>
      </c>
      <c r="H189" s="3">
        <f>IF(ISNUMBER(C189),IF(COUNTIF($C$2:C189,C189)=1,1,0),"")</f>
        <v/>
      </c>
    </row>
    <row r="190">
      <c r="A190" s="2" t="n"/>
      <c r="B190" s="2" t="n"/>
      <c r="C190" s="2" t="n"/>
      <c r="D190" s="3">
        <f>IF(B190="","",COUNTIF($B$2:$B$500,B190))</f>
        <v/>
      </c>
      <c r="E190" s="3">
        <f>IF(B190="","",IF(COUNTIF($B$2:B190,B190)=1,1,0))</f>
        <v/>
      </c>
      <c r="F190" s="4">
        <f>IF(E190=1,D190-ROW()/100000,"")</f>
        <v/>
      </c>
      <c r="G190" s="3">
        <f>IF(ISNUMBER(C190),COUNTIF($C$2:$C$500,C190),"")</f>
        <v/>
      </c>
      <c r="H190" s="3">
        <f>IF(ISNUMBER(C190),IF(COUNTIF($C$2:C190,C190)=1,1,0),"")</f>
        <v/>
      </c>
    </row>
    <row r="191">
      <c r="A191" s="2" t="n"/>
      <c r="B191" s="2" t="n"/>
      <c r="C191" s="2" t="n"/>
      <c r="D191" s="3">
        <f>IF(B191="","",COUNTIF($B$2:$B$500,B191))</f>
        <v/>
      </c>
      <c r="E191" s="3">
        <f>IF(B191="","",IF(COUNTIF($B$2:B191,B191)=1,1,0))</f>
        <v/>
      </c>
      <c r="F191" s="4">
        <f>IF(E191=1,D191-ROW()/100000,"")</f>
        <v/>
      </c>
      <c r="G191" s="3">
        <f>IF(ISNUMBER(C191),COUNTIF($C$2:$C$500,C191),"")</f>
        <v/>
      </c>
      <c r="H191" s="3">
        <f>IF(ISNUMBER(C191),IF(COUNTIF($C$2:C191,C191)=1,1,0),"")</f>
        <v/>
      </c>
    </row>
    <row r="192">
      <c r="A192" s="2" t="n"/>
      <c r="B192" s="2" t="n"/>
      <c r="C192" s="2" t="n"/>
      <c r="D192" s="3">
        <f>IF(B192="","",COUNTIF($B$2:$B$500,B192))</f>
        <v/>
      </c>
      <c r="E192" s="3">
        <f>IF(B192="","",IF(COUNTIF($B$2:B192,B192)=1,1,0))</f>
        <v/>
      </c>
      <c r="F192" s="4">
        <f>IF(E192=1,D192-ROW()/100000,"")</f>
        <v/>
      </c>
      <c r="G192" s="3">
        <f>IF(ISNUMBER(C192),COUNTIF($C$2:$C$500,C192),"")</f>
        <v/>
      </c>
      <c r="H192" s="3">
        <f>IF(ISNUMBER(C192),IF(COUNTIF($C$2:C192,C192)=1,1,0),"")</f>
        <v/>
      </c>
    </row>
    <row r="193">
      <c r="A193" s="2" t="n"/>
      <c r="B193" s="2" t="n"/>
      <c r="C193" s="2" t="n"/>
      <c r="D193" s="3">
        <f>IF(B193="","",COUNTIF($B$2:$B$500,B193))</f>
        <v/>
      </c>
      <c r="E193" s="3">
        <f>IF(B193="","",IF(COUNTIF($B$2:B193,B193)=1,1,0))</f>
        <v/>
      </c>
      <c r="F193" s="4">
        <f>IF(E193=1,D193-ROW()/100000,"")</f>
        <v/>
      </c>
      <c r="G193" s="3">
        <f>IF(ISNUMBER(C193),COUNTIF($C$2:$C$500,C193),"")</f>
        <v/>
      </c>
      <c r="H193" s="3">
        <f>IF(ISNUMBER(C193),IF(COUNTIF($C$2:C193,C193)=1,1,0),"")</f>
        <v/>
      </c>
    </row>
    <row r="194">
      <c r="A194" s="2" t="n"/>
      <c r="B194" s="2" t="n"/>
      <c r="C194" s="2" t="n"/>
      <c r="D194" s="3">
        <f>IF(B194="","",COUNTIF($B$2:$B$500,B194))</f>
        <v/>
      </c>
      <c r="E194" s="3">
        <f>IF(B194="","",IF(COUNTIF($B$2:B194,B194)=1,1,0))</f>
        <v/>
      </c>
      <c r="F194" s="4">
        <f>IF(E194=1,D194-ROW()/100000,"")</f>
        <v/>
      </c>
      <c r="G194" s="3">
        <f>IF(ISNUMBER(C194),COUNTIF($C$2:$C$500,C194),"")</f>
        <v/>
      </c>
      <c r="H194" s="3">
        <f>IF(ISNUMBER(C194),IF(COUNTIF($C$2:C194,C194)=1,1,0),"")</f>
        <v/>
      </c>
    </row>
    <row r="195">
      <c r="A195" s="2" t="n"/>
      <c r="B195" s="2" t="n"/>
      <c r="C195" s="2" t="n"/>
      <c r="D195" s="3">
        <f>IF(B195="","",COUNTIF($B$2:$B$500,B195))</f>
        <v/>
      </c>
      <c r="E195" s="3">
        <f>IF(B195="","",IF(COUNTIF($B$2:B195,B195)=1,1,0))</f>
        <v/>
      </c>
      <c r="F195" s="4">
        <f>IF(E195=1,D195-ROW()/100000,"")</f>
        <v/>
      </c>
      <c r="G195" s="3">
        <f>IF(ISNUMBER(C195),COUNTIF($C$2:$C$500,C195),"")</f>
        <v/>
      </c>
      <c r="H195" s="3">
        <f>IF(ISNUMBER(C195),IF(COUNTIF($C$2:C195,C195)=1,1,0),"")</f>
        <v/>
      </c>
    </row>
    <row r="196">
      <c r="A196" s="2" t="n"/>
      <c r="B196" s="2" t="n"/>
      <c r="C196" s="2" t="n"/>
      <c r="D196" s="3">
        <f>IF(B196="","",COUNTIF($B$2:$B$500,B196))</f>
        <v/>
      </c>
      <c r="E196" s="3">
        <f>IF(B196="","",IF(COUNTIF($B$2:B196,B196)=1,1,0))</f>
        <v/>
      </c>
      <c r="F196" s="4">
        <f>IF(E196=1,D196-ROW()/100000,"")</f>
        <v/>
      </c>
      <c r="G196" s="3">
        <f>IF(ISNUMBER(C196),COUNTIF($C$2:$C$500,C196),"")</f>
        <v/>
      </c>
      <c r="H196" s="3">
        <f>IF(ISNUMBER(C196),IF(COUNTIF($C$2:C196,C196)=1,1,0),"")</f>
        <v/>
      </c>
    </row>
    <row r="197">
      <c r="A197" s="2" t="n"/>
      <c r="B197" s="2" t="n"/>
      <c r="C197" s="2" t="n"/>
      <c r="D197" s="3">
        <f>IF(B197="","",COUNTIF($B$2:$B$500,B197))</f>
        <v/>
      </c>
      <c r="E197" s="3">
        <f>IF(B197="","",IF(COUNTIF($B$2:B197,B197)=1,1,0))</f>
        <v/>
      </c>
      <c r="F197" s="4">
        <f>IF(E197=1,D197-ROW()/100000,"")</f>
        <v/>
      </c>
      <c r="G197" s="3">
        <f>IF(ISNUMBER(C197),COUNTIF($C$2:$C$500,C197),"")</f>
        <v/>
      </c>
      <c r="H197" s="3">
        <f>IF(ISNUMBER(C197),IF(COUNTIF($C$2:C197,C197)=1,1,0),"")</f>
        <v/>
      </c>
    </row>
    <row r="198">
      <c r="A198" s="2" t="n"/>
      <c r="B198" s="2" t="n"/>
      <c r="C198" s="2" t="n"/>
      <c r="D198" s="3">
        <f>IF(B198="","",COUNTIF($B$2:$B$500,B198))</f>
        <v/>
      </c>
      <c r="E198" s="3">
        <f>IF(B198="","",IF(COUNTIF($B$2:B198,B198)=1,1,0))</f>
        <v/>
      </c>
      <c r="F198" s="4">
        <f>IF(E198=1,D198-ROW()/100000,"")</f>
        <v/>
      </c>
      <c r="G198" s="3">
        <f>IF(ISNUMBER(C198),COUNTIF($C$2:$C$500,C198),"")</f>
        <v/>
      </c>
      <c r="H198" s="3">
        <f>IF(ISNUMBER(C198),IF(COUNTIF($C$2:C198,C198)=1,1,0),"")</f>
        <v/>
      </c>
    </row>
    <row r="199">
      <c r="A199" s="2" t="n"/>
      <c r="B199" s="2" t="n"/>
      <c r="C199" s="2" t="n"/>
      <c r="D199" s="3">
        <f>IF(B199="","",COUNTIF($B$2:$B$500,B199))</f>
        <v/>
      </c>
      <c r="E199" s="3">
        <f>IF(B199="","",IF(COUNTIF($B$2:B199,B199)=1,1,0))</f>
        <v/>
      </c>
      <c r="F199" s="4">
        <f>IF(E199=1,D199-ROW()/100000,"")</f>
        <v/>
      </c>
      <c r="G199" s="3">
        <f>IF(ISNUMBER(C199),COUNTIF($C$2:$C$500,C199),"")</f>
        <v/>
      </c>
      <c r="H199" s="3">
        <f>IF(ISNUMBER(C199),IF(COUNTIF($C$2:C199,C199)=1,1,0),"")</f>
        <v/>
      </c>
    </row>
    <row r="200">
      <c r="A200" s="2" t="n"/>
      <c r="B200" s="2" t="n"/>
      <c r="C200" s="2" t="n"/>
      <c r="D200" s="3">
        <f>IF(B200="","",COUNTIF($B$2:$B$500,B200))</f>
        <v/>
      </c>
      <c r="E200" s="3">
        <f>IF(B200="","",IF(COUNTIF($B$2:B200,B200)=1,1,0))</f>
        <v/>
      </c>
      <c r="F200" s="4">
        <f>IF(E200=1,D200-ROW()/100000,"")</f>
        <v/>
      </c>
      <c r="G200" s="3">
        <f>IF(ISNUMBER(C200),COUNTIF($C$2:$C$500,C200),"")</f>
        <v/>
      </c>
      <c r="H200" s="3">
        <f>IF(ISNUMBER(C200),IF(COUNTIF($C$2:C200,C200)=1,1,0),"")</f>
        <v/>
      </c>
    </row>
    <row r="201">
      <c r="A201" s="2" t="n"/>
      <c r="B201" s="2" t="n"/>
      <c r="C201" s="2" t="n"/>
      <c r="D201" s="3">
        <f>IF(B201="","",COUNTIF($B$2:$B$500,B201))</f>
        <v/>
      </c>
      <c r="E201" s="3">
        <f>IF(B201="","",IF(COUNTIF($B$2:B201,B201)=1,1,0))</f>
        <v/>
      </c>
      <c r="F201" s="4">
        <f>IF(E201=1,D201-ROW()/100000,"")</f>
        <v/>
      </c>
      <c r="G201" s="3">
        <f>IF(ISNUMBER(C201),COUNTIF($C$2:$C$500,C201),"")</f>
        <v/>
      </c>
      <c r="H201" s="3">
        <f>IF(ISNUMBER(C201),IF(COUNTIF($C$2:C201,C201)=1,1,0),"")</f>
        <v/>
      </c>
    </row>
    <row r="202">
      <c r="A202" s="2" t="n"/>
      <c r="B202" s="2" t="n"/>
      <c r="C202" s="2" t="n"/>
      <c r="D202" s="3">
        <f>IF(B202="","",COUNTIF($B$2:$B$500,B202))</f>
        <v/>
      </c>
      <c r="E202" s="3">
        <f>IF(B202="","",IF(COUNTIF($B$2:B202,B202)=1,1,0))</f>
        <v/>
      </c>
      <c r="F202" s="4">
        <f>IF(E202=1,D202-ROW()/100000,"")</f>
        <v/>
      </c>
      <c r="G202" s="3">
        <f>IF(ISNUMBER(C202),COUNTIF($C$2:$C$500,C202),"")</f>
        <v/>
      </c>
      <c r="H202" s="3">
        <f>IF(ISNUMBER(C202),IF(COUNTIF($C$2:C202,C202)=1,1,0),"")</f>
        <v/>
      </c>
    </row>
    <row r="203">
      <c r="A203" s="2" t="n"/>
      <c r="B203" s="2" t="n"/>
      <c r="C203" s="2" t="n"/>
      <c r="D203" s="3">
        <f>IF(B203="","",COUNTIF($B$2:$B$500,B203))</f>
        <v/>
      </c>
      <c r="E203" s="3">
        <f>IF(B203="","",IF(COUNTIF($B$2:B203,B203)=1,1,0))</f>
        <v/>
      </c>
      <c r="F203" s="4">
        <f>IF(E203=1,D203-ROW()/100000,"")</f>
        <v/>
      </c>
      <c r="G203" s="3">
        <f>IF(ISNUMBER(C203),COUNTIF($C$2:$C$500,C203),"")</f>
        <v/>
      </c>
      <c r="H203" s="3">
        <f>IF(ISNUMBER(C203),IF(COUNTIF($C$2:C203,C203)=1,1,0),"")</f>
        <v/>
      </c>
    </row>
    <row r="204">
      <c r="A204" s="2" t="n"/>
      <c r="B204" s="2" t="n"/>
      <c r="C204" s="2" t="n"/>
      <c r="D204" s="3">
        <f>IF(B204="","",COUNTIF($B$2:$B$500,B204))</f>
        <v/>
      </c>
      <c r="E204" s="3">
        <f>IF(B204="","",IF(COUNTIF($B$2:B204,B204)=1,1,0))</f>
        <v/>
      </c>
      <c r="F204" s="4">
        <f>IF(E204=1,D204-ROW()/100000,"")</f>
        <v/>
      </c>
      <c r="G204" s="3">
        <f>IF(ISNUMBER(C204),COUNTIF($C$2:$C$500,C204),"")</f>
        <v/>
      </c>
      <c r="H204" s="3">
        <f>IF(ISNUMBER(C204),IF(COUNTIF($C$2:C204,C204)=1,1,0),"")</f>
        <v/>
      </c>
    </row>
    <row r="205">
      <c r="A205" s="2" t="n"/>
      <c r="B205" s="2" t="n"/>
      <c r="C205" s="2" t="n"/>
      <c r="D205" s="3">
        <f>IF(B205="","",COUNTIF($B$2:$B$500,B205))</f>
        <v/>
      </c>
      <c r="E205" s="3">
        <f>IF(B205="","",IF(COUNTIF($B$2:B205,B205)=1,1,0))</f>
        <v/>
      </c>
      <c r="F205" s="4">
        <f>IF(E205=1,D205-ROW()/100000,"")</f>
        <v/>
      </c>
      <c r="G205" s="3">
        <f>IF(ISNUMBER(C205),COUNTIF($C$2:$C$500,C205),"")</f>
        <v/>
      </c>
      <c r="H205" s="3">
        <f>IF(ISNUMBER(C205),IF(COUNTIF($C$2:C205,C205)=1,1,0),"")</f>
        <v/>
      </c>
    </row>
    <row r="206">
      <c r="A206" s="2" t="n"/>
      <c r="B206" s="2" t="n"/>
      <c r="C206" s="2" t="n"/>
      <c r="D206" s="3">
        <f>IF(B206="","",COUNTIF($B$2:$B$500,B206))</f>
        <v/>
      </c>
      <c r="E206" s="3">
        <f>IF(B206="","",IF(COUNTIF($B$2:B206,B206)=1,1,0))</f>
        <v/>
      </c>
      <c r="F206" s="4">
        <f>IF(E206=1,D206-ROW()/100000,"")</f>
        <v/>
      </c>
      <c r="G206" s="3">
        <f>IF(ISNUMBER(C206),COUNTIF($C$2:$C$500,C206),"")</f>
        <v/>
      </c>
      <c r="H206" s="3">
        <f>IF(ISNUMBER(C206),IF(COUNTIF($C$2:C206,C206)=1,1,0),"")</f>
        <v/>
      </c>
    </row>
    <row r="207">
      <c r="A207" s="2" t="n"/>
      <c r="B207" s="2" t="n"/>
      <c r="C207" s="2" t="n"/>
      <c r="D207" s="3">
        <f>IF(B207="","",COUNTIF($B$2:$B$500,B207))</f>
        <v/>
      </c>
      <c r="E207" s="3">
        <f>IF(B207="","",IF(COUNTIF($B$2:B207,B207)=1,1,0))</f>
        <v/>
      </c>
      <c r="F207" s="4">
        <f>IF(E207=1,D207-ROW()/100000,"")</f>
        <v/>
      </c>
      <c r="G207" s="3">
        <f>IF(ISNUMBER(C207),COUNTIF($C$2:$C$500,C207),"")</f>
        <v/>
      </c>
      <c r="H207" s="3">
        <f>IF(ISNUMBER(C207),IF(COUNTIF($C$2:C207,C207)=1,1,0),"")</f>
        <v/>
      </c>
    </row>
    <row r="208">
      <c r="A208" s="2" t="n"/>
      <c r="B208" s="2" t="n"/>
      <c r="C208" s="2" t="n"/>
      <c r="D208" s="3">
        <f>IF(B208="","",COUNTIF($B$2:$B$500,B208))</f>
        <v/>
      </c>
      <c r="E208" s="3">
        <f>IF(B208="","",IF(COUNTIF($B$2:B208,B208)=1,1,0))</f>
        <v/>
      </c>
      <c r="F208" s="4">
        <f>IF(E208=1,D208-ROW()/100000,"")</f>
        <v/>
      </c>
      <c r="G208" s="3">
        <f>IF(ISNUMBER(C208),COUNTIF($C$2:$C$500,C208),"")</f>
        <v/>
      </c>
      <c r="H208" s="3">
        <f>IF(ISNUMBER(C208),IF(COUNTIF($C$2:C208,C208)=1,1,0),"")</f>
        <v/>
      </c>
    </row>
    <row r="209">
      <c r="A209" s="2" t="n"/>
      <c r="B209" s="2" t="n"/>
      <c r="C209" s="2" t="n"/>
      <c r="D209" s="3">
        <f>IF(B209="","",COUNTIF($B$2:$B$500,B209))</f>
        <v/>
      </c>
      <c r="E209" s="3">
        <f>IF(B209="","",IF(COUNTIF($B$2:B209,B209)=1,1,0))</f>
        <v/>
      </c>
      <c r="F209" s="4">
        <f>IF(E209=1,D209-ROW()/100000,"")</f>
        <v/>
      </c>
      <c r="G209" s="3">
        <f>IF(ISNUMBER(C209),COUNTIF($C$2:$C$500,C209),"")</f>
        <v/>
      </c>
      <c r="H209" s="3">
        <f>IF(ISNUMBER(C209),IF(COUNTIF($C$2:C209,C209)=1,1,0),"")</f>
        <v/>
      </c>
    </row>
    <row r="210">
      <c r="A210" s="2" t="n"/>
      <c r="B210" s="2" t="n"/>
      <c r="C210" s="2" t="n"/>
      <c r="D210" s="3">
        <f>IF(B210="","",COUNTIF($B$2:$B$500,B210))</f>
        <v/>
      </c>
      <c r="E210" s="3">
        <f>IF(B210="","",IF(COUNTIF($B$2:B210,B210)=1,1,0))</f>
        <v/>
      </c>
      <c r="F210" s="4">
        <f>IF(E210=1,D210-ROW()/100000,"")</f>
        <v/>
      </c>
      <c r="G210" s="3">
        <f>IF(ISNUMBER(C210),COUNTIF($C$2:$C$500,C210),"")</f>
        <v/>
      </c>
      <c r="H210" s="3">
        <f>IF(ISNUMBER(C210),IF(COUNTIF($C$2:C210,C210)=1,1,0),"")</f>
        <v/>
      </c>
    </row>
    <row r="211">
      <c r="A211" s="2" t="n"/>
      <c r="B211" s="2" t="n"/>
      <c r="C211" s="2" t="n"/>
      <c r="D211" s="3">
        <f>IF(B211="","",COUNTIF($B$2:$B$500,B211))</f>
        <v/>
      </c>
      <c r="E211" s="3">
        <f>IF(B211="","",IF(COUNTIF($B$2:B211,B211)=1,1,0))</f>
        <v/>
      </c>
      <c r="F211" s="4">
        <f>IF(E211=1,D211-ROW()/100000,"")</f>
        <v/>
      </c>
      <c r="G211" s="3">
        <f>IF(ISNUMBER(C211),COUNTIF($C$2:$C$500,C211),"")</f>
        <v/>
      </c>
      <c r="H211" s="3">
        <f>IF(ISNUMBER(C211),IF(COUNTIF($C$2:C211,C211)=1,1,0),"")</f>
        <v/>
      </c>
    </row>
    <row r="212">
      <c r="A212" s="2" t="n"/>
      <c r="B212" s="2" t="n"/>
      <c r="C212" s="2" t="n"/>
      <c r="D212" s="3">
        <f>IF(B212="","",COUNTIF($B$2:$B$500,B212))</f>
        <v/>
      </c>
      <c r="E212" s="3">
        <f>IF(B212="","",IF(COUNTIF($B$2:B212,B212)=1,1,0))</f>
        <v/>
      </c>
      <c r="F212" s="4">
        <f>IF(E212=1,D212-ROW()/100000,"")</f>
        <v/>
      </c>
      <c r="G212" s="3">
        <f>IF(ISNUMBER(C212),COUNTIF($C$2:$C$500,C212),"")</f>
        <v/>
      </c>
      <c r="H212" s="3">
        <f>IF(ISNUMBER(C212),IF(COUNTIF($C$2:C212,C212)=1,1,0),"")</f>
        <v/>
      </c>
    </row>
    <row r="213">
      <c r="A213" s="2" t="n"/>
      <c r="B213" s="2" t="n"/>
      <c r="C213" s="2" t="n"/>
      <c r="D213" s="3">
        <f>IF(B213="","",COUNTIF($B$2:$B$500,B213))</f>
        <v/>
      </c>
      <c r="E213" s="3">
        <f>IF(B213="","",IF(COUNTIF($B$2:B213,B213)=1,1,0))</f>
        <v/>
      </c>
      <c r="F213" s="4">
        <f>IF(E213=1,D213-ROW()/100000,"")</f>
        <v/>
      </c>
      <c r="G213" s="3">
        <f>IF(ISNUMBER(C213),COUNTIF($C$2:$C$500,C213),"")</f>
        <v/>
      </c>
      <c r="H213" s="3">
        <f>IF(ISNUMBER(C213),IF(COUNTIF($C$2:C213,C213)=1,1,0),"")</f>
        <v/>
      </c>
    </row>
    <row r="214">
      <c r="A214" s="2" t="n"/>
      <c r="B214" s="2" t="n"/>
      <c r="C214" s="2" t="n"/>
      <c r="D214" s="3">
        <f>IF(B214="","",COUNTIF($B$2:$B$500,B214))</f>
        <v/>
      </c>
      <c r="E214" s="3">
        <f>IF(B214="","",IF(COUNTIF($B$2:B214,B214)=1,1,0))</f>
        <v/>
      </c>
      <c r="F214" s="4">
        <f>IF(E214=1,D214-ROW()/100000,"")</f>
        <v/>
      </c>
      <c r="G214" s="3">
        <f>IF(ISNUMBER(C214),COUNTIF($C$2:$C$500,C214),"")</f>
        <v/>
      </c>
      <c r="H214" s="3">
        <f>IF(ISNUMBER(C214),IF(COUNTIF($C$2:C214,C214)=1,1,0),"")</f>
        <v/>
      </c>
    </row>
    <row r="215">
      <c r="A215" s="2" t="n"/>
      <c r="B215" s="2" t="n"/>
      <c r="C215" s="2" t="n"/>
      <c r="D215" s="3">
        <f>IF(B215="","",COUNTIF($B$2:$B$500,B215))</f>
        <v/>
      </c>
      <c r="E215" s="3">
        <f>IF(B215="","",IF(COUNTIF($B$2:B215,B215)=1,1,0))</f>
        <v/>
      </c>
      <c r="F215" s="4">
        <f>IF(E215=1,D215-ROW()/100000,"")</f>
        <v/>
      </c>
      <c r="G215" s="3">
        <f>IF(ISNUMBER(C215),COUNTIF($C$2:$C$500,C215),"")</f>
        <v/>
      </c>
      <c r="H215" s="3">
        <f>IF(ISNUMBER(C215),IF(COUNTIF($C$2:C215,C215)=1,1,0),"")</f>
        <v/>
      </c>
    </row>
    <row r="216">
      <c r="A216" s="2" t="n"/>
      <c r="B216" s="2" t="n"/>
      <c r="C216" s="2" t="n"/>
      <c r="D216" s="3">
        <f>IF(B216="","",COUNTIF($B$2:$B$500,B216))</f>
        <v/>
      </c>
      <c r="E216" s="3">
        <f>IF(B216="","",IF(COUNTIF($B$2:B216,B216)=1,1,0))</f>
        <v/>
      </c>
      <c r="F216" s="4">
        <f>IF(E216=1,D216-ROW()/100000,"")</f>
        <v/>
      </c>
      <c r="G216" s="3">
        <f>IF(ISNUMBER(C216),COUNTIF($C$2:$C$500,C216),"")</f>
        <v/>
      </c>
      <c r="H216" s="3">
        <f>IF(ISNUMBER(C216),IF(COUNTIF($C$2:C216,C216)=1,1,0),"")</f>
        <v/>
      </c>
    </row>
    <row r="217">
      <c r="A217" s="2" t="n"/>
      <c r="B217" s="2" t="n"/>
      <c r="C217" s="2" t="n"/>
      <c r="D217" s="3">
        <f>IF(B217="","",COUNTIF($B$2:$B$500,B217))</f>
        <v/>
      </c>
      <c r="E217" s="3">
        <f>IF(B217="","",IF(COUNTIF($B$2:B217,B217)=1,1,0))</f>
        <v/>
      </c>
      <c r="F217" s="4">
        <f>IF(E217=1,D217-ROW()/100000,"")</f>
        <v/>
      </c>
      <c r="G217" s="3">
        <f>IF(ISNUMBER(C217),COUNTIF($C$2:$C$500,C217),"")</f>
        <v/>
      </c>
      <c r="H217" s="3">
        <f>IF(ISNUMBER(C217),IF(COUNTIF($C$2:C217,C217)=1,1,0),"")</f>
        <v/>
      </c>
    </row>
    <row r="218">
      <c r="A218" s="2" t="n"/>
      <c r="B218" s="2" t="n"/>
      <c r="C218" s="2" t="n"/>
      <c r="D218" s="3">
        <f>IF(B218="","",COUNTIF($B$2:$B$500,B218))</f>
        <v/>
      </c>
      <c r="E218" s="3">
        <f>IF(B218="","",IF(COUNTIF($B$2:B218,B218)=1,1,0))</f>
        <v/>
      </c>
      <c r="F218" s="4">
        <f>IF(E218=1,D218-ROW()/100000,"")</f>
        <v/>
      </c>
      <c r="G218" s="3">
        <f>IF(ISNUMBER(C218),COUNTIF($C$2:$C$500,C218),"")</f>
        <v/>
      </c>
      <c r="H218" s="3">
        <f>IF(ISNUMBER(C218),IF(COUNTIF($C$2:C218,C218)=1,1,0),"")</f>
        <v/>
      </c>
    </row>
    <row r="219">
      <c r="A219" s="2" t="n"/>
      <c r="B219" s="2" t="n"/>
      <c r="C219" s="2" t="n"/>
      <c r="D219" s="3">
        <f>IF(B219="","",COUNTIF($B$2:$B$500,B219))</f>
        <v/>
      </c>
      <c r="E219" s="3">
        <f>IF(B219="","",IF(COUNTIF($B$2:B219,B219)=1,1,0))</f>
        <v/>
      </c>
      <c r="F219" s="4">
        <f>IF(E219=1,D219-ROW()/100000,"")</f>
        <v/>
      </c>
      <c r="G219" s="3">
        <f>IF(ISNUMBER(C219),COUNTIF($C$2:$C$500,C219),"")</f>
        <v/>
      </c>
      <c r="H219" s="3">
        <f>IF(ISNUMBER(C219),IF(COUNTIF($C$2:C219,C219)=1,1,0),"")</f>
        <v/>
      </c>
    </row>
    <row r="220">
      <c r="A220" s="2" t="n"/>
      <c r="B220" s="2" t="n"/>
      <c r="C220" s="2" t="n"/>
      <c r="D220" s="3">
        <f>IF(B220="","",COUNTIF($B$2:$B$500,B220))</f>
        <v/>
      </c>
      <c r="E220" s="3">
        <f>IF(B220="","",IF(COUNTIF($B$2:B220,B220)=1,1,0))</f>
        <v/>
      </c>
      <c r="F220" s="4">
        <f>IF(E220=1,D220-ROW()/100000,"")</f>
        <v/>
      </c>
      <c r="G220" s="3">
        <f>IF(ISNUMBER(C220),COUNTIF($C$2:$C$500,C220),"")</f>
        <v/>
      </c>
      <c r="H220" s="3">
        <f>IF(ISNUMBER(C220),IF(COUNTIF($C$2:C220,C220)=1,1,0),"")</f>
        <v/>
      </c>
    </row>
    <row r="221">
      <c r="A221" s="2" t="n"/>
      <c r="B221" s="2" t="n"/>
      <c r="C221" s="2" t="n"/>
      <c r="D221" s="3">
        <f>IF(B221="","",COUNTIF($B$2:$B$500,B221))</f>
        <v/>
      </c>
      <c r="E221" s="3">
        <f>IF(B221="","",IF(COUNTIF($B$2:B221,B221)=1,1,0))</f>
        <v/>
      </c>
      <c r="F221" s="4">
        <f>IF(E221=1,D221-ROW()/100000,"")</f>
        <v/>
      </c>
      <c r="G221" s="3">
        <f>IF(ISNUMBER(C221),COUNTIF($C$2:$C$500,C221),"")</f>
        <v/>
      </c>
      <c r="H221" s="3">
        <f>IF(ISNUMBER(C221),IF(COUNTIF($C$2:C221,C221)=1,1,0),"")</f>
        <v/>
      </c>
    </row>
    <row r="222">
      <c r="A222" s="2" t="n"/>
      <c r="B222" s="2" t="n"/>
      <c r="C222" s="2" t="n"/>
      <c r="D222" s="3">
        <f>IF(B222="","",COUNTIF($B$2:$B$500,B222))</f>
        <v/>
      </c>
      <c r="E222" s="3">
        <f>IF(B222="","",IF(COUNTIF($B$2:B222,B222)=1,1,0))</f>
        <v/>
      </c>
      <c r="F222" s="4">
        <f>IF(E222=1,D222-ROW()/100000,"")</f>
        <v/>
      </c>
      <c r="G222" s="3">
        <f>IF(ISNUMBER(C222),COUNTIF($C$2:$C$500,C222),"")</f>
        <v/>
      </c>
      <c r="H222" s="3">
        <f>IF(ISNUMBER(C222),IF(COUNTIF($C$2:C222,C222)=1,1,0),"")</f>
        <v/>
      </c>
    </row>
    <row r="223">
      <c r="A223" s="2" t="n"/>
      <c r="B223" s="2" t="n"/>
      <c r="C223" s="2" t="n"/>
      <c r="D223" s="3">
        <f>IF(B223="","",COUNTIF($B$2:$B$500,B223))</f>
        <v/>
      </c>
      <c r="E223" s="3">
        <f>IF(B223="","",IF(COUNTIF($B$2:B223,B223)=1,1,0))</f>
        <v/>
      </c>
      <c r="F223" s="4">
        <f>IF(E223=1,D223-ROW()/100000,"")</f>
        <v/>
      </c>
      <c r="G223" s="3">
        <f>IF(ISNUMBER(C223),COUNTIF($C$2:$C$500,C223),"")</f>
        <v/>
      </c>
      <c r="H223" s="3">
        <f>IF(ISNUMBER(C223),IF(COUNTIF($C$2:C223,C223)=1,1,0),"")</f>
        <v/>
      </c>
    </row>
    <row r="224">
      <c r="A224" s="2" t="n"/>
      <c r="B224" s="2" t="n"/>
      <c r="C224" s="2" t="n"/>
      <c r="D224" s="3">
        <f>IF(B224="","",COUNTIF($B$2:$B$500,B224))</f>
        <v/>
      </c>
      <c r="E224" s="3">
        <f>IF(B224="","",IF(COUNTIF($B$2:B224,B224)=1,1,0))</f>
        <v/>
      </c>
      <c r="F224" s="4">
        <f>IF(E224=1,D224-ROW()/100000,"")</f>
        <v/>
      </c>
      <c r="G224" s="3">
        <f>IF(ISNUMBER(C224),COUNTIF($C$2:$C$500,C224),"")</f>
        <v/>
      </c>
      <c r="H224" s="3">
        <f>IF(ISNUMBER(C224),IF(COUNTIF($C$2:C224,C224)=1,1,0),"")</f>
        <v/>
      </c>
    </row>
    <row r="225">
      <c r="A225" s="2" t="n"/>
      <c r="B225" s="2" t="n"/>
      <c r="C225" s="2" t="n"/>
      <c r="D225" s="3">
        <f>IF(B225="","",COUNTIF($B$2:$B$500,B225))</f>
        <v/>
      </c>
      <c r="E225" s="3">
        <f>IF(B225="","",IF(COUNTIF($B$2:B225,B225)=1,1,0))</f>
        <v/>
      </c>
      <c r="F225" s="4">
        <f>IF(E225=1,D225-ROW()/100000,"")</f>
        <v/>
      </c>
      <c r="G225" s="3">
        <f>IF(ISNUMBER(C225),COUNTIF($C$2:$C$500,C225),"")</f>
        <v/>
      </c>
      <c r="H225" s="3">
        <f>IF(ISNUMBER(C225),IF(COUNTIF($C$2:C225,C225)=1,1,0),"")</f>
        <v/>
      </c>
    </row>
    <row r="226">
      <c r="A226" s="2" t="n"/>
      <c r="B226" s="2" t="n"/>
      <c r="C226" s="2" t="n"/>
      <c r="D226" s="3">
        <f>IF(B226="","",COUNTIF($B$2:$B$500,B226))</f>
        <v/>
      </c>
      <c r="E226" s="3">
        <f>IF(B226="","",IF(COUNTIF($B$2:B226,B226)=1,1,0))</f>
        <v/>
      </c>
      <c r="F226" s="4">
        <f>IF(E226=1,D226-ROW()/100000,"")</f>
        <v/>
      </c>
      <c r="G226" s="3">
        <f>IF(ISNUMBER(C226),COUNTIF($C$2:$C$500,C226),"")</f>
        <v/>
      </c>
      <c r="H226" s="3">
        <f>IF(ISNUMBER(C226),IF(COUNTIF($C$2:C226,C226)=1,1,0),"")</f>
        <v/>
      </c>
    </row>
    <row r="227">
      <c r="A227" s="2" t="n"/>
      <c r="B227" s="2" t="n"/>
      <c r="C227" s="2" t="n"/>
      <c r="D227" s="3">
        <f>IF(B227="","",COUNTIF($B$2:$B$500,B227))</f>
        <v/>
      </c>
      <c r="E227" s="3">
        <f>IF(B227="","",IF(COUNTIF($B$2:B227,B227)=1,1,0))</f>
        <v/>
      </c>
      <c r="F227" s="4">
        <f>IF(E227=1,D227-ROW()/100000,"")</f>
        <v/>
      </c>
      <c r="G227" s="3">
        <f>IF(ISNUMBER(C227),COUNTIF($C$2:$C$500,C227),"")</f>
        <v/>
      </c>
      <c r="H227" s="3">
        <f>IF(ISNUMBER(C227),IF(COUNTIF($C$2:C227,C227)=1,1,0),"")</f>
        <v/>
      </c>
    </row>
    <row r="228">
      <c r="A228" s="2" t="n"/>
      <c r="B228" s="2" t="n"/>
      <c r="C228" s="2" t="n"/>
      <c r="D228" s="3">
        <f>IF(B228="","",COUNTIF($B$2:$B$500,B228))</f>
        <v/>
      </c>
      <c r="E228" s="3">
        <f>IF(B228="","",IF(COUNTIF($B$2:B228,B228)=1,1,0))</f>
        <v/>
      </c>
      <c r="F228" s="4">
        <f>IF(E228=1,D228-ROW()/100000,"")</f>
        <v/>
      </c>
      <c r="G228" s="3">
        <f>IF(ISNUMBER(C228),COUNTIF($C$2:$C$500,C228),"")</f>
        <v/>
      </c>
      <c r="H228" s="3">
        <f>IF(ISNUMBER(C228),IF(COUNTIF($C$2:C228,C228)=1,1,0),"")</f>
        <v/>
      </c>
    </row>
    <row r="229">
      <c r="A229" s="2" t="n"/>
      <c r="B229" s="2" t="n"/>
      <c r="C229" s="2" t="n"/>
      <c r="D229" s="3">
        <f>IF(B229="","",COUNTIF($B$2:$B$500,B229))</f>
        <v/>
      </c>
      <c r="E229" s="3">
        <f>IF(B229="","",IF(COUNTIF($B$2:B229,B229)=1,1,0))</f>
        <v/>
      </c>
      <c r="F229" s="4">
        <f>IF(E229=1,D229-ROW()/100000,"")</f>
        <v/>
      </c>
      <c r="G229" s="3">
        <f>IF(ISNUMBER(C229),COUNTIF($C$2:$C$500,C229),"")</f>
        <v/>
      </c>
      <c r="H229" s="3">
        <f>IF(ISNUMBER(C229),IF(COUNTIF($C$2:C229,C229)=1,1,0),"")</f>
        <v/>
      </c>
    </row>
    <row r="230">
      <c r="A230" s="2" t="n"/>
      <c r="B230" s="2" t="n"/>
      <c r="C230" s="2" t="n"/>
      <c r="D230" s="3">
        <f>IF(B230="","",COUNTIF($B$2:$B$500,B230))</f>
        <v/>
      </c>
      <c r="E230" s="3">
        <f>IF(B230="","",IF(COUNTIF($B$2:B230,B230)=1,1,0))</f>
        <v/>
      </c>
      <c r="F230" s="4">
        <f>IF(E230=1,D230-ROW()/100000,"")</f>
        <v/>
      </c>
      <c r="G230" s="3">
        <f>IF(ISNUMBER(C230),COUNTIF($C$2:$C$500,C230),"")</f>
        <v/>
      </c>
      <c r="H230" s="3">
        <f>IF(ISNUMBER(C230),IF(COUNTIF($C$2:C230,C230)=1,1,0),"")</f>
        <v/>
      </c>
    </row>
    <row r="231">
      <c r="A231" s="2" t="n"/>
      <c r="B231" s="2" t="n"/>
      <c r="C231" s="2" t="n"/>
      <c r="D231" s="3">
        <f>IF(B231="","",COUNTIF($B$2:$B$500,B231))</f>
        <v/>
      </c>
      <c r="E231" s="3">
        <f>IF(B231="","",IF(COUNTIF($B$2:B231,B231)=1,1,0))</f>
        <v/>
      </c>
      <c r="F231" s="4">
        <f>IF(E231=1,D231-ROW()/100000,"")</f>
        <v/>
      </c>
      <c r="G231" s="3">
        <f>IF(ISNUMBER(C231),COUNTIF($C$2:$C$500,C231),"")</f>
        <v/>
      </c>
      <c r="H231" s="3">
        <f>IF(ISNUMBER(C231),IF(COUNTIF($C$2:C231,C231)=1,1,0),"")</f>
        <v/>
      </c>
    </row>
    <row r="232">
      <c r="A232" s="2" t="n"/>
      <c r="B232" s="2" t="n"/>
      <c r="C232" s="2" t="n"/>
      <c r="D232" s="3">
        <f>IF(B232="","",COUNTIF($B$2:$B$500,B232))</f>
        <v/>
      </c>
      <c r="E232" s="3">
        <f>IF(B232="","",IF(COUNTIF($B$2:B232,B232)=1,1,0))</f>
        <v/>
      </c>
      <c r="F232" s="4">
        <f>IF(E232=1,D232-ROW()/100000,"")</f>
        <v/>
      </c>
      <c r="G232" s="3">
        <f>IF(ISNUMBER(C232),COUNTIF($C$2:$C$500,C232),"")</f>
        <v/>
      </c>
      <c r="H232" s="3">
        <f>IF(ISNUMBER(C232),IF(COUNTIF($C$2:C232,C232)=1,1,0),"")</f>
        <v/>
      </c>
    </row>
    <row r="233">
      <c r="A233" s="2" t="n"/>
      <c r="B233" s="2" t="n"/>
      <c r="C233" s="2" t="n"/>
      <c r="D233" s="3">
        <f>IF(B233="","",COUNTIF($B$2:$B$500,B233))</f>
        <v/>
      </c>
      <c r="E233" s="3">
        <f>IF(B233="","",IF(COUNTIF($B$2:B233,B233)=1,1,0))</f>
        <v/>
      </c>
      <c r="F233" s="4">
        <f>IF(E233=1,D233-ROW()/100000,"")</f>
        <v/>
      </c>
      <c r="G233" s="3">
        <f>IF(ISNUMBER(C233),COUNTIF($C$2:$C$500,C233),"")</f>
        <v/>
      </c>
      <c r="H233" s="3">
        <f>IF(ISNUMBER(C233),IF(COUNTIF($C$2:C233,C233)=1,1,0),"")</f>
        <v/>
      </c>
    </row>
    <row r="234">
      <c r="A234" s="2" t="n"/>
      <c r="B234" s="2" t="n"/>
      <c r="C234" s="2" t="n"/>
      <c r="D234" s="3">
        <f>IF(B234="","",COUNTIF($B$2:$B$500,B234))</f>
        <v/>
      </c>
      <c r="E234" s="3">
        <f>IF(B234="","",IF(COUNTIF($B$2:B234,B234)=1,1,0))</f>
        <v/>
      </c>
      <c r="F234" s="4">
        <f>IF(E234=1,D234-ROW()/100000,"")</f>
        <v/>
      </c>
      <c r="G234" s="3">
        <f>IF(ISNUMBER(C234),COUNTIF($C$2:$C$500,C234),"")</f>
        <v/>
      </c>
      <c r="H234" s="3">
        <f>IF(ISNUMBER(C234),IF(COUNTIF($C$2:C234,C234)=1,1,0),"")</f>
        <v/>
      </c>
    </row>
    <row r="235">
      <c r="A235" s="2" t="n"/>
      <c r="B235" s="2" t="n"/>
      <c r="C235" s="2" t="n"/>
      <c r="D235" s="3">
        <f>IF(B235="","",COUNTIF($B$2:$B$500,B235))</f>
        <v/>
      </c>
      <c r="E235" s="3">
        <f>IF(B235="","",IF(COUNTIF($B$2:B235,B235)=1,1,0))</f>
        <v/>
      </c>
      <c r="F235" s="4">
        <f>IF(E235=1,D235-ROW()/100000,"")</f>
        <v/>
      </c>
      <c r="G235" s="3">
        <f>IF(ISNUMBER(C235),COUNTIF($C$2:$C$500,C235),"")</f>
        <v/>
      </c>
      <c r="H235" s="3">
        <f>IF(ISNUMBER(C235),IF(COUNTIF($C$2:C235,C235)=1,1,0),"")</f>
        <v/>
      </c>
    </row>
    <row r="236">
      <c r="A236" s="2" t="n"/>
      <c r="B236" s="2" t="n"/>
      <c r="C236" s="2" t="n"/>
      <c r="D236" s="3">
        <f>IF(B236="","",COUNTIF($B$2:$B$500,B236))</f>
        <v/>
      </c>
      <c r="E236" s="3">
        <f>IF(B236="","",IF(COUNTIF($B$2:B236,B236)=1,1,0))</f>
        <v/>
      </c>
      <c r="F236" s="4">
        <f>IF(E236=1,D236-ROW()/100000,"")</f>
        <v/>
      </c>
      <c r="G236" s="3">
        <f>IF(ISNUMBER(C236),COUNTIF($C$2:$C$500,C236),"")</f>
        <v/>
      </c>
      <c r="H236" s="3">
        <f>IF(ISNUMBER(C236),IF(COUNTIF($C$2:C236,C236)=1,1,0),"")</f>
        <v/>
      </c>
    </row>
    <row r="237">
      <c r="A237" s="2" t="n"/>
      <c r="B237" s="2" t="n"/>
      <c r="C237" s="2" t="n"/>
      <c r="D237" s="3">
        <f>IF(B237="","",COUNTIF($B$2:$B$500,B237))</f>
        <v/>
      </c>
      <c r="E237" s="3">
        <f>IF(B237="","",IF(COUNTIF($B$2:B237,B237)=1,1,0))</f>
        <v/>
      </c>
      <c r="F237" s="4">
        <f>IF(E237=1,D237-ROW()/100000,"")</f>
        <v/>
      </c>
      <c r="G237" s="3">
        <f>IF(ISNUMBER(C237),COUNTIF($C$2:$C$500,C237),"")</f>
        <v/>
      </c>
      <c r="H237" s="3">
        <f>IF(ISNUMBER(C237),IF(COUNTIF($C$2:C237,C237)=1,1,0),"")</f>
        <v/>
      </c>
    </row>
    <row r="238">
      <c r="A238" s="2" t="n"/>
      <c r="B238" s="2" t="n"/>
      <c r="C238" s="2" t="n"/>
      <c r="D238" s="3">
        <f>IF(B238="","",COUNTIF($B$2:$B$500,B238))</f>
        <v/>
      </c>
      <c r="E238" s="3">
        <f>IF(B238="","",IF(COUNTIF($B$2:B238,B238)=1,1,0))</f>
        <v/>
      </c>
      <c r="F238" s="4">
        <f>IF(E238=1,D238-ROW()/100000,"")</f>
        <v/>
      </c>
      <c r="G238" s="3">
        <f>IF(ISNUMBER(C238),COUNTIF($C$2:$C$500,C238),"")</f>
        <v/>
      </c>
      <c r="H238" s="3">
        <f>IF(ISNUMBER(C238),IF(COUNTIF($C$2:C238,C238)=1,1,0),"")</f>
        <v/>
      </c>
    </row>
    <row r="239">
      <c r="A239" s="2" t="n"/>
      <c r="B239" s="2" t="n"/>
      <c r="C239" s="2" t="n"/>
      <c r="D239" s="3">
        <f>IF(B239="","",COUNTIF($B$2:$B$500,B239))</f>
        <v/>
      </c>
      <c r="E239" s="3">
        <f>IF(B239="","",IF(COUNTIF($B$2:B239,B239)=1,1,0))</f>
        <v/>
      </c>
      <c r="F239" s="4">
        <f>IF(E239=1,D239-ROW()/100000,"")</f>
        <v/>
      </c>
      <c r="G239" s="3">
        <f>IF(ISNUMBER(C239),COUNTIF($C$2:$C$500,C239),"")</f>
        <v/>
      </c>
      <c r="H239" s="3">
        <f>IF(ISNUMBER(C239),IF(COUNTIF($C$2:C239,C239)=1,1,0),"")</f>
        <v/>
      </c>
    </row>
    <row r="240">
      <c r="A240" s="2" t="n"/>
      <c r="B240" s="2" t="n"/>
      <c r="C240" s="2" t="n"/>
      <c r="D240" s="3">
        <f>IF(B240="","",COUNTIF($B$2:$B$500,B240))</f>
        <v/>
      </c>
      <c r="E240" s="3">
        <f>IF(B240="","",IF(COUNTIF($B$2:B240,B240)=1,1,0))</f>
        <v/>
      </c>
      <c r="F240" s="4">
        <f>IF(E240=1,D240-ROW()/100000,"")</f>
        <v/>
      </c>
      <c r="G240" s="3">
        <f>IF(ISNUMBER(C240),COUNTIF($C$2:$C$500,C240),"")</f>
        <v/>
      </c>
      <c r="H240" s="3">
        <f>IF(ISNUMBER(C240),IF(COUNTIF($C$2:C240,C240)=1,1,0),"")</f>
        <v/>
      </c>
    </row>
    <row r="241">
      <c r="A241" s="2" t="n"/>
      <c r="B241" s="2" t="n"/>
      <c r="C241" s="2" t="n"/>
      <c r="D241" s="3">
        <f>IF(B241="","",COUNTIF($B$2:$B$500,B241))</f>
        <v/>
      </c>
      <c r="E241" s="3">
        <f>IF(B241="","",IF(COUNTIF($B$2:B241,B241)=1,1,0))</f>
        <v/>
      </c>
      <c r="F241" s="4">
        <f>IF(E241=1,D241-ROW()/100000,"")</f>
        <v/>
      </c>
      <c r="G241" s="3">
        <f>IF(ISNUMBER(C241),COUNTIF($C$2:$C$500,C241),"")</f>
        <v/>
      </c>
      <c r="H241" s="3">
        <f>IF(ISNUMBER(C241),IF(COUNTIF($C$2:C241,C241)=1,1,0),"")</f>
        <v/>
      </c>
    </row>
    <row r="242">
      <c r="A242" s="2" t="n"/>
      <c r="B242" s="2" t="n"/>
      <c r="C242" s="2" t="n"/>
      <c r="D242" s="3">
        <f>IF(B242="","",COUNTIF($B$2:$B$500,B242))</f>
        <v/>
      </c>
      <c r="E242" s="3">
        <f>IF(B242="","",IF(COUNTIF($B$2:B242,B242)=1,1,0))</f>
        <v/>
      </c>
      <c r="F242" s="4">
        <f>IF(E242=1,D242-ROW()/100000,"")</f>
        <v/>
      </c>
      <c r="G242" s="3">
        <f>IF(ISNUMBER(C242),COUNTIF($C$2:$C$500,C242),"")</f>
        <v/>
      </c>
      <c r="H242" s="3">
        <f>IF(ISNUMBER(C242),IF(COUNTIF($C$2:C242,C242)=1,1,0),"")</f>
        <v/>
      </c>
    </row>
    <row r="243">
      <c r="A243" s="2" t="n"/>
      <c r="B243" s="2" t="n"/>
      <c r="C243" s="2" t="n"/>
      <c r="D243" s="3">
        <f>IF(B243="","",COUNTIF($B$2:$B$500,B243))</f>
        <v/>
      </c>
      <c r="E243" s="3">
        <f>IF(B243="","",IF(COUNTIF($B$2:B243,B243)=1,1,0))</f>
        <v/>
      </c>
      <c r="F243" s="4">
        <f>IF(E243=1,D243-ROW()/100000,"")</f>
        <v/>
      </c>
      <c r="G243" s="3">
        <f>IF(ISNUMBER(C243),COUNTIF($C$2:$C$500,C243),"")</f>
        <v/>
      </c>
      <c r="H243" s="3">
        <f>IF(ISNUMBER(C243),IF(COUNTIF($C$2:C243,C243)=1,1,0),"")</f>
        <v/>
      </c>
    </row>
    <row r="244">
      <c r="A244" s="2" t="n"/>
      <c r="B244" s="2" t="n"/>
      <c r="C244" s="2" t="n"/>
      <c r="D244" s="3">
        <f>IF(B244="","",COUNTIF($B$2:$B$500,B244))</f>
        <v/>
      </c>
      <c r="E244" s="3">
        <f>IF(B244="","",IF(COUNTIF($B$2:B244,B244)=1,1,0))</f>
        <v/>
      </c>
      <c r="F244" s="4">
        <f>IF(E244=1,D244-ROW()/100000,"")</f>
        <v/>
      </c>
      <c r="G244" s="3">
        <f>IF(ISNUMBER(C244),COUNTIF($C$2:$C$500,C244),"")</f>
        <v/>
      </c>
      <c r="H244" s="3">
        <f>IF(ISNUMBER(C244),IF(COUNTIF($C$2:C244,C244)=1,1,0),"")</f>
        <v/>
      </c>
    </row>
    <row r="245">
      <c r="A245" s="2" t="n"/>
      <c r="B245" s="2" t="n"/>
      <c r="C245" s="2" t="n"/>
      <c r="D245" s="3">
        <f>IF(B245="","",COUNTIF($B$2:$B$500,B245))</f>
        <v/>
      </c>
      <c r="E245" s="3">
        <f>IF(B245="","",IF(COUNTIF($B$2:B245,B245)=1,1,0))</f>
        <v/>
      </c>
      <c r="F245" s="4">
        <f>IF(E245=1,D245-ROW()/100000,"")</f>
        <v/>
      </c>
      <c r="G245" s="3">
        <f>IF(ISNUMBER(C245),COUNTIF($C$2:$C$500,C245),"")</f>
        <v/>
      </c>
      <c r="H245" s="3">
        <f>IF(ISNUMBER(C245),IF(COUNTIF($C$2:C245,C245)=1,1,0),"")</f>
        <v/>
      </c>
    </row>
    <row r="246">
      <c r="A246" s="2" t="n"/>
      <c r="B246" s="2" t="n"/>
      <c r="C246" s="2" t="n"/>
      <c r="D246" s="3">
        <f>IF(B246="","",COUNTIF($B$2:$B$500,B246))</f>
        <v/>
      </c>
      <c r="E246" s="3">
        <f>IF(B246="","",IF(COUNTIF($B$2:B246,B246)=1,1,0))</f>
        <v/>
      </c>
      <c r="F246" s="4">
        <f>IF(E246=1,D246-ROW()/100000,"")</f>
        <v/>
      </c>
      <c r="G246" s="3">
        <f>IF(ISNUMBER(C246),COUNTIF($C$2:$C$500,C246),"")</f>
        <v/>
      </c>
      <c r="H246" s="3">
        <f>IF(ISNUMBER(C246),IF(COUNTIF($C$2:C246,C246)=1,1,0),"")</f>
        <v/>
      </c>
    </row>
    <row r="247">
      <c r="A247" s="2" t="n"/>
      <c r="B247" s="2" t="n"/>
      <c r="C247" s="2" t="n"/>
      <c r="D247" s="3">
        <f>IF(B247="","",COUNTIF($B$2:$B$500,B247))</f>
        <v/>
      </c>
      <c r="E247" s="3">
        <f>IF(B247="","",IF(COUNTIF($B$2:B247,B247)=1,1,0))</f>
        <v/>
      </c>
      <c r="F247" s="4">
        <f>IF(E247=1,D247-ROW()/100000,"")</f>
        <v/>
      </c>
      <c r="G247" s="3">
        <f>IF(ISNUMBER(C247),COUNTIF($C$2:$C$500,C247),"")</f>
        <v/>
      </c>
      <c r="H247" s="3">
        <f>IF(ISNUMBER(C247),IF(COUNTIF($C$2:C247,C247)=1,1,0),"")</f>
        <v/>
      </c>
    </row>
    <row r="248">
      <c r="A248" s="2" t="n"/>
      <c r="B248" s="2" t="n"/>
      <c r="C248" s="2" t="n"/>
      <c r="D248" s="3">
        <f>IF(B248="","",COUNTIF($B$2:$B$500,B248))</f>
        <v/>
      </c>
      <c r="E248" s="3">
        <f>IF(B248="","",IF(COUNTIF($B$2:B248,B248)=1,1,0))</f>
        <v/>
      </c>
      <c r="F248" s="4">
        <f>IF(E248=1,D248-ROW()/100000,"")</f>
        <v/>
      </c>
      <c r="G248" s="3">
        <f>IF(ISNUMBER(C248),COUNTIF($C$2:$C$500,C248),"")</f>
        <v/>
      </c>
      <c r="H248" s="3">
        <f>IF(ISNUMBER(C248),IF(COUNTIF($C$2:C248,C248)=1,1,0),"")</f>
        <v/>
      </c>
    </row>
    <row r="249">
      <c r="A249" s="2" t="n"/>
      <c r="B249" s="2" t="n"/>
      <c r="C249" s="2" t="n"/>
      <c r="D249" s="3">
        <f>IF(B249="","",COUNTIF($B$2:$B$500,B249))</f>
        <v/>
      </c>
      <c r="E249" s="3">
        <f>IF(B249="","",IF(COUNTIF($B$2:B249,B249)=1,1,0))</f>
        <v/>
      </c>
      <c r="F249" s="4">
        <f>IF(E249=1,D249-ROW()/100000,"")</f>
        <v/>
      </c>
      <c r="G249" s="3">
        <f>IF(ISNUMBER(C249),COUNTIF($C$2:$C$500,C249),"")</f>
        <v/>
      </c>
      <c r="H249" s="3">
        <f>IF(ISNUMBER(C249),IF(COUNTIF($C$2:C249,C249)=1,1,0),"")</f>
        <v/>
      </c>
    </row>
    <row r="250">
      <c r="A250" s="2" t="n"/>
      <c r="B250" s="2" t="n"/>
      <c r="C250" s="2" t="n"/>
      <c r="D250" s="3">
        <f>IF(B250="","",COUNTIF($B$2:$B$500,B250))</f>
        <v/>
      </c>
      <c r="E250" s="3">
        <f>IF(B250="","",IF(COUNTIF($B$2:B250,B250)=1,1,0))</f>
        <v/>
      </c>
      <c r="F250" s="4">
        <f>IF(E250=1,D250-ROW()/100000,"")</f>
        <v/>
      </c>
      <c r="G250" s="3">
        <f>IF(ISNUMBER(C250),COUNTIF($C$2:$C$500,C250),"")</f>
        <v/>
      </c>
      <c r="H250" s="3">
        <f>IF(ISNUMBER(C250),IF(COUNTIF($C$2:C250,C250)=1,1,0),"")</f>
        <v/>
      </c>
    </row>
    <row r="251">
      <c r="A251" s="2" t="n"/>
      <c r="B251" s="2" t="n"/>
      <c r="C251" s="2" t="n"/>
      <c r="D251" s="3">
        <f>IF(B251="","",COUNTIF($B$2:$B$500,B251))</f>
        <v/>
      </c>
      <c r="E251" s="3">
        <f>IF(B251="","",IF(COUNTIF($B$2:B251,B251)=1,1,0))</f>
        <v/>
      </c>
      <c r="F251" s="4">
        <f>IF(E251=1,D251-ROW()/100000,"")</f>
        <v/>
      </c>
      <c r="G251" s="3">
        <f>IF(ISNUMBER(C251),COUNTIF($C$2:$C$500,C251),"")</f>
        <v/>
      </c>
      <c r="H251" s="3">
        <f>IF(ISNUMBER(C251),IF(COUNTIF($C$2:C251,C251)=1,1,0),"")</f>
        <v/>
      </c>
    </row>
    <row r="252">
      <c r="A252" s="2" t="n"/>
      <c r="B252" s="2" t="n"/>
      <c r="C252" s="2" t="n"/>
      <c r="D252" s="3">
        <f>IF(B252="","",COUNTIF($B$2:$B$500,B252))</f>
        <v/>
      </c>
      <c r="E252" s="3">
        <f>IF(B252="","",IF(COUNTIF($B$2:B252,B252)=1,1,0))</f>
        <v/>
      </c>
      <c r="F252" s="4">
        <f>IF(E252=1,D252-ROW()/100000,"")</f>
        <v/>
      </c>
      <c r="G252" s="3">
        <f>IF(ISNUMBER(C252),COUNTIF($C$2:$C$500,C252),"")</f>
        <v/>
      </c>
      <c r="H252" s="3">
        <f>IF(ISNUMBER(C252),IF(COUNTIF($C$2:C252,C252)=1,1,0),"")</f>
        <v/>
      </c>
    </row>
    <row r="253">
      <c r="A253" s="2" t="n"/>
      <c r="B253" s="2" t="n"/>
      <c r="C253" s="2" t="n"/>
      <c r="D253" s="3">
        <f>IF(B253="","",COUNTIF($B$2:$B$500,B253))</f>
        <v/>
      </c>
      <c r="E253" s="3">
        <f>IF(B253="","",IF(COUNTIF($B$2:B253,B253)=1,1,0))</f>
        <v/>
      </c>
      <c r="F253" s="4">
        <f>IF(E253=1,D253-ROW()/100000,"")</f>
        <v/>
      </c>
      <c r="G253" s="3">
        <f>IF(ISNUMBER(C253),COUNTIF($C$2:$C$500,C253),"")</f>
        <v/>
      </c>
      <c r="H253" s="3">
        <f>IF(ISNUMBER(C253),IF(COUNTIF($C$2:C253,C253)=1,1,0),"")</f>
        <v/>
      </c>
    </row>
    <row r="254">
      <c r="A254" s="2" t="n"/>
      <c r="B254" s="2" t="n"/>
      <c r="C254" s="2" t="n"/>
      <c r="D254" s="3">
        <f>IF(B254="","",COUNTIF($B$2:$B$500,B254))</f>
        <v/>
      </c>
      <c r="E254" s="3">
        <f>IF(B254="","",IF(COUNTIF($B$2:B254,B254)=1,1,0))</f>
        <v/>
      </c>
      <c r="F254" s="4">
        <f>IF(E254=1,D254-ROW()/100000,"")</f>
        <v/>
      </c>
      <c r="G254" s="3">
        <f>IF(ISNUMBER(C254),COUNTIF($C$2:$C$500,C254),"")</f>
        <v/>
      </c>
      <c r="H254" s="3">
        <f>IF(ISNUMBER(C254),IF(COUNTIF($C$2:C254,C254)=1,1,0),"")</f>
        <v/>
      </c>
    </row>
    <row r="255">
      <c r="A255" s="2" t="n"/>
      <c r="B255" s="2" t="n"/>
      <c r="C255" s="2" t="n"/>
      <c r="D255" s="3">
        <f>IF(B255="","",COUNTIF($B$2:$B$500,B255))</f>
        <v/>
      </c>
      <c r="E255" s="3">
        <f>IF(B255="","",IF(COUNTIF($B$2:B255,B255)=1,1,0))</f>
        <v/>
      </c>
      <c r="F255" s="4">
        <f>IF(E255=1,D255-ROW()/100000,"")</f>
        <v/>
      </c>
      <c r="G255" s="3">
        <f>IF(ISNUMBER(C255),COUNTIF($C$2:$C$500,C255),"")</f>
        <v/>
      </c>
      <c r="H255" s="3">
        <f>IF(ISNUMBER(C255),IF(COUNTIF($C$2:C255,C255)=1,1,0),"")</f>
        <v/>
      </c>
    </row>
    <row r="256">
      <c r="A256" s="2" t="n"/>
      <c r="B256" s="2" t="n"/>
      <c r="C256" s="2" t="n"/>
      <c r="D256" s="3">
        <f>IF(B256="","",COUNTIF($B$2:$B$500,B256))</f>
        <v/>
      </c>
      <c r="E256" s="3">
        <f>IF(B256="","",IF(COUNTIF($B$2:B256,B256)=1,1,0))</f>
        <v/>
      </c>
      <c r="F256" s="4">
        <f>IF(E256=1,D256-ROW()/100000,"")</f>
        <v/>
      </c>
      <c r="G256" s="3">
        <f>IF(ISNUMBER(C256),COUNTIF($C$2:$C$500,C256),"")</f>
        <v/>
      </c>
      <c r="H256" s="3">
        <f>IF(ISNUMBER(C256),IF(COUNTIF($C$2:C256,C256)=1,1,0),"")</f>
        <v/>
      </c>
    </row>
    <row r="257">
      <c r="A257" s="2" t="n"/>
      <c r="B257" s="2" t="n"/>
      <c r="C257" s="2" t="n"/>
      <c r="D257" s="3">
        <f>IF(B257="","",COUNTIF($B$2:$B$500,B257))</f>
        <v/>
      </c>
      <c r="E257" s="3">
        <f>IF(B257="","",IF(COUNTIF($B$2:B257,B257)=1,1,0))</f>
        <v/>
      </c>
      <c r="F257" s="4">
        <f>IF(E257=1,D257-ROW()/100000,"")</f>
        <v/>
      </c>
      <c r="G257" s="3">
        <f>IF(ISNUMBER(C257),COUNTIF($C$2:$C$500,C257),"")</f>
        <v/>
      </c>
      <c r="H257" s="3">
        <f>IF(ISNUMBER(C257),IF(COUNTIF($C$2:C257,C257)=1,1,0),"")</f>
        <v/>
      </c>
    </row>
    <row r="258">
      <c r="A258" s="2" t="n"/>
      <c r="B258" s="2" t="n"/>
      <c r="C258" s="2" t="n"/>
      <c r="D258" s="3">
        <f>IF(B258="","",COUNTIF($B$2:$B$500,B258))</f>
        <v/>
      </c>
      <c r="E258" s="3">
        <f>IF(B258="","",IF(COUNTIF($B$2:B258,B258)=1,1,0))</f>
        <v/>
      </c>
      <c r="F258" s="4">
        <f>IF(E258=1,D258-ROW()/100000,"")</f>
        <v/>
      </c>
      <c r="G258" s="3">
        <f>IF(ISNUMBER(C258),COUNTIF($C$2:$C$500,C258),"")</f>
        <v/>
      </c>
      <c r="H258" s="3">
        <f>IF(ISNUMBER(C258),IF(COUNTIF($C$2:C258,C258)=1,1,0),"")</f>
        <v/>
      </c>
    </row>
    <row r="259">
      <c r="A259" s="2" t="n"/>
      <c r="B259" s="2" t="n"/>
      <c r="C259" s="2" t="n"/>
      <c r="D259" s="3">
        <f>IF(B259="","",COUNTIF($B$2:$B$500,B259))</f>
        <v/>
      </c>
      <c r="E259" s="3">
        <f>IF(B259="","",IF(COUNTIF($B$2:B259,B259)=1,1,0))</f>
        <v/>
      </c>
      <c r="F259" s="4">
        <f>IF(E259=1,D259-ROW()/100000,"")</f>
        <v/>
      </c>
      <c r="G259" s="3">
        <f>IF(ISNUMBER(C259),COUNTIF($C$2:$C$500,C259),"")</f>
        <v/>
      </c>
      <c r="H259" s="3">
        <f>IF(ISNUMBER(C259),IF(COUNTIF($C$2:C259,C259)=1,1,0),"")</f>
        <v/>
      </c>
    </row>
    <row r="260">
      <c r="A260" s="2" t="n"/>
      <c r="B260" s="2" t="n"/>
      <c r="C260" s="2" t="n"/>
      <c r="D260" s="3">
        <f>IF(B260="","",COUNTIF($B$2:$B$500,B260))</f>
        <v/>
      </c>
      <c r="E260" s="3">
        <f>IF(B260="","",IF(COUNTIF($B$2:B260,B260)=1,1,0))</f>
        <v/>
      </c>
      <c r="F260" s="4">
        <f>IF(E260=1,D260-ROW()/100000,"")</f>
        <v/>
      </c>
      <c r="G260" s="3">
        <f>IF(ISNUMBER(C260),COUNTIF($C$2:$C$500,C260),"")</f>
        <v/>
      </c>
      <c r="H260" s="3">
        <f>IF(ISNUMBER(C260),IF(COUNTIF($C$2:C260,C260)=1,1,0),"")</f>
        <v/>
      </c>
    </row>
    <row r="261">
      <c r="A261" s="2" t="n"/>
      <c r="B261" s="2" t="n"/>
      <c r="C261" s="2" t="n"/>
      <c r="D261" s="3">
        <f>IF(B261="","",COUNTIF($B$2:$B$500,B261))</f>
        <v/>
      </c>
      <c r="E261" s="3">
        <f>IF(B261="","",IF(COUNTIF($B$2:B261,B261)=1,1,0))</f>
        <v/>
      </c>
      <c r="F261" s="4">
        <f>IF(E261=1,D261-ROW()/100000,"")</f>
        <v/>
      </c>
      <c r="G261" s="3">
        <f>IF(ISNUMBER(C261),COUNTIF($C$2:$C$500,C261),"")</f>
        <v/>
      </c>
      <c r="H261" s="3">
        <f>IF(ISNUMBER(C261),IF(COUNTIF($C$2:C261,C261)=1,1,0),"")</f>
        <v/>
      </c>
    </row>
    <row r="262">
      <c r="A262" s="2" t="n"/>
      <c r="B262" s="2" t="n"/>
      <c r="C262" s="2" t="n"/>
      <c r="D262" s="3">
        <f>IF(B262="","",COUNTIF($B$2:$B$500,B262))</f>
        <v/>
      </c>
      <c r="E262" s="3">
        <f>IF(B262="","",IF(COUNTIF($B$2:B262,B262)=1,1,0))</f>
        <v/>
      </c>
      <c r="F262" s="4">
        <f>IF(E262=1,D262-ROW()/100000,"")</f>
        <v/>
      </c>
      <c r="G262" s="3">
        <f>IF(ISNUMBER(C262),COUNTIF($C$2:$C$500,C262),"")</f>
        <v/>
      </c>
      <c r="H262" s="3">
        <f>IF(ISNUMBER(C262),IF(COUNTIF($C$2:C262,C262)=1,1,0),"")</f>
        <v/>
      </c>
    </row>
    <row r="263">
      <c r="A263" s="2" t="n"/>
      <c r="B263" s="2" t="n"/>
      <c r="C263" s="2" t="n"/>
      <c r="D263" s="3">
        <f>IF(B263="","",COUNTIF($B$2:$B$500,B263))</f>
        <v/>
      </c>
      <c r="E263" s="3">
        <f>IF(B263="","",IF(COUNTIF($B$2:B263,B263)=1,1,0))</f>
        <v/>
      </c>
      <c r="F263" s="4">
        <f>IF(E263=1,D263-ROW()/100000,"")</f>
        <v/>
      </c>
      <c r="G263" s="3">
        <f>IF(ISNUMBER(C263),COUNTIF($C$2:$C$500,C263),"")</f>
        <v/>
      </c>
      <c r="H263" s="3">
        <f>IF(ISNUMBER(C263),IF(COUNTIF($C$2:C263,C263)=1,1,0),"")</f>
        <v/>
      </c>
    </row>
    <row r="264">
      <c r="A264" s="2" t="n"/>
      <c r="B264" s="2" t="n"/>
      <c r="C264" s="2" t="n"/>
      <c r="D264" s="3">
        <f>IF(B264="","",COUNTIF($B$2:$B$500,B264))</f>
        <v/>
      </c>
      <c r="E264" s="3">
        <f>IF(B264="","",IF(COUNTIF($B$2:B264,B264)=1,1,0))</f>
        <v/>
      </c>
      <c r="F264" s="4">
        <f>IF(E264=1,D264-ROW()/100000,"")</f>
        <v/>
      </c>
      <c r="G264" s="3">
        <f>IF(ISNUMBER(C264),COUNTIF($C$2:$C$500,C264),"")</f>
        <v/>
      </c>
      <c r="H264" s="3">
        <f>IF(ISNUMBER(C264),IF(COUNTIF($C$2:C264,C264)=1,1,0),"")</f>
        <v/>
      </c>
    </row>
    <row r="265">
      <c r="A265" s="2" t="n"/>
      <c r="B265" s="2" t="n"/>
      <c r="C265" s="2" t="n"/>
      <c r="D265" s="3">
        <f>IF(B265="","",COUNTIF($B$2:$B$500,B265))</f>
        <v/>
      </c>
      <c r="E265" s="3">
        <f>IF(B265="","",IF(COUNTIF($B$2:B265,B265)=1,1,0))</f>
        <v/>
      </c>
      <c r="F265" s="4">
        <f>IF(E265=1,D265-ROW()/100000,"")</f>
        <v/>
      </c>
      <c r="G265" s="3">
        <f>IF(ISNUMBER(C265),COUNTIF($C$2:$C$500,C265),"")</f>
        <v/>
      </c>
      <c r="H265" s="3">
        <f>IF(ISNUMBER(C265),IF(COUNTIF($C$2:C265,C265)=1,1,0),"")</f>
        <v/>
      </c>
    </row>
    <row r="266">
      <c r="A266" s="2" t="n"/>
      <c r="B266" s="2" t="n"/>
      <c r="C266" s="2" t="n"/>
      <c r="D266" s="3">
        <f>IF(B266="","",COUNTIF($B$2:$B$500,B266))</f>
        <v/>
      </c>
      <c r="E266" s="3">
        <f>IF(B266="","",IF(COUNTIF($B$2:B266,B266)=1,1,0))</f>
        <v/>
      </c>
      <c r="F266" s="4">
        <f>IF(E266=1,D266-ROW()/100000,"")</f>
        <v/>
      </c>
      <c r="G266" s="3">
        <f>IF(ISNUMBER(C266),COUNTIF($C$2:$C$500,C266),"")</f>
        <v/>
      </c>
      <c r="H266" s="3">
        <f>IF(ISNUMBER(C266),IF(COUNTIF($C$2:C266,C266)=1,1,0),"")</f>
        <v/>
      </c>
    </row>
    <row r="267">
      <c r="A267" s="2" t="n"/>
      <c r="B267" s="2" t="n"/>
      <c r="C267" s="2" t="n"/>
      <c r="D267" s="3">
        <f>IF(B267="","",COUNTIF($B$2:$B$500,B267))</f>
        <v/>
      </c>
      <c r="E267" s="3">
        <f>IF(B267="","",IF(COUNTIF($B$2:B267,B267)=1,1,0))</f>
        <v/>
      </c>
      <c r="F267" s="4">
        <f>IF(E267=1,D267-ROW()/100000,"")</f>
        <v/>
      </c>
      <c r="G267" s="3">
        <f>IF(ISNUMBER(C267),COUNTIF($C$2:$C$500,C267),"")</f>
        <v/>
      </c>
      <c r="H267" s="3">
        <f>IF(ISNUMBER(C267),IF(COUNTIF($C$2:C267,C267)=1,1,0),"")</f>
        <v/>
      </c>
    </row>
    <row r="268">
      <c r="A268" s="2" t="n"/>
      <c r="B268" s="2" t="n"/>
      <c r="C268" s="2" t="n"/>
      <c r="D268" s="3">
        <f>IF(B268="","",COUNTIF($B$2:$B$500,B268))</f>
        <v/>
      </c>
      <c r="E268" s="3">
        <f>IF(B268="","",IF(COUNTIF($B$2:B268,B268)=1,1,0))</f>
        <v/>
      </c>
      <c r="F268" s="4">
        <f>IF(E268=1,D268-ROW()/100000,"")</f>
        <v/>
      </c>
      <c r="G268" s="3">
        <f>IF(ISNUMBER(C268),COUNTIF($C$2:$C$500,C268),"")</f>
        <v/>
      </c>
      <c r="H268" s="3">
        <f>IF(ISNUMBER(C268),IF(COUNTIF($C$2:C268,C268)=1,1,0),"")</f>
        <v/>
      </c>
    </row>
    <row r="269">
      <c r="A269" s="2" t="n"/>
      <c r="B269" s="2" t="n"/>
      <c r="C269" s="2" t="n"/>
      <c r="D269" s="3">
        <f>IF(B269="","",COUNTIF($B$2:$B$500,B269))</f>
        <v/>
      </c>
      <c r="E269" s="3">
        <f>IF(B269="","",IF(COUNTIF($B$2:B269,B269)=1,1,0))</f>
        <v/>
      </c>
      <c r="F269" s="4">
        <f>IF(E269=1,D269-ROW()/100000,"")</f>
        <v/>
      </c>
      <c r="G269" s="3">
        <f>IF(ISNUMBER(C269),COUNTIF($C$2:$C$500,C269),"")</f>
        <v/>
      </c>
      <c r="H269" s="3">
        <f>IF(ISNUMBER(C269),IF(COUNTIF($C$2:C269,C269)=1,1,0),"")</f>
        <v/>
      </c>
    </row>
    <row r="270">
      <c r="A270" s="2" t="n"/>
      <c r="B270" s="2" t="n"/>
      <c r="C270" s="2" t="n"/>
      <c r="D270" s="3">
        <f>IF(B270="","",COUNTIF($B$2:$B$500,B270))</f>
        <v/>
      </c>
      <c r="E270" s="3">
        <f>IF(B270="","",IF(COUNTIF($B$2:B270,B270)=1,1,0))</f>
        <v/>
      </c>
      <c r="F270" s="4">
        <f>IF(E270=1,D270-ROW()/100000,"")</f>
        <v/>
      </c>
      <c r="G270" s="3">
        <f>IF(ISNUMBER(C270),COUNTIF($C$2:$C$500,C270),"")</f>
        <v/>
      </c>
      <c r="H270" s="3">
        <f>IF(ISNUMBER(C270),IF(COUNTIF($C$2:C270,C270)=1,1,0),"")</f>
        <v/>
      </c>
    </row>
    <row r="271">
      <c r="A271" s="2" t="n"/>
      <c r="B271" s="2" t="n"/>
      <c r="C271" s="2" t="n"/>
      <c r="D271" s="3">
        <f>IF(B271="","",COUNTIF($B$2:$B$500,B271))</f>
        <v/>
      </c>
      <c r="E271" s="3">
        <f>IF(B271="","",IF(COUNTIF($B$2:B271,B271)=1,1,0))</f>
        <v/>
      </c>
      <c r="F271" s="4">
        <f>IF(E271=1,D271-ROW()/100000,"")</f>
        <v/>
      </c>
      <c r="G271" s="3">
        <f>IF(ISNUMBER(C271),COUNTIF($C$2:$C$500,C271),"")</f>
        <v/>
      </c>
      <c r="H271" s="3">
        <f>IF(ISNUMBER(C271),IF(COUNTIF($C$2:C271,C271)=1,1,0),"")</f>
        <v/>
      </c>
    </row>
    <row r="272">
      <c r="A272" s="2" t="n"/>
      <c r="B272" s="2" t="n"/>
      <c r="C272" s="2" t="n"/>
      <c r="D272" s="3">
        <f>IF(B272="","",COUNTIF($B$2:$B$500,B272))</f>
        <v/>
      </c>
      <c r="E272" s="3">
        <f>IF(B272="","",IF(COUNTIF($B$2:B272,B272)=1,1,0))</f>
        <v/>
      </c>
      <c r="F272" s="4">
        <f>IF(E272=1,D272-ROW()/100000,"")</f>
        <v/>
      </c>
      <c r="G272" s="3">
        <f>IF(ISNUMBER(C272),COUNTIF($C$2:$C$500,C272),"")</f>
        <v/>
      </c>
      <c r="H272" s="3">
        <f>IF(ISNUMBER(C272),IF(COUNTIF($C$2:C272,C272)=1,1,0),"")</f>
        <v/>
      </c>
    </row>
    <row r="273">
      <c r="A273" s="2" t="n"/>
      <c r="B273" s="2" t="n"/>
      <c r="C273" s="2" t="n"/>
      <c r="D273" s="3">
        <f>IF(B273="","",COUNTIF($B$2:$B$500,B273))</f>
        <v/>
      </c>
      <c r="E273" s="3">
        <f>IF(B273="","",IF(COUNTIF($B$2:B273,B273)=1,1,0))</f>
        <v/>
      </c>
      <c r="F273" s="4">
        <f>IF(E273=1,D273-ROW()/100000,"")</f>
        <v/>
      </c>
      <c r="G273" s="3">
        <f>IF(ISNUMBER(C273),COUNTIF($C$2:$C$500,C273),"")</f>
        <v/>
      </c>
      <c r="H273" s="3">
        <f>IF(ISNUMBER(C273),IF(COUNTIF($C$2:C273,C273)=1,1,0),"")</f>
        <v/>
      </c>
    </row>
    <row r="274">
      <c r="A274" s="2" t="n"/>
      <c r="B274" s="2" t="n"/>
      <c r="C274" s="2" t="n"/>
      <c r="D274" s="3">
        <f>IF(B274="","",COUNTIF($B$2:$B$500,B274))</f>
        <v/>
      </c>
      <c r="E274" s="3">
        <f>IF(B274="","",IF(COUNTIF($B$2:B274,B274)=1,1,0))</f>
        <v/>
      </c>
      <c r="F274" s="4">
        <f>IF(E274=1,D274-ROW()/100000,"")</f>
        <v/>
      </c>
      <c r="G274" s="3">
        <f>IF(ISNUMBER(C274),COUNTIF($C$2:$C$500,C274),"")</f>
        <v/>
      </c>
      <c r="H274" s="3">
        <f>IF(ISNUMBER(C274),IF(COUNTIF($C$2:C274,C274)=1,1,0),"")</f>
        <v/>
      </c>
    </row>
    <row r="275">
      <c r="A275" s="2" t="n"/>
      <c r="B275" s="2" t="n"/>
      <c r="C275" s="2" t="n"/>
      <c r="D275" s="3">
        <f>IF(B275="","",COUNTIF($B$2:$B$500,B275))</f>
        <v/>
      </c>
      <c r="E275" s="3">
        <f>IF(B275="","",IF(COUNTIF($B$2:B275,B275)=1,1,0))</f>
        <v/>
      </c>
      <c r="F275" s="4">
        <f>IF(E275=1,D275-ROW()/100000,"")</f>
        <v/>
      </c>
      <c r="G275" s="3">
        <f>IF(ISNUMBER(C275),COUNTIF($C$2:$C$500,C275),"")</f>
        <v/>
      </c>
      <c r="H275" s="3">
        <f>IF(ISNUMBER(C275),IF(COUNTIF($C$2:C275,C275)=1,1,0),"")</f>
        <v/>
      </c>
    </row>
    <row r="276">
      <c r="A276" s="2" t="n"/>
      <c r="B276" s="2" t="n"/>
      <c r="C276" s="2" t="n"/>
      <c r="D276" s="3">
        <f>IF(B276="","",COUNTIF($B$2:$B$500,B276))</f>
        <v/>
      </c>
      <c r="E276" s="3">
        <f>IF(B276="","",IF(COUNTIF($B$2:B276,B276)=1,1,0))</f>
        <v/>
      </c>
      <c r="F276" s="4">
        <f>IF(E276=1,D276-ROW()/100000,"")</f>
        <v/>
      </c>
      <c r="G276" s="3">
        <f>IF(ISNUMBER(C276),COUNTIF($C$2:$C$500,C276),"")</f>
        <v/>
      </c>
      <c r="H276" s="3">
        <f>IF(ISNUMBER(C276),IF(COUNTIF($C$2:C276,C276)=1,1,0),"")</f>
        <v/>
      </c>
    </row>
    <row r="277">
      <c r="A277" s="2" t="n"/>
      <c r="B277" s="2" t="n"/>
      <c r="C277" s="2" t="n"/>
      <c r="D277" s="3">
        <f>IF(B277="","",COUNTIF($B$2:$B$500,B277))</f>
        <v/>
      </c>
      <c r="E277" s="3">
        <f>IF(B277="","",IF(COUNTIF($B$2:B277,B277)=1,1,0))</f>
        <v/>
      </c>
      <c r="F277" s="4">
        <f>IF(E277=1,D277-ROW()/100000,"")</f>
        <v/>
      </c>
      <c r="G277" s="3">
        <f>IF(ISNUMBER(C277),COUNTIF($C$2:$C$500,C277),"")</f>
        <v/>
      </c>
      <c r="H277" s="3">
        <f>IF(ISNUMBER(C277),IF(COUNTIF($C$2:C277,C277)=1,1,0),"")</f>
        <v/>
      </c>
    </row>
    <row r="278">
      <c r="A278" s="2" t="n"/>
      <c r="B278" s="2" t="n"/>
      <c r="C278" s="2" t="n"/>
      <c r="D278" s="3">
        <f>IF(B278="","",COUNTIF($B$2:$B$500,B278))</f>
        <v/>
      </c>
      <c r="E278" s="3">
        <f>IF(B278="","",IF(COUNTIF($B$2:B278,B278)=1,1,0))</f>
        <v/>
      </c>
      <c r="F278" s="4">
        <f>IF(E278=1,D278-ROW()/100000,"")</f>
        <v/>
      </c>
      <c r="G278" s="3">
        <f>IF(ISNUMBER(C278),COUNTIF($C$2:$C$500,C278),"")</f>
        <v/>
      </c>
      <c r="H278" s="3">
        <f>IF(ISNUMBER(C278),IF(COUNTIF($C$2:C278,C278)=1,1,0),"")</f>
        <v/>
      </c>
    </row>
    <row r="279">
      <c r="A279" s="2" t="n"/>
      <c r="B279" s="2" t="n"/>
      <c r="C279" s="2" t="n"/>
      <c r="D279" s="3">
        <f>IF(B279="","",COUNTIF($B$2:$B$500,B279))</f>
        <v/>
      </c>
      <c r="E279" s="3">
        <f>IF(B279="","",IF(COUNTIF($B$2:B279,B279)=1,1,0))</f>
        <v/>
      </c>
      <c r="F279" s="4">
        <f>IF(E279=1,D279-ROW()/100000,"")</f>
        <v/>
      </c>
      <c r="G279" s="3">
        <f>IF(ISNUMBER(C279),COUNTIF($C$2:$C$500,C279),"")</f>
        <v/>
      </c>
      <c r="H279" s="3">
        <f>IF(ISNUMBER(C279),IF(COUNTIF($C$2:C279,C279)=1,1,0),"")</f>
        <v/>
      </c>
    </row>
    <row r="280">
      <c r="A280" s="2" t="n"/>
      <c r="B280" s="2" t="n"/>
      <c r="C280" s="2" t="n"/>
      <c r="D280" s="3">
        <f>IF(B280="","",COUNTIF($B$2:$B$500,B280))</f>
        <v/>
      </c>
      <c r="E280" s="3">
        <f>IF(B280="","",IF(COUNTIF($B$2:B280,B280)=1,1,0))</f>
        <v/>
      </c>
      <c r="F280" s="4">
        <f>IF(E280=1,D280-ROW()/100000,"")</f>
        <v/>
      </c>
      <c r="G280" s="3">
        <f>IF(ISNUMBER(C280),COUNTIF($C$2:$C$500,C280),"")</f>
        <v/>
      </c>
      <c r="H280" s="3">
        <f>IF(ISNUMBER(C280),IF(COUNTIF($C$2:C280,C280)=1,1,0),"")</f>
        <v/>
      </c>
    </row>
    <row r="281">
      <c r="A281" s="2" t="n"/>
      <c r="B281" s="2" t="n"/>
      <c r="C281" s="2" t="n"/>
      <c r="D281" s="3">
        <f>IF(B281="","",COUNTIF($B$2:$B$500,B281))</f>
        <v/>
      </c>
      <c r="E281" s="3">
        <f>IF(B281="","",IF(COUNTIF($B$2:B281,B281)=1,1,0))</f>
        <v/>
      </c>
      <c r="F281" s="4">
        <f>IF(E281=1,D281-ROW()/100000,"")</f>
        <v/>
      </c>
      <c r="G281" s="3">
        <f>IF(ISNUMBER(C281),COUNTIF($C$2:$C$500,C281),"")</f>
        <v/>
      </c>
      <c r="H281" s="3">
        <f>IF(ISNUMBER(C281),IF(COUNTIF($C$2:C281,C281)=1,1,0),"")</f>
        <v/>
      </c>
    </row>
    <row r="282">
      <c r="A282" s="2" t="n"/>
      <c r="B282" s="2" t="n"/>
      <c r="C282" s="2" t="n"/>
      <c r="D282" s="3">
        <f>IF(B282="","",COUNTIF($B$2:$B$500,B282))</f>
        <v/>
      </c>
      <c r="E282" s="3">
        <f>IF(B282="","",IF(COUNTIF($B$2:B282,B282)=1,1,0))</f>
        <v/>
      </c>
      <c r="F282" s="4">
        <f>IF(E282=1,D282-ROW()/100000,"")</f>
        <v/>
      </c>
      <c r="G282" s="3">
        <f>IF(ISNUMBER(C282),COUNTIF($C$2:$C$500,C282),"")</f>
        <v/>
      </c>
      <c r="H282" s="3">
        <f>IF(ISNUMBER(C282),IF(COUNTIF($C$2:C282,C282)=1,1,0),"")</f>
        <v/>
      </c>
    </row>
    <row r="283">
      <c r="A283" s="2" t="n"/>
      <c r="B283" s="2" t="n"/>
      <c r="C283" s="2" t="n"/>
      <c r="D283" s="3">
        <f>IF(B283="","",COUNTIF($B$2:$B$500,B283))</f>
        <v/>
      </c>
      <c r="E283" s="3">
        <f>IF(B283="","",IF(COUNTIF($B$2:B283,B283)=1,1,0))</f>
        <v/>
      </c>
      <c r="F283" s="4">
        <f>IF(E283=1,D283-ROW()/100000,"")</f>
        <v/>
      </c>
      <c r="G283" s="3">
        <f>IF(ISNUMBER(C283),COUNTIF($C$2:$C$500,C283),"")</f>
        <v/>
      </c>
      <c r="H283" s="3">
        <f>IF(ISNUMBER(C283),IF(COUNTIF($C$2:C283,C283)=1,1,0),"")</f>
        <v/>
      </c>
    </row>
    <row r="284">
      <c r="A284" s="2" t="n"/>
      <c r="B284" s="2" t="n"/>
      <c r="C284" s="2" t="n"/>
      <c r="D284" s="3">
        <f>IF(B284="","",COUNTIF($B$2:$B$500,B284))</f>
        <v/>
      </c>
      <c r="E284" s="3">
        <f>IF(B284="","",IF(COUNTIF($B$2:B284,B284)=1,1,0))</f>
        <v/>
      </c>
      <c r="F284" s="4">
        <f>IF(E284=1,D284-ROW()/100000,"")</f>
        <v/>
      </c>
      <c r="G284" s="3">
        <f>IF(ISNUMBER(C284),COUNTIF($C$2:$C$500,C284),"")</f>
        <v/>
      </c>
      <c r="H284" s="3">
        <f>IF(ISNUMBER(C284),IF(COUNTIF($C$2:C284,C284)=1,1,0),"")</f>
        <v/>
      </c>
    </row>
    <row r="285">
      <c r="A285" s="2" t="n"/>
      <c r="B285" s="2" t="n"/>
      <c r="C285" s="2" t="n"/>
      <c r="D285" s="3">
        <f>IF(B285="","",COUNTIF($B$2:$B$500,B285))</f>
        <v/>
      </c>
      <c r="E285" s="3">
        <f>IF(B285="","",IF(COUNTIF($B$2:B285,B285)=1,1,0))</f>
        <v/>
      </c>
      <c r="F285" s="4">
        <f>IF(E285=1,D285-ROW()/100000,"")</f>
        <v/>
      </c>
      <c r="G285" s="3">
        <f>IF(ISNUMBER(C285),COUNTIF($C$2:$C$500,C285),"")</f>
        <v/>
      </c>
      <c r="H285" s="3">
        <f>IF(ISNUMBER(C285),IF(COUNTIF($C$2:C285,C285)=1,1,0),"")</f>
        <v/>
      </c>
    </row>
    <row r="286">
      <c r="A286" s="2" t="n"/>
      <c r="B286" s="2" t="n"/>
      <c r="C286" s="2" t="n"/>
      <c r="D286" s="3">
        <f>IF(B286="","",COUNTIF($B$2:$B$500,B286))</f>
        <v/>
      </c>
      <c r="E286" s="3">
        <f>IF(B286="","",IF(COUNTIF($B$2:B286,B286)=1,1,0))</f>
        <v/>
      </c>
      <c r="F286" s="4">
        <f>IF(E286=1,D286-ROW()/100000,"")</f>
        <v/>
      </c>
      <c r="G286" s="3">
        <f>IF(ISNUMBER(C286),COUNTIF($C$2:$C$500,C286),"")</f>
        <v/>
      </c>
      <c r="H286" s="3">
        <f>IF(ISNUMBER(C286),IF(COUNTIF($C$2:C286,C286)=1,1,0),"")</f>
        <v/>
      </c>
    </row>
    <row r="287">
      <c r="A287" s="2" t="n"/>
      <c r="B287" s="2" t="n"/>
      <c r="C287" s="2" t="n"/>
      <c r="D287" s="3">
        <f>IF(B287="","",COUNTIF($B$2:$B$500,B287))</f>
        <v/>
      </c>
      <c r="E287" s="3">
        <f>IF(B287="","",IF(COUNTIF($B$2:B287,B287)=1,1,0))</f>
        <v/>
      </c>
      <c r="F287" s="4">
        <f>IF(E287=1,D287-ROW()/100000,"")</f>
        <v/>
      </c>
      <c r="G287" s="3">
        <f>IF(ISNUMBER(C287),COUNTIF($C$2:$C$500,C287),"")</f>
        <v/>
      </c>
      <c r="H287" s="3">
        <f>IF(ISNUMBER(C287),IF(COUNTIF($C$2:C287,C287)=1,1,0),"")</f>
        <v/>
      </c>
    </row>
    <row r="288">
      <c r="A288" s="2" t="n"/>
      <c r="B288" s="2" t="n"/>
      <c r="C288" s="2" t="n"/>
      <c r="D288" s="3">
        <f>IF(B288="","",COUNTIF($B$2:$B$500,B288))</f>
        <v/>
      </c>
      <c r="E288" s="3">
        <f>IF(B288="","",IF(COUNTIF($B$2:B288,B288)=1,1,0))</f>
        <v/>
      </c>
      <c r="F288" s="4">
        <f>IF(E288=1,D288-ROW()/100000,"")</f>
        <v/>
      </c>
      <c r="G288" s="3">
        <f>IF(ISNUMBER(C288),COUNTIF($C$2:$C$500,C288),"")</f>
        <v/>
      </c>
      <c r="H288" s="3">
        <f>IF(ISNUMBER(C288),IF(COUNTIF($C$2:C288,C288)=1,1,0),"")</f>
        <v/>
      </c>
    </row>
    <row r="289">
      <c r="A289" s="2" t="n"/>
      <c r="B289" s="2" t="n"/>
      <c r="C289" s="2" t="n"/>
      <c r="D289" s="3">
        <f>IF(B289="","",COUNTIF($B$2:$B$500,B289))</f>
        <v/>
      </c>
      <c r="E289" s="3">
        <f>IF(B289="","",IF(COUNTIF($B$2:B289,B289)=1,1,0))</f>
        <v/>
      </c>
      <c r="F289" s="4">
        <f>IF(E289=1,D289-ROW()/100000,"")</f>
        <v/>
      </c>
      <c r="G289" s="3">
        <f>IF(ISNUMBER(C289),COUNTIF($C$2:$C$500,C289),"")</f>
        <v/>
      </c>
      <c r="H289" s="3">
        <f>IF(ISNUMBER(C289),IF(COUNTIF($C$2:C289,C289)=1,1,0),"")</f>
        <v/>
      </c>
    </row>
    <row r="290">
      <c r="A290" s="2" t="n"/>
      <c r="B290" s="2" t="n"/>
      <c r="C290" s="2" t="n"/>
      <c r="D290" s="3">
        <f>IF(B290="","",COUNTIF($B$2:$B$500,B290))</f>
        <v/>
      </c>
      <c r="E290" s="3">
        <f>IF(B290="","",IF(COUNTIF($B$2:B290,B290)=1,1,0))</f>
        <v/>
      </c>
      <c r="F290" s="4">
        <f>IF(E290=1,D290-ROW()/100000,"")</f>
        <v/>
      </c>
      <c r="G290" s="3">
        <f>IF(ISNUMBER(C290),COUNTIF($C$2:$C$500,C290),"")</f>
        <v/>
      </c>
      <c r="H290" s="3">
        <f>IF(ISNUMBER(C290),IF(COUNTIF($C$2:C290,C290)=1,1,0),"")</f>
        <v/>
      </c>
    </row>
    <row r="291">
      <c r="A291" s="2" t="n"/>
      <c r="B291" s="2" t="n"/>
      <c r="C291" s="2" t="n"/>
      <c r="D291" s="3">
        <f>IF(B291="","",COUNTIF($B$2:$B$500,B291))</f>
        <v/>
      </c>
      <c r="E291" s="3">
        <f>IF(B291="","",IF(COUNTIF($B$2:B291,B291)=1,1,0))</f>
        <v/>
      </c>
      <c r="F291" s="4">
        <f>IF(E291=1,D291-ROW()/100000,"")</f>
        <v/>
      </c>
      <c r="G291" s="3">
        <f>IF(ISNUMBER(C291),COUNTIF($C$2:$C$500,C291),"")</f>
        <v/>
      </c>
      <c r="H291" s="3">
        <f>IF(ISNUMBER(C291),IF(COUNTIF($C$2:C291,C291)=1,1,0),"")</f>
        <v/>
      </c>
    </row>
    <row r="292">
      <c r="A292" s="2" t="n"/>
      <c r="B292" s="2" t="n"/>
      <c r="C292" s="2" t="n"/>
      <c r="D292" s="3">
        <f>IF(B292="","",COUNTIF($B$2:$B$500,B292))</f>
        <v/>
      </c>
      <c r="E292" s="3">
        <f>IF(B292="","",IF(COUNTIF($B$2:B292,B292)=1,1,0))</f>
        <v/>
      </c>
      <c r="F292" s="4">
        <f>IF(E292=1,D292-ROW()/100000,"")</f>
        <v/>
      </c>
      <c r="G292" s="3">
        <f>IF(ISNUMBER(C292),COUNTIF($C$2:$C$500,C292),"")</f>
        <v/>
      </c>
      <c r="H292" s="3">
        <f>IF(ISNUMBER(C292),IF(COUNTIF($C$2:C292,C292)=1,1,0),"")</f>
        <v/>
      </c>
    </row>
    <row r="293">
      <c r="A293" s="2" t="n"/>
      <c r="B293" s="2" t="n"/>
      <c r="C293" s="2" t="n"/>
      <c r="D293" s="3">
        <f>IF(B293="","",COUNTIF($B$2:$B$500,B293))</f>
        <v/>
      </c>
      <c r="E293" s="3">
        <f>IF(B293="","",IF(COUNTIF($B$2:B293,B293)=1,1,0))</f>
        <v/>
      </c>
      <c r="F293" s="4">
        <f>IF(E293=1,D293-ROW()/100000,"")</f>
        <v/>
      </c>
      <c r="G293" s="3">
        <f>IF(ISNUMBER(C293),COUNTIF($C$2:$C$500,C293),"")</f>
        <v/>
      </c>
      <c r="H293" s="3">
        <f>IF(ISNUMBER(C293),IF(COUNTIF($C$2:C293,C293)=1,1,0),"")</f>
        <v/>
      </c>
    </row>
    <row r="294">
      <c r="A294" s="2" t="n"/>
      <c r="B294" s="2" t="n"/>
      <c r="C294" s="2" t="n"/>
      <c r="D294" s="3">
        <f>IF(B294="","",COUNTIF($B$2:$B$500,B294))</f>
        <v/>
      </c>
      <c r="E294" s="3">
        <f>IF(B294="","",IF(COUNTIF($B$2:B294,B294)=1,1,0))</f>
        <v/>
      </c>
      <c r="F294" s="4">
        <f>IF(E294=1,D294-ROW()/100000,"")</f>
        <v/>
      </c>
      <c r="G294" s="3">
        <f>IF(ISNUMBER(C294),COUNTIF($C$2:$C$500,C294),"")</f>
        <v/>
      </c>
      <c r="H294" s="3">
        <f>IF(ISNUMBER(C294),IF(COUNTIF($C$2:C294,C294)=1,1,0),"")</f>
        <v/>
      </c>
    </row>
    <row r="295">
      <c r="A295" s="2" t="n"/>
      <c r="B295" s="2" t="n"/>
      <c r="C295" s="2" t="n"/>
      <c r="D295" s="3">
        <f>IF(B295="","",COUNTIF($B$2:$B$500,B295))</f>
        <v/>
      </c>
      <c r="E295" s="3">
        <f>IF(B295="","",IF(COUNTIF($B$2:B295,B295)=1,1,0))</f>
        <v/>
      </c>
      <c r="F295" s="4">
        <f>IF(E295=1,D295-ROW()/100000,"")</f>
        <v/>
      </c>
      <c r="G295" s="3">
        <f>IF(ISNUMBER(C295),COUNTIF($C$2:$C$500,C295),"")</f>
        <v/>
      </c>
      <c r="H295" s="3">
        <f>IF(ISNUMBER(C295),IF(COUNTIF($C$2:C295,C295)=1,1,0),"")</f>
        <v/>
      </c>
    </row>
    <row r="296">
      <c r="A296" s="2" t="n"/>
      <c r="B296" s="2" t="n"/>
      <c r="C296" s="2" t="n"/>
      <c r="D296" s="3">
        <f>IF(B296="","",COUNTIF($B$2:$B$500,B296))</f>
        <v/>
      </c>
      <c r="E296" s="3">
        <f>IF(B296="","",IF(COUNTIF($B$2:B296,B296)=1,1,0))</f>
        <v/>
      </c>
      <c r="F296" s="4">
        <f>IF(E296=1,D296-ROW()/100000,"")</f>
        <v/>
      </c>
      <c r="G296" s="3">
        <f>IF(ISNUMBER(C296),COUNTIF($C$2:$C$500,C296),"")</f>
        <v/>
      </c>
      <c r="H296" s="3">
        <f>IF(ISNUMBER(C296),IF(COUNTIF($C$2:C296,C296)=1,1,0),"")</f>
        <v/>
      </c>
    </row>
    <row r="297">
      <c r="A297" s="2" t="n"/>
      <c r="B297" s="2" t="n"/>
      <c r="C297" s="2" t="n"/>
      <c r="D297" s="3">
        <f>IF(B297="","",COUNTIF($B$2:$B$500,B297))</f>
        <v/>
      </c>
      <c r="E297" s="3">
        <f>IF(B297="","",IF(COUNTIF($B$2:B297,B297)=1,1,0))</f>
        <v/>
      </c>
      <c r="F297" s="4">
        <f>IF(E297=1,D297-ROW()/100000,"")</f>
        <v/>
      </c>
      <c r="G297" s="3">
        <f>IF(ISNUMBER(C297),COUNTIF($C$2:$C$500,C297),"")</f>
        <v/>
      </c>
      <c r="H297" s="3">
        <f>IF(ISNUMBER(C297),IF(COUNTIF($C$2:C297,C297)=1,1,0),"")</f>
        <v/>
      </c>
    </row>
    <row r="298">
      <c r="A298" s="2" t="n"/>
      <c r="B298" s="2" t="n"/>
      <c r="C298" s="2" t="n"/>
      <c r="D298" s="3">
        <f>IF(B298="","",COUNTIF($B$2:$B$500,B298))</f>
        <v/>
      </c>
      <c r="E298" s="3">
        <f>IF(B298="","",IF(COUNTIF($B$2:B298,B298)=1,1,0))</f>
        <v/>
      </c>
      <c r="F298" s="4">
        <f>IF(E298=1,D298-ROW()/100000,"")</f>
        <v/>
      </c>
      <c r="G298" s="3">
        <f>IF(ISNUMBER(C298),COUNTIF($C$2:$C$500,C298),"")</f>
        <v/>
      </c>
      <c r="H298" s="3">
        <f>IF(ISNUMBER(C298),IF(COUNTIF($C$2:C298,C298)=1,1,0),"")</f>
        <v/>
      </c>
    </row>
    <row r="299">
      <c r="A299" s="2" t="n"/>
      <c r="B299" s="2" t="n"/>
      <c r="C299" s="2" t="n"/>
      <c r="D299" s="3">
        <f>IF(B299="","",COUNTIF($B$2:$B$500,B299))</f>
        <v/>
      </c>
      <c r="E299" s="3">
        <f>IF(B299="","",IF(COUNTIF($B$2:B299,B299)=1,1,0))</f>
        <v/>
      </c>
      <c r="F299" s="4">
        <f>IF(E299=1,D299-ROW()/100000,"")</f>
        <v/>
      </c>
      <c r="G299" s="3">
        <f>IF(ISNUMBER(C299),COUNTIF($C$2:$C$500,C299),"")</f>
        <v/>
      </c>
      <c r="H299" s="3">
        <f>IF(ISNUMBER(C299),IF(COUNTIF($C$2:C299,C299)=1,1,0),"")</f>
        <v/>
      </c>
    </row>
    <row r="300">
      <c r="A300" s="2" t="n"/>
      <c r="B300" s="2" t="n"/>
      <c r="C300" s="2" t="n"/>
      <c r="D300" s="3">
        <f>IF(B300="","",COUNTIF($B$2:$B$500,B300))</f>
        <v/>
      </c>
      <c r="E300" s="3">
        <f>IF(B300="","",IF(COUNTIF($B$2:B300,B300)=1,1,0))</f>
        <v/>
      </c>
      <c r="F300" s="4">
        <f>IF(E300=1,D300-ROW()/100000,"")</f>
        <v/>
      </c>
      <c r="G300" s="3">
        <f>IF(ISNUMBER(C300),COUNTIF($C$2:$C$500,C300),"")</f>
        <v/>
      </c>
      <c r="H300" s="3">
        <f>IF(ISNUMBER(C300),IF(COUNTIF($C$2:C300,C300)=1,1,0),"")</f>
        <v/>
      </c>
    </row>
    <row r="301">
      <c r="A301" s="2" t="n"/>
      <c r="B301" s="2" t="n"/>
      <c r="C301" s="2" t="n"/>
      <c r="D301" s="3">
        <f>IF(B301="","",COUNTIF($B$2:$B$500,B301))</f>
        <v/>
      </c>
      <c r="E301" s="3">
        <f>IF(B301="","",IF(COUNTIF($B$2:B301,B301)=1,1,0))</f>
        <v/>
      </c>
      <c r="F301" s="4">
        <f>IF(E301=1,D301-ROW()/100000,"")</f>
        <v/>
      </c>
      <c r="G301" s="3">
        <f>IF(ISNUMBER(C301),COUNTIF($C$2:$C$500,C301),"")</f>
        <v/>
      </c>
      <c r="H301" s="3">
        <f>IF(ISNUMBER(C301),IF(COUNTIF($C$2:C301,C301)=1,1,0),"")</f>
        <v/>
      </c>
    </row>
    <row r="302">
      <c r="A302" s="2" t="n"/>
      <c r="B302" s="2" t="n"/>
      <c r="C302" s="2" t="n"/>
      <c r="D302" s="3">
        <f>IF(B302="","",COUNTIF($B$2:$B$500,B302))</f>
        <v/>
      </c>
      <c r="E302" s="3">
        <f>IF(B302="","",IF(COUNTIF($B$2:B302,B302)=1,1,0))</f>
        <v/>
      </c>
      <c r="F302" s="4">
        <f>IF(E302=1,D302-ROW()/100000,"")</f>
        <v/>
      </c>
      <c r="G302" s="3">
        <f>IF(ISNUMBER(C302),COUNTIF($C$2:$C$500,C302),"")</f>
        <v/>
      </c>
      <c r="H302" s="3">
        <f>IF(ISNUMBER(C302),IF(COUNTIF($C$2:C302,C302)=1,1,0),"")</f>
        <v/>
      </c>
    </row>
    <row r="303">
      <c r="A303" s="2" t="n"/>
      <c r="B303" s="2" t="n"/>
      <c r="C303" s="2" t="n"/>
      <c r="D303" s="3">
        <f>IF(B303="","",COUNTIF($B$2:$B$500,B303))</f>
        <v/>
      </c>
      <c r="E303" s="3">
        <f>IF(B303="","",IF(COUNTIF($B$2:B303,B303)=1,1,0))</f>
        <v/>
      </c>
      <c r="F303" s="4">
        <f>IF(E303=1,D303-ROW()/100000,"")</f>
        <v/>
      </c>
      <c r="G303" s="3">
        <f>IF(ISNUMBER(C303),COUNTIF($C$2:$C$500,C303),"")</f>
        <v/>
      </c>
      <c r="H303" s="3">
        <f>IF(ISNUMBER(C303),IF(COUNTIF($C$2:C303,C303)=1,1,0),"")</f>
        <v/>
      </c>
    </row>
    <row r="304">
      <c r="A304" s="2" t="n"/>
      <c r="B304" s="2" t="n"/>
      <c r="C304" s="2" t="n"/>
      <c r="D304" s="3">
        <f>IF(B304="","",COUNTIF($B$2:$B$500,B304))</f>
        <v/>
      </c>
      <c r="E304" s="3">
        <f>IF(B304="","",IF(COUNTIF($B$2:B304,B304)=1,1,0))</f>
        <v/>
      </c>
      <c r="F304" s="4">
        <f>IF(E304=1,D304-ROW()/100000,"")</f>
        <v/>
      </c>
      <c r="G304" s="3">
        <f>IF(ISNUMBER(C304),COUNTIF($C$2:$C$500,C304),"")</f>
        <v/>
      </c>
      <c r="H304" s="3">
        <f>IF(ISNUMBER(C304),IF(COUNTIF($C$2:C304,C304)=1,1,0),"")</f>
        <v/>
      </c>
    </row>
    <row r="305">
      <c r="A305" s="2" t="n"/>
      <c r="B305" s="2" t="n"/>
      <c r="C305" s="2" t="n"/>
      <c r="D305" s="3">
        <f>IF(B305="","",COUNTIF($B$2:$B$500,B305))</f>
        <v/>
      </c>
      <c r="E305" s="3">
        <f>IF(B305="","",IF(COUNTIF($B$2:B305,B305)=1,1,0))</f>
        <v/>
      </c>
      <c r="F305" s="4">
        <f>IF(E305=1,D305-ROW()/100000,"")</f>
        <v/>
      </c>
      <c r="G305" s="3">
        <f>IF(ISNUMBER(C305),COUNTIF($C$2:$C$500,C305),"")</f>
        <v/>
      </c>
      <c r="H305" s="3">
        <f>IF(ISNUMBER(C305),IF(COUNTIF($C$2:C305,C305)=1,1,0),"")</f>
        <v/>
      </c>
    </row>
    <row r="306">
      <c r="A306" s="2" t="n"/>
      <c r="B306" s="2" t="n"/>
      <c r="C306" s="2" t="n"/>
      <c r="D306" s="3">
        <f>IF(B306="","",COUNTIF($B$2:$B$500,B306))</f>
        <v/>
      </c>
      <c r="E306" s="3">
        <f>IF(B306="","",IF(COUNTIF($B$2:B306,B306)=1,1,0))</f>
        <v/>
      </c>
      <c r="F306" s="4">
        <f>IF(E306=1,D306-ROW()/100000,"")</f>
        <v/>
      </c>
      <c r="G306" s="3">
        <f>IF(ISNUMBER(C306),COUNTIF($C$2:$C$500,C306),"")</f>
        <v/>
      </c>
      <c r="H306" s="3">
        <f>IF(ISNUMBER(C306),IF(COUNTIF($C$2:C306,C306)=1,1,0),"")</f>
        <v/>
      </c>
    </row>
    <row r="307">
      <c r="A307" s="2" t="n"/>
      <c r="B307" s="2" t="n"/>
      <c r="C307" s="2" t="n"/>
      <c r="D307" s="3">
        <f>IF(B307="","",COUNTIF($B$2:$B$500,B307))</f>
        <v/>
      </c>
      <c r="E307" s="3">
        <f>IF(B307="","",IF(COUNTIF($B$2:B307,B307)=1,1,0))</f>
        <v/>
      </c>
      <c r="F307" s="4">
        <f>IF(E307=1,D307-ROW()/100000,"")</f>
        <v/>
      </c>
      <c r="G307" s="3">
        <f>IF(ISNUMBER(C307),COUNTIF($C$2:$C$500,C307),"")</f>
        <v/>
      </c>
      <c r="H307" s="3">
        <f>IF(ISNUMBER(C307),IF(COUNTIF($C$2:C307,C307)=1,1,0),"")</f>
        <v/>
      </c>
    </row>
    <row r="308">
      <c r="A308" s="2" t="n"/>
      <c r="B308" s="2" t="n"/>
      <c r="C308" s="2" t="n"/>
      <c r="D308" s="3">
        <f>IF(B308="","",COUNTIF($B$2:$B$500,B308))</f>
        <v/>
      </c>
      <c r="E308" s="3">
        <f>IF(B308="","",IF(COUNTIF($B$2:B308,B308)=1,1,0))</f>
        <v/>
      </c>
      <c r="F308" s="4">
        <f>IF(E308=1,D308-ROW()/100000,"")</f>
        <v/>
      </c>
      <c r="G308" s="3">
        <f>IF(ISNUMBER(C308),COUNTIF($C$2:$C$500,C308),"")</f>
        <v/>
      </c>
      <c r="H308" s="3">
        <f>IF(ISNUMBER(C308),IF(COUNTIF($C$2:C308,C308)=1,1,0),"")</f>
        <v/>
      </c>
    </row>
    <row r="309">
      <c r="A309" s="2" t="n"/>
      <c r="B309" s="2" t="n"/>
      <c r="C309" s="2" t="n"/>
      <c r="D309" s="3">
        <f>IF(B309="","",COUNTIF($B$2:$B$500,B309))</f>
        <v/>
      </c>
      <c r="E309" s="3">
        <f>IF(B309="","",IF(COUNTIF($B$2:B309,B309)=1,1,0))</f>
        <v/>
      </c>
      <c r="F309" s="4">
        <f>IF(E309=1,D309-ROW()/100000,"")</f>
        <v/>
      </c>
      <c r="G309" s="3">
        <f>IF(ISNUMBER(C309),COUNTIF($C$2:$C$500,C309),"")</f>
        <v/>
      </c>
      <c r="H309" s="3">
        <f>IF(ISNUMBER(C309),IF(COUNTIF($C$2:C309,C309)=1,1,0),"")</f>
        <v/>
      </c>
    </row>
    <row r="310">
      <c r="A310" s="2" t="n"/>
      <c r="B310" s="2" t="n"/>
      <c r="C310" s="2" t="n"/>
      <c r="D310" s="3">
        <f>IF(B310="","",COUNTIF($B$2:$B$500,B310))</f>
        <v/>
      </c>
      <c r="E310" s="3">
        <f>IF(B310="","",IF(COUNTIF($B$2:B310,B310)=1,1,0))</f>
        <v/>
      </c>
      <c r="F310" s="4">
        <f>IF(E310=1,D310-ROW()/100000,"")</f>
        <v/>
      </c>
      <c r="G310" s="3">
        <f>IF(ISNUMBER(C310),COUNTIF($C$2:$C$500,C310),"")</f>
        <v/>
      </c>
      <c r="H310" s="3">
        <f>IF(ISNUMBER(C310),IF(COUNTIF($C$2:C310,C310)=1,1,0),"")</f>
        <v/>
      </c>
    </row>
    <row r="311">
      <c r="A311" s="2" t="n"/>
      <c r="B311" s="2" t="n"/>
      <c r="C311" s="2" t="n"/>
      <c r="D311" s="3">
        <f>IF(B311="","",COUNTIF($B$2:$B$500,B311))</f>
        <v/>
      </c>
      <c r="E311" s="3">
        <f>IF(B311="","",IF(COUNTIF($B$2:B311,B311)=1,1,0))</f>
        <v/>
      </c>
      <c r="F311" s="4">
        <f>IF(E311=1,D311-ROW()/100000,"")</f>
        <v/>
      </c>
      <c r="G311" s="3">
        <f>IF(ISNUMBER(C311),COUNTIF($C$2:$C$500,C311),"")</f>
        <v/>
      </c>
      <c r="H311" s="3">
        <f>IF(ISNUMBER(C311),IF(COUNTIF($C$2:C311,C311)=1,1,0),"")</f>
        <v/>
      </c>
    </row>
    <row r="312">
      <c r="A312" s="2" t="n"/>
      <c r="B312" s="2" t="n"/>
      <c r="C312" s="2" t="n"/>
      <c r="D312" s="3">
        <f>IF(B312="","",COUNTIF($B$2:$B$500,B312))</f>
        <v/>
      </c>
      <c r="E312" s="3">
        <f>IF(B312="","",IF(COUNTIF($B$2:B312,B312)=1,1,0))</f>
        <v/>
      </c>
      <c r="F312" s="4">
        <f>IF(E312=1,D312-ROW()/100000,"")</f>
        <v/>
      </c>
      <c r="G312" s="3">
        <f>IF(ISNUMBER(C312),COUNTIF($C$2:$C$500,C312),"")</f>
        <v/>
      </c>
      <c r="H312" s="3">
        <f>IF(ISNUMBER(C312),IF(COUNTIF($C$2:C312,C312)=1,1,0),"")</f>
        <v/>
      </c>
    </row>
    <row r="313">
      <c r="A313" s="2" t="n"/>
      <c r="B313" s="2" t="n"/>
      <c r="C313" s="2" t="n"/>
      <c r="D313" s="3">
        <f>IF(B313="","",COUNTIF($B$2:$B$500,B313))</f>
        <v/>
      </c>
      <c r="E313" s="3">
        <f>IF(B313="","",IF(COUNTIF($B$2:B313,B313)=1,1,0))</f>
        <v/>
      </c>
      <c r="F313" s="4">
        <f>IF(E313=1,D313-ROW()/100000,"")</f>
        <v/>
      </c>
      <c r="G313" s="3">
        <f>IF(ISNUMBER(C313),COUNTIF($C$2:$C$500,C313),"")</f>
        <v/>
      </c>
      <c r="H313" s="3">
        <f>IF(ISNUMBER(C313),IF(COUNTIF($C$2:C313,C313)=1,1,0),"")</f>
        <v/>
      </c>
    </row>
    <row r="314">
      <c r="A314" s="2" t="n"/>
      <c r="B314" s="2" t="n"/>
      <c r="C314" s="2" t="n"/>
      <c r="D314" s="3">
        <f>IF(B314="","",COUNTIF($B$2:$B$500,B314))</f>
        <v/>
      </c>
      <c r="E314" s="3">
        <f>IF(B314="","",IF(COUNTIF($B$2:B314,B314)=1,1,0))</f>
        <v/>
      </c>
      <c r="F314" s="4">
        <f>IF(E314=1,D314-ROW()/100000,"")</f>
        <v/>
      </c>
      <c r="G314" s="3">
        <f>IF(ISNUMBER(C314),COUNTIF($C$2:$C$500,C314),"")</f>
        <v/>
      </c>
      <c r="H314" s="3">
        <f>IF(ISNUMBER(C314),IF(COUNTIF($C$2:C314,C314)=1,1,0),"")</f>
        <v/>
      </c>
    </row>
    <row r="315">
      <c r="A315" s="2" t="n"/>
      <c r="B315" s="2" t="n"/>
      <c r="C315" s="2" t="n"/>
      <c r="D315" s="3">
        <f>IF(B315="","",COUNTIF($B$2:$B$500,B315))</f>
        <v/>
      </c>
      <c r="E315" s="3">
        <f>IF(B315="","",IF(COUNTIF($B$2:B315,B315)=1,1,0))</f>
        <v/>
      </c>
      <c r="F315" s="4">
        <f>IF(E315=1,D315-ROW()/100000,"")</f>
        <v/>
      </c>
      <c r="G315" s="3">
        <f>IF(ISNUMBER(C315),COUNTIF($C$2:$C$500,C315),"")</f>
        <v/>
      </c>
      <c r="H315" s="3">
        <f>IF(ISNUMBER(C315),IF(COUNTIF($C$2:C315,C315)=1,1,0),"")</f>
        <v/>
      </c>
    </row>
    <row r="316">
      <c r="A316" s="2" t="n"/>
      <c r="B316" s="2" t="n"/>
      <c r="C316" s="2" t="n"/>
      <c r="D316" s="3">
        <f>IF(B316="","",COUNTIF($B$2:$B$500,B316))</f>
        <v/>
      </c>
      <c r="E316" s="3">
        <f>IF(B316="","",IF(COUNTIF($B$2:B316,B316)=1,1,0))</f>
        <v/>
      </c>
      <c r="F316" s="4">
        <f>IF(E316=1,D316-ROW()/100000,"")</f>
        <v/>
      </c>
      <c r="G316" s="3">
        <f>IF(ISNUMBER(C316),COUNTIF($C$2:$C$500,C316),"")</f>
        <v/>
      </c>
      <c r="H316" s="3">
        <f>IF(ISNUMBER(C316),IF(COUNTIF($C$2:C316,C316)=1,1,0),"")</f>
        <v/>
      </c>
    </row>
    <row r="317">
      <c r="A317" s="2" t="n"/>
      <c r="B317" s="2" t="n"/>
      <c r="C317" s="2" t="n"/>
      <c r="D317" s="3">
        <f>IF(B317="","",COUNTIF($B$2:$B$500,B317))</f>
        <v/>
      </c>
      <c r="E317" s="3">
        <f>IF(B317="","",IF(COUNTIF($B$2:B317,B317)=1,1,0))</f>
        <v/>
      </c>
      <c r="F317" s="4">
        <f>IF(E317=1,D317-ROW()/100000,"")</f>
        <v/>
      </c>
      <c r="G317" s="3">
        <f>IF(ISNUMBER(C317),COUNTIF($C$2:$C$500,C317),"")</f>
        <v/>
      </c>
      <c r="H317" s="3">
        <f>IF(ISNUMBER(C317),IF(COUNTIF($C$2:C317,C317)=1,1,0),"")</f>
        <v/>
      </c>
    </row>
    <row r="318">
      <c r="A318" s="2" t="n"/>
      <c r="B318" s="2" t="n"/>
      <c r="C318" s="2" t="n"/>
      <c r="D318" s="3">
        <f>IF(B318="","",COUNTIF($B$2:$B$500,B318))</f>
        <v/>
      </c>
      <c r="E318" s="3">
        <f>IF(B318="","",IF(COUNTIF($B$2:B318,B318)=1,1,0))</f>
        <v/>
      </c>
      <c r="F318" s="4">
        <f>IF(E318=1,D318-ROW()/100000,"")</f>
        <v/>
      </c>
      <c r="G318" s="3">
        <f>IF(ISNUMBER(C318),COUNTIF($C$2:$C$500,C318),"")</f>
        <v/>
      </c>
      <c r="H318" s="3">
        <f>IF(ISNUMBER(C318),IF(COUNTIF($C$2:C318,C318)=1,1,0),"")</f>
        <v/>
      </c>
    </row>
    <row r="319">
      <c r="A319" s="2" t="n"/>
      <c r="B319" s="2" t="n"/>
      <c r="C319" s="2" t="n"/>
      <c r="D319" s="3">
        <f>IF(B319="","",COUNTIF($B$2:$B$500,B319))</f>
        <v/>
      </c>
      <c r="E319" s="3">
        <f>IF(B319="","",IF(COUNTIF($B$2:B319,B319)=1,1,0))</f>
        <v/>
      </c>
      <c r="F319" s="4">
        <f>IF(E319=1,D319-ROW()/100000,"")</f>
        <v/>
      </c>
      <c r="G319" s="3">
        <f>IF(ISNUMBER(C319),COUNTIF($C$2:$C$500,C319),"")</f>
        <v/>
      </c>
      <c r="H319" s="3">
        <f>IF(ISNUMBER(C319),IF(COUNTIF($C$2:C319,C319)=1,1,0),"")</f>
        <v/>
      </c>
    </row>
    <row r="320">
      <c r="A320" s="2" t="n"/>
      <c r="B320" s="2" t="n"/>
      <c r="C320" s="2" t="n"/>
      <c r="D320" s="3">
        <f>IF(B320="","",COUNTIF($B$2:$B$500,B320))</f>
        <v/>
      </c>
      <c r="E320" s="3">
        <f>IF(B320="","",IF(COUNTIF($B$2:B320,B320)=1,1,0))</f>
        <v/>
      </c>
      <c r="F320" s="4">
        <f>IF(E320=1,D320-ROW()/100000,"")</f>
        <v/>
      </c>
      <c r="G320" s="3">
        <f>IF(ISNUMBER(C320),COUNTIF($C$2:$C$500,C320),"")</f>
        <v/>
      </c>
      <c r="H320" s="3">
        <f>IF(ISNUMBER(C320),IF(COUNTIF($C$2:C320,C320)=1,1,0),"")</f>
        <v/>
      </c>
    </row>
    <row r="321">
      <c r="A321" s="2" t="n"/>
      <c r="B321" s="2" t="n"/>
      <c r="C321" s="2" t="n"/>
      <c r="D321" s="3">
        <f>IF(B321="","",COUNTIF($B$2:$B$500,B321))</f>
        <v/>
      </c>
      <c r="E321" s="3">
        <f>IF(B321="","",IF(COUNTIF($B$2:B321,B321)=1,1,0))</f>
        <v/>
      </c>
      <c r="F321" s="4">
        <f>IF(E321=1,D321-ROW()/100000,"")</f>
        <v/>
      </c>
      <c r="G321" s="3">
        <f>IF(ISNUMBER(C321),COUNTIF($C$2:$C$500,C321),"")</f>
        <v/>
      </c>
      <c r="H321" s="3">
        <f>IF(ISNUMBER(C321),IF(COUNTIF($C$2:C321,C321)=1,1,0),"")</f>
        <v/>
      </c>
    </row>
    <row r="322">
      <c r="A322" s="2" t="n"/>
      <c r="B322" s="2" t="n"/>
      <c r="C322" s="2" t="n"/>
      <c r="D322" s="3">
        <f>IF(B322="","",COUNTIF($B$2:$B$500,B322))</f>
        <v/>
      </c>
      <c r="E322" s="3">
        <f>IF(B322="","",IF(COUNTIF($B$2:B322,B322)=1,1,0))</f>
        <v/>
      </c>
      <c r="F322" s="4">
        <f>IF(E322=1,D322-ROW()/100000,"")</f>
        <v/>
      </c>
      <c r="G322" s="3">
        <f>IF(ISNUMBER(C322),COUNTIF($C$2:$C$500,C322),"")</f>
        <v/>
      </c>
      <c r="H322" s="3">
        <f>IF(ISNUMBER(C322),IF(COUNTIF($C$2:C322,C322)=1,1,0),"")</f>
        <v/>
      </c>
    </row>
    <row r="323">
      <c r="A323" s="2" t="n"/>
      <c r="B323" s="2" t="n"/>
      <c r="C323" s="2" t="n"/>
      <c r="D323" s="3">
        <f>IF(B323="","",COUNTIF($B$2:$B$500,B323))</f>
        <v/>
      </c>
      <c r="E323" s="3">
        <f>IF(B323="","",IF(COUNTIF($B$2:B323,B323)=1,1,0))</f>
        <v/>
      </c>
      <c r="F323" s="4">
        <f>IF(E323=1,D323-ROW()/100000,"")</f>
        <v/>
      </c>
      <c r="G323" s="3">
        <f>IF(ISNUMBER(C323),COUNTIF($C$2:$C$500,C323),"")</f>
        <v/>
      </c>
      <c r="H323" s="3">
        <f>IF(ISNUMBER(C323),IF(COUNTIF($C$2:C323,C323)=1,1,0),"")</f>
        <v/>
      </c>
    </row>
    <row r="324">
      <c r="A324" s="2" t="n"/>
      <c r="B324" s="2" t="n"/>
      <c r="C324" s="2" t="n"/>
      <c r="D324" s="3">
        <f>IF(B324="","",COUNTIF($B$2:$B$500,B324))</f>
        <v/>
      </c>
      <c r="E324" s="3">
        <f>IF(B324="","",IF(COUNTIF($B$2:B324,B324)=1,1,0))</f>
        <v/>
      </c>
      <c r="F324" s="4">
        <f>IF(E324=1,D324-ROW()/100000,"")</f>
        <v/>
      </c>
      <c r="G324" s="3">
        <f>IF(ISNUMBER(C324),COUNTIF($C$2:$C$500,C324),"")</f>
        <v/>
      </c>
      <c r="H324" s="3">
        <f>IF(ISNUMBER(C324),IF(COUNTIF($C$2:C324,C324)=1,1,0),"")</f>
        <v/>
      </c>
    </row>
    <row r="325">
      <c r="A325" s="2" t="n"/>
      <c r="B325" s="2" t="n"/>
      <c r="C325" s="2" t="n"/>
      <c r="D325" s="3">
        <f>IF(B325="","",COUNTIF($B$2:$B$500,B325))</f>
        <v/>
      </c>
      <c r="E325" s="3">
        <f>IF(B325="","",IF(COUNTIF($B$2:B325,B325)=1,1,0))</f>
        <v/>
      </c>
      <c r="F325" s="4">
        <f>IF(E325=1,D325-ROW()/100000,"")</f>
        <v/>
      </c>
      <c r="G325" s="3">
        <f>IF(ISNUMBER(C325),COUNTIF($C$2:$C$500,C325),"")</f>
        <v/>
      </c>
      <c r="H325" s="3">
        <f>IF(ISNUMBER(C325),IF(COUNTIF($C$2:C325,C325)=1,1,0),"")</f>
        <v/>
      </c>
    </row>
    <row r="326">
      <c r="A326" s="2" t="n"/>
      <c r="B326" s="2" t="n"/>
      <c r="C326" s="2" t="n"/>
      <c r="D326" s="3">
        <f>IF(B326="","",COUNTIF($B$2:$B$500,B326))</f>
        <v/>
      </c>
      <c r="E326" s="3">
        <f>IF(B326="","",IF(COUNTIF($B$2:B326,B326)=1,1,0))</f>
        <v/>
      </c>
      <c r="F326" s="4">
        <f>IF(E326=1,D326-ROW()/100000,"")</f>
        <v/>
      </c>
      <c r="G326" s="3">
        <f>IF(ISNUMBER(C326),COUNTIF($C$2:$C$500,C326),"")</f>
        <v/>
      </c>
      <c r="H326" s="3">
        <f>IF(ISNUMBER(C326),IF(COUNTIF($C$2:C326,C326)=1,1,0),"")</f>
        <v/>
      </c>
    </row>
    <row r="327">
      <c r="A327" s="2" t="n"/>
      <c r="B327" s="2" t="n"/>
      <c r="C327" s="2" t="n"/>
      <c r="D327" s="3">
        <f>IF(B327="","",COUNTIF($B$2:$B$500,B327))</f>
        <v/>
      </c>
      <c r="E327" s="3">
        <f>IF(B327="","",IF(COUNTIF($B$2:B327,B327)=1,1,0))</f>
        <v/>
      </c>
      <c r="F327" s="4">
        <f>IF(E327=1,D327-ROW()/100000,"")</f>
        <v/>
      </c>
      <c r="G327" s="3">
        <f>IF(ISNUMBER(C327),COUNTIF($C$2:$C$500,C327),"")</f>
        <v/>
      </c>
      <c r="H327" s="3">
        <f>IF(ISNUMBER(C327),IF(COUNTIF($C$2:C327,C327)=1,1,0),"")</f>
        <v/>
      </c>
    </row>
    <row r="328">
      <c r="A328" s="2" t="n"/>
      <c r="B328" s="2" t="n"/>
      <c r="C328" s="2" t="n"/>
      <c r="D328" s="3">
        <f>IF(B328="","",COUNTIF($B$2:$B$500,B328))</f>
        <v/>
      </c>
      <c r="E328" s="3">
        <f>IF(B328="","",IF(COUNTIF($B$2:B328,B328)=1,1,0))</f>
        <v/>
      </c>
      <c r="F328" s="4">
        <f>IF(E328=1,D328-ROW()/100000,"")</f>
        <v/>
      </c>
      <c r="G328" s="3">
        <f>IF(ISNUMBER(C328),COUNTIF($C$2:$C$500,C328),"")</f>
        <v/>
      </c>
      <c r="H328" s="3">
        <f>IF(ISNUMBER(C328),IF(COUNTIF($C$2:C328,C328)=1,1,0),"")</f>
        <v/>
      </c>
    </row>
    <row r="329">
      <c r="A329" s="2" t="n"/>
      <c r="B329" s="2" t="n"/>
      <c r="C329" s="2" t="n"/>
      <c r="D329" s="3">
        <f>IF(B329="","",COUNTIF($B$2:$B$500,B329))</f>
        <v/>
      </c>
      <c r="E329" s="3">
        <f>IF(B329="","",IF(COUNTIF($B$2:B329,B329)=1,1,0))</f>
        <v/>
      </c>
      <c r="F329" s="4">
        <f>IF(E329=1,D329-ROW()/100000,"")</f>
        <v/>
      </c>
      <c r="G329" s="3">
        <f>IF(ISNUMBER(C329),COUNTIF($C$2:$C$500,C329),"")</f>
        <v/>
      </c>
      <c r="H329" s="3">
        <f>IF(ISNUMBER(C329),IF(COUNTIF($C$2:C329,C329)=1,1,0),"")</f>
        <v/>
      </c>
    </row>
    <row r="330">
      <c r="A330" s="2" t="n"/>
      <c r="B330" s="2" t="n"/>
      <c r="C330" s="2" t="n"/>
      <c r="D330" s="3">
        <f>IF(B330="","",COUNTIF($B$2:$B$500,B330))</f>
        <v/>
      </c>
      <c r="E330" s="3">
        <f>IF(B330="","",IF(COUNTIF($B$2:B330,B330)=1,1,0))</f>
        <v/>
      </c>
      <c r="F330" s="4">
        <f>IF(E330=1,D330-ROW()/100000,"")</f>
        <v/>
      </c>
      <c r="G330" s="3">
        <f>IF(ISNUMBER(C330),COUNTIF($C$2:$C$500,C330),"")</f>
        <v/>
      </c>
      <c r="H330" s="3">
        <f>IF(ISNUMBER(C330),IF(COUNTIF($C$2:C330,C330)=1,1,0),"")</f>
        <v/>
      </c>
    </row>
    <row r="331">
      <c r="A331" s="2" t="n"/>
      <c r="B331" s="2" t="n"/>
      <c r="C331" s="2" t="n"/>
      <c r="D331" s="3">
        <f>IF(B331="","",COUNTIF($B$2:$B$500,B331))</f>
        <v/>
      </c>
      <c r="E331" s="3">
        <f>IF(B331="","",IF(COUNTIF($B$2:B331,B331)=1,1,0))</f>
        <v/>
      </c>
      <c r="F331" s="4">
        <f>IF(E331=1,D331-ROW()/100000,"")</f>
        <v/>
      </c>
      <c r="G331" s="3">
        <f>IF(ISNUMBER(C331),COUNTIF($C$2:$C$500,C331),"")</f>
        <v/>
      </c>
      <c r="H331" s="3">
        <f>IF(ISNUMBER(C331),IF(COUNTIF($C$2:C331,C331)=1,1,0),"")</f>
        <v/>
      </c>
    </row>
    <row r="332">
      <c r="A332" s="2" t="n"/>
      <c r="B332" s="2" t="n"/>
      <c r="C332" s="2" t="n"/>
      <c r="D332" s="3">
        <f>IF(B332="","",COUNTIF($B$2:$B$500,B332))</f>
        <v/>
      </c>
      <c r="E332" s="3">
        <f>IF(B332="","",IF(COUNTIF($B$2:B332,B332)=1,1,0))</f>
        <v/>
      </c>
      <c r="F332" s="4">
        <f>IF(E332=1,D332-ROW()/100000,"")</f>
        <v/>
      </c>
      <c r="G332" s="3">
        <f>IF(ISNUMBER(C332),COUNTIF($C$2:$C$500,C332),"")</f>
        <v/>
      </c>
      <c r="H332" s="3">
        <f>IF(ISNUMBER(C332),IF(COUNTIF($C$2:C332,C332)=1,1,0),"")</f>
        <v/>
      </c>
    </row>
    <row r="333">
      <c r="A333" s="2" t="n"/>
      <c r="B333" s="2" t="n"/>
      <c r="C333" s="2" t="n"/>
      <c r="D333" s="3">
        <f>IF(B333="","",COUNTIF($B$2:$B$500,B333))</f>
        <v/>
      </c>
      <c r="E333" s="3">
        <f>IF(B333="","",IF(COUNTIF($B$2:B333,B333)=1,1,0))</f>
        <v/>
      </c>
      <c r="F333" s="4">
        <f>IF(E333=1,D333-ROW()/100000,"")</f>
        <v/>
      </c>
      <c r="G333" s="3">
        <f>IF(ISNUMBER(C333),COUNTIF($C$2:$C$500,C333),"")</f>
        <v/>
      </c>
      <c r="H333" s="3">
        <f>IF(ISNUMBER(C333),IF(COUNTIF($C$2:C333,C333)=1,1,0),"")</f>
        <v/>
      </c>
    </row>
    <row r="334">
      <c r="A334" s="2" t="n"/>
      <c r="B334" s="2" t="n"/>
      <c r="C334" s="2" t="n"/>
      <c r="D334" s="3">
        <f>IF(B334="","",COUNTIF($B$2:$B$500,B334))</f>
        <v/>
      </c>
      <c r="E334" s="3">
        <f>IF(B334="","",IF(COUNTIF($B$2:B334,B334)=1,1,0))</f>
        <v/>
      </c>
      <c r="F334" s="4">
        <f>IF(E334=1,D334-ROW()/100000,"")</f>
        <v/>
      </c>
      <c r="G334" s="3">
        <f>IF(ISNUMBER(C334),COUNTIF($C$2:$C$500,C334),"")</f>
        <v/>
      </c>
      <c r="H334" s="3">
        <f>IF(ISNUMBER(C334),IF(COUNTIF($C$2:C334,C334)=1,1,0),"")</f>
        <v/>
      </c>
    </row>
    <row r="335">
      <c r="A335" s="2" t="n"/>
      <c r="B335" s="2" t="n"/>
      <c r="C335" s="2" t="n"/>
      <c r="D335" s="3">
        <f>IF(B335="","",COUNTIF($B$2:$B$500,B335))</f>
        <v/>
      </c>
      <c r="E335" s="3">
        <f>IF(B335="","",IF(COUNTIF($B$2:B335,B335)=1,1,0))</f>
        <v/>
      </c>
      <c r="F335" s="4">
        <f>IF(E335=1,D335-ROW()/100000,"")</f>
        <v/>
      </c>
      <c r="G335" s="3">
        <f>IF(ISNUMBER(C335),COUNTIF($C$2:$C$500,C335),"")</f>
        <v/>
      </c>
      <c r="H335" s="3">
        <f>IF(ISNUMBER(C335),IF(COUNTIF($C$2:C335,C335)=1,1,0),"")</f>
        <v/>
      </c>
    </row>
    <row r="336">
      <c r="A336" s="2" t="n"/>
      <c r="B336" s="2" t="n"/>
      <c r="C336" s="2" t="n"/>
      <c r="D336" s="3">
        <f>IF(B336="","",COUNTIF($B$2:$B$500,B336))</f>
        <v/>
      </c>
      <c r="E336" s="3">
        <f>IF(B336="","",IF(COUNTIF($B$2:B336,B336)=1,1,0))</f>
        <v/>
      </c>
      <c r="F336" s="4">
        <f>IF(E336=1,D336-ROW()/100000,"")</f>
        <v/>
      </c>
      <c r="G336" s="3">
        <f>IF(ISNUMBER(C336),COUNTIF($C$2:$C$500,C336),"")</f>
        <v/>
      </c>
      <c r="H336" s="3">
        <f>IF(ISNUMBER(C336),IF(COUNTIF($C$2:C336,C336)=1,1,0),"")</f>
        <v/>
      </c>
    </row>
    <row r="337">
      <c r="A337" s="2" t="n"/>
      <c r="B337" s="2" t="n"/>
      <c r="C337" s="2" t="n"/>
      <c r="D337" s="3">
        <f>IF(B337="","",COUNTIF($B$2:$B$500,B337))</f>
        <v/>
      </c>
      <c r="E337" s="3">
        <f>IF(B337="","",IF(COUNTIF($B$2:B337,B337)=1,1,0))</f>
        <v/>
      </c>
      <c r="F337" s="4">
        <f>IF(E337=1,D337-ROW()/100000,"")</f>
        <v/>
      </c>
      <c r="G337" s="3">
        <f>IF(ISNUMBER(C337),COUNTIF($C$2:$C$500,C337),"")</f>
        <v/>
      </c>
      <c r="H337" s="3">
        <f>IF(ISNUMBER(C337),IF(COUNTIF($C$2:C337,C337)=1,1,0),"")</f>
        <v/>
      </c>
    </row>
    <row r="338">
      <c r="A338" s="2" t="n"/>
      <c r="B338" s="2" t="n"/>
      <c r="C338" s="2" t="n"/>
      <c r="D338" s="3">
        <f>IF(B338="","",COUNTIF($B$2:$B$500,B338))</f>
        <v/>
      </c>
      <c r="E338" s="3">
        <f>IF(B338="","",IF(COUNTIF($B$2:B338,B338)=1,1,0))</f>
        <v/>
      </c>
      <c r="F338" s="4">
        <f>IF(E338=1,D338-ROW()/100000,"")</f>
        <v/>
      </c>
      <c r="G338" s="3">
        <f>IF(ISNUMBER(C338),COUNTIF($C$2:$C$500,C338),"")</f>
        <v/>
      </c>
      <c r="H338" s="3">
        <f>IF(ISNUMBER(C338),IF(COUNTIF($C$2:C338,C338)=1,1,0),"")</f>
        <v/>
      </c>
    </row>
    <row r="339">
      <c r="A339" s="2" t="n"/>
      <c r="B339" s="2" t="n"/>
      <c r="C339" s="2" t="n"/>
      <c r="D339" s="3">
        <f>IF(B339="","",COUNTIF($B$2:$B$500,B339))</f>
        <v/>
      </c>
      <c r="E339" s="3">
        <f>IF(B339="","",IF(COUNTIF($B$2:B339,B339)=1,1,0))</f>
        <v/>
      </c>
      <c r="F339" s="4">
        <f>IF(E339=1,D339-ROW()/100000,"")</f>
        <v/>
      </c>
      <c r="G339" s="3">
        <f>IF(ISNUMBER(C339),COUNTIF($C$2:$C$500,C339),"")</f>
        <v/>
      </c>
      <c r="H339" s="3">
        <f>IF(ISNUMBER(C339),IF(COUNTIF($C$2:C339,C339)=1,1,0),"")</f>
        <v/>
      </c>
    </row>
    <row r="340">
      <c r="A340" s="2" t="n"/>
      <c r="B340" s="2" t="n"/>
      <c r="C340" s="2" t="n"/>
      <c r="D340" s="3">
        <f>IF(B340="","",COUNTIF($B$2:$B$500,B340))</f>
        <v/>
      </c>
      <c r="E340" s="3">
        <f>IF(B340="","",IF(COUNTIF($B$2:B340,B340)=1,1,0))</f>
        <v/>
      </c>
      <c r="F340" s="4">
        <f>IF(E340=1,D340-ROW()/100000,"")</f>
        <v/>
      </c>
      <c r="G340" s="3">
        <f>IF(ISNUMBER(C340),COUNTIF($C$2:$C$500,C340),"")</f>
        <v/>
      </c>
      <c r="H340" s="3">
        <f>IF(ISNUMBER(C340),IF(COUNTIF($C$2:C340,C340)=1,1,0),"")</f>
        <v/>
      </c>
    </row>
    <row r="341">
      <c r="A341" s="2" t="n"/>
      <c r="B341" s="2" t="n"/>
      <c r="C341" s="2" t="n"/>
      <c r="D341" s="3">
        <f>IF(B341="","",COUNTIF($B$2:$B$500,B341))</f>
        <v/>
      </c>
      <c r="E341" s="3">
        <f>IF(B341="","",IF(COUNTIF($B$2:B341,B341)=1,1,0))</f>
        <v/>
      </c>
      <c r="F341" s="4">
        <f>IF(E341=1,D341-ROW()/100000,"")</f>
        <v/>
      </c>
      <c r="G341" s="3">
        <f>IF(ISNUMBER(C341),COUNTIF($C$2:$C$500,C341),"")</f>
        <v/>
      </c>
      <c r="H341" s="3">
        <f>IF(ISNUMBER(C341),IF(COUNTIF($C$2:C341,C341)=1,1,0),"")</f>
        <v/>
      </c>
    </row>
    <row r="342">
      <c r="A342" s="2" t="n"/>
      <c r="B342" s="2" t="n"/>
      <c r="C342" s="2" t="n"/>
      <c r="D342" s="3">
        <f>IF(B342="","",COUNTIF($B$2:$B$500,B342))</f>
        <v/>
      </c>
      <c r="E342" s="3">
        <f>IF(B342="","",IF(COUNTIF($B$2:B342,B342)=1,1,0))</f>
        <v/>
      </c>
      <c r="F342" s="4">
        <f>IF(E342=1,D342-ROW()/100000,"")</f>
        <v/>
      </c>
      <c r="G342" s="3">
        <f>IF(ISNUMBER(C342),COUNTIF($C$2:$C$500,C342),"")</f>
        <v/>
      </c>
      <c r="H342" s="3">
        <f>IF(ISNUMBER(C342),IF(COUNTIF($C$2:C342,C342)=1,1,0),"")</f>
        <v/>
      </c>
    </row>
    <row r="343">
      <c r="A343" s="2" t="n"/>
      <c r="B343" s="2" t="n"/>
      <c r="C343" s="2" t="n"/>
      <c r="D343" s="3">
        <f>IF(B343="","",COUNTIF($B$2:$B$500,B343))</f>
        <v/>
      </c>
      <c r="E343" s="3">
        <f>IF(B343="","",IF(COUNTIF($B$2:B343,B343)=1,1,0))</f>
        <v/>
      </c>
      <c r="F343" s="4">
        <f>IF(E343=1,D343-ROW()/100000,"")</f>
        <v/>
      </c>
      <c r="G343" s="3">
        <f>IF(ISNUMBER(C343),COUNTIF($C$2:$C$500,C343),"")</f>
        <v/>
      </c>
      <c r="H343" s="3">
        <f>IF(ISNUMBER(C343),IF(COUNTIF($C$2:C343,C343)=1,1,0),"")</f>
        <v/>
      </c>
    </row>
    <row r="344">
      <c r="A344" s="2" t="n"/>
      <c r="B344" s="2" t="n"/>
      <c r="C344" s="2" t="n"/>
      <c r="D344" s="3">
        <f>IF(B344="","",COUNTIF($B$2:$B$500,B344))</f>
        <v/>
      </c>
      <c r="E344" s="3">
        <f>IF(B344="","",IF(COUNTIF($B$2:B344,B344)=1,1,0))</f>
        <v/>
      </c>
      <c r="F344" s="4">
        <f>IF(E344=1,D344-ROW()/100000,"")</f>
        <v/>
      </c>
      <c r="G344" s="3">
        <f>IF(ISNUMBER(C344),COUNTIF($C$2:$C$500,C344),"")</f>
        <v/>
      </c>
      <c r="H344" s="3">
        <f>IF(ISNUMBER(C344),IF(COUNTIF($C$2:C344,C344)=1,1,0),"")</f>
        <v/>
      </c>
    </row>
    <row r="345">
      <c r="A345" s="2" t="n"/>
      <c r="B345" s="2" t="n"/>
      <c r="C345" s="2" t="n"/>
      <c r="D345" s="3">
        <f>IF(B345="","",COUNTIF($B$2:$B$500,B345))</f>
        <v/>
      </c>
      <c r="E345" s="3">
        <f>IF(B345="","",IF(COUNTIF($B$2:B345,B345)=1,1,0))</f>
        <v/>
      </c>
      <c r="F345" s="4">
        <f>IF(E345=1,D345-ROW()/100000,"")</f>
        <v/>
      </c>
      <c r="G345" s="3">
        <f>IF(ISNUMBER(C345),COUNTIF($C$2:$C$500,C345),"")</f>
        <v/>
      </c>
      <c r="H345" s="3">
        <f>IF(ISNUMBER(C345),IF(COUNTIF($C$2:C345,C345)=1,1,0),"")</f>
        <v/>
      </c>
    </row>
    <row r="346">
      <c r="A346" s="2" t="n"/>
      <c r="B346" s="2" t="n"/>
      <c r="C346" s="2" t="n"/>
      <c r="D346" s="3">
        <f>IF(B346="","",COUNTIF($B$2:$B$500,B346))</f>
        <v/>
      </c>
      <c r="E346" s="3">
        <f>IF(B346="","",IF(COUNTIF($B$2:B346,B346)=1,1,0))</f>
        <v/>
      </c>
      <c r="F346" s="4">
        <f>IF(E346=1,D346-ROW()/100000,"")</f>
        <v/>
      </c>
      <c r="G346" s="3">
        <f>IF(ISNUMBER(C346),COUNTIF($C$2:$C$500,C346),"")</f>
        <v/>
      </c>
      <c r="H346" s="3">
        <f>IF(ISNUMBER(C346),IF(COUNTIF($C$2:C346,C346)=1,1,0),"")</f>
        <v/>
      </c>
    </row>
    <row r="347">
      <c r="A347" s="2" t="n"/>
      <c r="B347" s="2" t="n"/>
      <c r="C347" s="2" t="n"/>
      <c r="D347" s="3">
        <f>IF(B347="","",COUNTIF($B$2:$B$500,B347))</f>
        <v/>
      </c>
      <c r="E347" s="3">
        <f>IF(B347="","",IF(COUNTIF($B$2:B347,B347)=1,1,0))</f>
        <v/>
      </c>
      <c r="F347" s="4">
        <f>IF(E347=1,D347-ROW()/100000,"")</f>
        <v/>
      </c>
      <c r="G347" s="3">
        <f>IF(ISNUMBER(C347),COUNTIF($C$2:$C$500,C347),"")</f>
        <v/>
      </c>
      <c r="H347" s="3">
        <f>IF(ISNUMBER(C347),IF(COUNTIF($C$2:C347,C347)=1,1,0),"")</f>
        <v/>
      </c>
    </row>
    <row r="348">
      <c r="A348" s="2" t="n"/>
      <c r="B348" s="2" t="n"/>
      <c r="C348" s="2" t="n"/>
      <c r="D348" s="3">
        <f>IF(B348="","",COUNTIF($B$2:$B$500,B348))</f>
        <v/>
      </c>
      <c r="E348" s="3">
        <f>IF(B348="","",IF(COUNTIF($B$2:B348,B348)=1,1,0))</f>
        <v/>
      </c>
      <c r="F348" s="4">
        <f>IF(E348=1,D348-ROW()/100000,"")</f>
        <v/>
      </c>
      <c r="G348" s="3">
        <f>IF(ISNUMBER(C348),COUNTIF($C$2:$C$500,C348),"")</f>
        <v/>
      </c>
      <c r="H348" s="3">
        <f>IF(ISNUMBER(C348),IF(COUNTIF($C$2:C348,C348)=1,1,0),"")</f>
        <v/>
      </c>
    </row>
    <row r="349">
      <c r="A349" s="2" t="n"/>
      <c r="B349" s="2" t="n"/>
      <c r="C349" s="2" t="n"/>
      <c r="D349" s="3">
        <f>IF(B349="","",COUNTIF($B$2:$B$500,B349))</f>
        <v/>
      </c>
      <c r="E349" s="3">
        <f>IF(B349="","",IF(COUNTIF($B$2:B349,B349)=1,1,0))</f>
        <v/>
      </c>
      <c r="F349" s="4">
        <f>IF(E349=1,D349-ROW()/100000,"")</f>
        <v/>
      </c>
      <c r="G349" s="3">
        <f>IF(ISNUMBER(C349),COUNTIF($C$2:$C$500,C349),"")</f>
        <v/>
      </c>
      <c r="H349" s="3">
        <f>IF(ISNUMBER(C349),IF(COUNTIF($C$2:C349,C349)=1,1,0),"")</f>
        <v/>
      </c>
    </row>
    <row r="350">
      <c r="A350" s="2" t="n"/>
      <c r="B350" s="2" t="n"/>
      <c r="C350" s="2" t="n"/>
      <c r="D350" s="3">
        <f>IF(B350="","",COUNTIF($B$2:$B$500,B350))</f>
        <v/>
      </c>
      <c r="E350" s="3">
        <f>IF(B350="","",IF(COUNTIF($B$2:B350,B350)=1,1,0))</f>
        <v/>
      </c>
      <c r="F350" s="4">
        <f>IF(E350=1,D350-ROW()/100000,"")</f>
        <v/>
      </c>
      <c r="G350" s="3">
        <f>IF(ISNUMBER(C350),COUNTIF($C$2:$C$500,C350),"")</f>
        <v/>
      </c>
      <c r="H350" s="3">
        <f>IF(ISNUMBER(C350),IF(COUNTIF($C$2:C350,C350)=1,1,0),"")</f>
        <v/>
      </c>
    </row>
    <row r="351">
      <c r="A351" s="2" t="n"/>
      <c r="B351" s="2" t="n"/>
      <c r="C351" s="2" t="n"/>
      <c r="D351" s="3">
        <f>IF(B351="","",COUNTIF($B$2:$B$500,B351))</f>
        <v/>
      </c>
      <c r="E351" s="3">
        <f>IF(B351="","",IF(COUNTIF($B$2:B351,B351)=1,1,0))</f>
        <v/>
      </c>
      <c r="F351" s="4">
        <f>IF(E351=1,D351-ROW()/100000,"")</f>
        <v/>
      </c>
      <c r="G351" s="3">
        <f>IF(ISNUMBER(C351),COUNTIF($C$2:$C$500,C351),"")</f>
        <v/>
      </c>
      <c r="H351" s="3">
        <f>IF(ISNUMBER(C351),IF(COUNTIF($C$2:C351,C351)=1,1,0),"")</f>
        <v/>
      </c>
    </row>
    <row r="352">
      <c r="A352" s="2" t="n"/>
      <c r="B352" s="2" t="n"/>
      <c r="C352" s="2" t="n"/>
      <c r="D352" s="3">
        <f>IF(B352="","",COUNTIF($B$2:$B$500,B352))</f>
        <v/>
      </c>
      <c r="E352" s="3">
        <f>IF(B352="","",IF(COUNTIF($B$2:B352,B352)=1,1,0))</f>
        <v/>
      </c>
      <c r="F352" s="4">
        <f>IF(E352=1,D352-ROW()/100000,"")</f>
        <v/>
      </c>
      <c r="G352" s="3">
        <f>IF(ISNUMBER(C352),COUNTIF($C$2:$C$500,C352),"")</f>
        <v/>
      </c>
      <c r="H352" s="3">
        <f>IF(ISNUMBER(C352),IF(COUNTIF($C$2:C352,C352)=1,1,0),"")</f>
        <v/>
      </c>
    </row>
    <row r="353">
      <c r="A353" s="2" t="n"/>
      <c r="B353" s="2" t="n"/>
      <c r="C353" s="2" t="n"/>
      <c r="D353" s="3">
        <f>IF(B353="","",COUNTIF($B$2:$B$500,B353))</f>
        <v/>
      </c>
      <c r="E353" s="3">
        <f>IF(B353="","",IF(COUNTIF($B$2:B353,B353)=1,1,0))</f>
        <v/>
      </c>
      <c r="F353" s="4">
        <f>IF(E353=1,D353-ROW()/100000,"")</f>
        <v/>
      </c>
      <c r="G353" s="3">
        <f>IF(ISNUMBER(C353),COUNTIF($C$2:$C$500,C353),"")</f>
        <v/>
      </c>
      <c r="H353" s="3">
        <f>IF(ISNUMBER(C353),IF(COUNTIF($C$2:C353,C353)=1,1,0),"")</f>
        <v/>
      </c>
    </row>
    <row r="354">
      <c r="A354" s="2" t="n"/>
      <c r="B354" s="2" t="n"/>
      <c r="C354" s="2" t="n"/>
      <c r="D354" s="3">
        <f>IF(B354="","",COUNTIF($B$2:$B$500,B354))</f>
        <v/>
      </c>
      <c r="E354" s="3">
        <f>IF(B354="","",IF(COUNTIF($B$2:B354,B354)=1,1,0))</f>
        <v/>
      </c>
      <c r="F354" s="4">
        <f>IF(E354=1,D354-ROW()/100000,"")</f>
        <v/>
      </c>
      <c r="G354" s="3">
        <f>IF(ISNUMBER(C354),COUNTIF($C$2:$C$500,C354),"")</f>
        <v/>
      </c>
      <c r="H354" s="3">
        <f>IF(ISNUMBER(C354),IF(COUNTIF($C$2:C354,C354)=1,1,0),"")</f>
        <v/>
      </c>
    </row>
    <row r="355">
      <c r="A355" s="2" t="n"/>
      <c r="B355" s="2" t="n"/>
      <c r="C355" s="2" t="n"/>
      <c r="D355" s="3">
        <f>IF(B355="","",COUNTIF($B$2:$B$500,B355))</f>
        <v/>
      </c>
      <c r="E355" s="3">
        <f>IF(B355="","",IF(COUNTIF($B$2:B355,B355)=1,1,0))</f>
        <v/>
      </c>
      <c r="F355" s="4">
        <f>IF(E355=1,D355-ROW()/100000,"")</f>
        <v/>
      </c>
      <c r="G355" s="3">
        <f>IF(ISNUMBER(C355),COUNTIF($C$2:$C$500,C355),"")</f>
        <v/>
      </c>
      <c r="H355" s="3">
        <f>IF(ISNUMBER(C355),IF(COUNTIF($C$2:C355,C355)=1,1,0),"")</f>
        <v/>
      </c>
    </row>
    <row r="356">
      <c r="A356" s="2" t="n"/>
      <c r="B356" s="2" t="n"/>
      <c r="C356" s="2" t="n"/>
      <c r="D356" s="3">
        <f>IF(B356="","",COUNTIF($B$2:$B$500,B356))</f>
        <v/>
      </c>
      <c r="E356" s="3">
        <f>IF(B356="","",IF(COUNTIF($B$2:B356,B356)=1,1,0))</f>
        <v/>
      </c>
      <c r="F356" s="4">
        <f>IF(E356=1,D356-ROW()/100000,"")</f>
        <v/>
      </c>
      <c r="G356" s="3">
        <f>IF(ISNUMBER(C356),COUNTIF($C$2:$C$500,C356),"")</f>
        <v/>
      </c>
      <c r="H356" s="3">
        <f>IF(ISNUMBER(C356),IF(COUNTIF($C$2:C356,C356)=1,1,0),"")</f>
        <v/>
      </c>
    </row>
    <row r="357">
      <c r="A357" s="2" t="n"/>
      <c r="B357" s="2" t="n"/>
      <c r="C357" s="2" t="n"/>
      <c r="D357" s="3">
        <f>IF(B357="","",COUNTIF($B$2:$B$500,B357))</f>
        <v/>
      </c>
      <c r="E357" s="3">
        <f>IF(B357="","",IF(COUNTIF($B$2:B357,B357)=1,1,0))</f>
        <v/>
      </c>
      <c r="F357" s="4">
        <f>IF(E357=1,D357-ROW()/100000,"")</f>
        <v/>
      </c>
      <c r="G357" s="3">
        <f>IF(ISNUMBER(C357),COUNTIF($C$2:$C$500,C357),"")</f>
        <v/>
      </c>
      <c r="H357" s="3">
        <f>IF(ISNUMBER(C357),IF(COUNTIF($C$2:C357,C357)=1,1,0),"")</f>
        <v/>
      </c>
    </row>
    <row r="358">
      <c r="A358" s="2" t="n"/>
      <c r="B358" s="2" t="n"/>
      <c r="C358" s="2" t="n"/>
      <c r="D358" s="3">
        <f>IF(B358="","",COUNTIF($B$2:$B$500,B358))</f>
        <v/>
      </c>
      <c r="E358" s="3">
        <f>IF(B358="","",IF(COUNTIF($B$2:B358,B358)=1,1,0))</f>
        <v/>
      </c>
      <c r="F358" s="4">
        <f>IF(E358=1,D358-ROW()/100000,"")</f>
        <v/>
      </c>
      <c r="G358" s="3">
        <f>IF(ISNUMBER(C358),COUNTIF($C$2:$C$500,C358),"")</f>
        <v/>
      </c>
      <c r="H358" s="3">
        <f>IF(ISNUMBER(C358),IF(COUNTIF($C$2:C358,C358)=1,1,0),"")</f>
        <v/>
      </c>
    </row>
    <row r="359">
      <c r="A359" s="2" t="n"/>
      <c r="B359" s="2" t="n"/>
      <c r="C359" s="2" t="n"/>
      <c r="D359" s="3">
        <f>IF(B359="","",COUNTIF($B$2:$B$500,B359))</f>
        <v/>
      </c>
      <c r="E359" s="3">
        <f>IF(B359="","",IF(COUNTIF($B$2:B359,B359)=1,1,0))</f>
        <v/>
      </c>
      <c r="F359" s="4">
        <f>IF(E359=1,D359-ROW()/100000,"")</f>
        <v/>
      </c>
      <c r="G359" s="3">
        <f>IF(ISNUMBER(C359),COUNTIF($C$2:$C$500,C359),"")</f>
        <v/>
      </c>
      <c r="H359" s="3">
        <f>IF(ISNUMBER(C359),IF(COUNTIF($C$2:C359,C359)=1,1,0),"")</f>
        <v/>
      </c>
    </row>
    <row r="360">
      <c r="A360" s="2" t="n"/>
      <c r="B360" s="2" t="n"/>
      <c r="C360" s="2" t="n"/>
      <c r="D360" s="3">
        <f>IF(B360="","",COUNTIF($B$2:$B$500,B360))</f>
        <v/>
      </c>
      <c r="E360" s="3">
        <f>IF(B360="","",IF(COUNTIF($B$2:B360,B360)=1,1,0))</f>
        <v/>
      </c>
      <c r="F360" s="4">
        <f>IF(E360=1,D360-ROW()/100000,"")</f>
        <v/>
      </c>
      <c r="G360" s="3">
        <f>IF(ISNUMBER(C360),COUNTIF($C$2:$C$500,C360),"")</f>
        <v/>
      </c>
      <c r="H360" s="3">
        <f>IF(ISNUMBER(C360),IF(COUNTIF($C$2:C360,C360)=1,1,0),"")</f>
        <v/>
      </c>
    </row>
    <row r="361">
      <c r="A361" s="2" t="n"/>
      <c r="B361" s="2" t="n"/>
      <c r="C361" s="2" t="n"/>
      <c r="D361" s="3">
        <f>IF(B361="","",COUNTIF($B$2:$B$500,B361))</f>
        <v/>
      </c>
      <c r="E361" s="3">
        <f>IF(B361="","",IF(COUNTIF($B$2:B361,B361)=1,1,0))</f>
        <v/>
      </c>
      <c r="F361" s="4">
        <f>IF(E361=1,D361-ROW()/100000,"")</f>
        <v/>
      </c>
      <c r="G361" s="3">
        <f>IF(ISNUMBER(C361),COUNTIF($C$2:$C$500,C361),"")</f>
        <v/>
      </c>
      <c r="H361" s="3">
        <f>IF(ISNUMBER(C361),IF(COUNTIF($C$2:C361,C361)=1,1,0),"")</f>
        <v/>
      </c>
    </row>
    <row r="362">
      <c r="A362" s="2" t="n"/>
      <c r="B362" s="2" t="n"/>
      <c r="C362" s="2" t="n"/>
      <c r="D362" s="3">
        <f>IF(B362="","",COUNTIF($B$2:$B$500,B362))</f>
        <v/>
      </c>
      <c r="E362" s="3">
        <f>IF(B362="","",IF(COUNTIF($B$2:B362,B362)=1,1,0))</f>
        <v/>
      </c>
      <c r="F362" s="4">
        <f>IF(E362=1,D362-ROW()/100000,"")</f>
        <v/>
      </c>
      <c r="G362" s="3">
        <f>IF(ISNUMBER(C362),COUNTIF($C$2:$C$500,C362),"")</f>
        <v/>
      </c>
      <c r="H362" s="3">
        <f>IF(ISNUMBER(C362),IF(COUNTIF($C$2:C362,C362)=1,1,0),"")</f>
        <v/>
      </c>
    </row>
    <row r="363">
      <c r="A363" s="2" t="n"/>
      <c r="B363" s="2" t="n"/>
      <c r="C363" s="2" t="n"/>
      <c r="D363" s="3">
        <f>IF(B363="","",COUNTIF($B$2:$B$500,B363))</f>
        <v/>
      </c>
      <c r="E363" s="3">
        <f>IF(B363="","",IF(COUNTIF($B$2:B363,B363)=1,1,0))</f>
        <v/>
      </c>
      <c r="F363" s="4">
        <f>IF(E363=1,D363-ROW()/100000,"")</f>
        <v/>
      </c>
      <c r="G363" s="3">
        <f>IF(ISNUMBER(C363),COUNTIF($C$2:$C$500,C363),"")</f>
        <v/>
      </c>
      <c r="H363" s="3">
        <f>IF(ISNUMBER(C363),IF(COUNTIF($C$2:C363,C363)=1,1,0),"")</f>
        <v/>
      </c>
    </row>
    <row r="364">
      <c r="A364" s="2" t="n"/>
      <c r="B364" s="2" t="n"/>
      <c r="C364" s="2" t="n"/>
      <c r="D364" s="3">
        <f>IF(B364="","",COUNTIF($B$2:$B$500,B364))</f>
        <v/>
      </c>
      <c r="E364" s="3">
        <f>IF(B364="","",IF(COUNTIF($B$2:B364,B364)=1,1,0))</f>
        <v/>
      </c>
      <c r="F364" s="4">
        <f>IF(E364=1,D364-ROW()/100000,"")</f>
        <v/>
      </c>
      <c r="G364" s="3">
        <f>IF(ISNUMBER(C364),COUNTIF($C$2:$C$500,C364),"")</f>
        <v/>
      </c>
      <c r="H364" s="3">
        <f>IF(ISNUMBER(C364),IF(COUNTIF($C$2:C364,C364)=1,1,0),"")</f>
        <v/>
      </c>
    </row>
    <row r="365">
      <c r="A365" s="2" t="n"/>
      <c r="B365" s="2" t="n"/>
      <c r="C365" s="2" t="n"/>
      <c r="D365" s="3">
        <f>IF(B365="","",COUNTIF($B$2:$B$500,B365))</f>
        <v/>
      </c>
      <c r="E365" s="3">
        <f>IF(B365="","",IF(COUNTIF($B$2:B365,B365)=1,1,0))</f>
        <v/>
      </c>
      <c r="F365" s="4">
        <f>IF(E365=1,D365-ROW()/100000,"")</f>
        <v/>
      </c>
      <c r="G365" s="3">
        <f>IF(ISNUMBER(C365),COUNTIF($C$2:$C$500,C365),"")</f>
        <v/>
      </c>
      <c r="H365" s="3">
        <f>IF(ISNUMBER(C365),IF(COUNTIF($C$2:C365,C365)=1,1,0),"")</f>
        <v/>
      </c>
    </row>
    <row r="366">
      <c r="A366" s="2" t="n"/>
      <c r="B366" s="2" t="n"/>
      <c r="C366" s="2" t="n"/>
      <c r="D366" s="3">
        <f>IF(B366="","",COUNTIF($B$2:$B$500,B366))</f>
        <v/>
      </c>
      <c r="E366" s="3">
        <f>IF(B366="","",IF(COUNTIF($B$2:B366,B366)=1,1,0))</f>
        <v/>
      </c>
      <c r="F366" s="4">
        <f>IF(E366=1,D366-ROW()/100000,"")</f>
        <v/>
      </c>
      <c r="G366" s="3">
        <f>IF(ISNUMBER(C366),COUNTIF($C$2:$C$500,C366),"")</f>
        <v/>
      </c>
      <c r="H366" s="3">
        <f>IF(ISNUMBER(C366),IF(COUNTIF($C$2:C366,C366)=1,1,0),"")</f>
        <v/>
      </c>
    </row>
    <row r="367">
      <c r="A367" s="2" t="n"/>
      <c r="B367" s="2" t="n"/>
      <c r="C367" s="2" t="n"/>
      <c r="D367" s="3">
        <f>IF(B367="","",COUNTIF($B$2:$B$500,B367))</f>
        <v/>
      </c>
      <c r="E367" s="3">
        <f>IF(B367="","",IF(COUNTIF($B$2:B367,B367)=1,1,0))</f>
        <v/>
      </c>
      <c r="F367" s="4">
        <f>IF(E367=1,D367-ROW()/100000,"")</f>
        <v/>
      </c>
      <c r="G367" s="3">
        <f>IF(ISNUMBER(C367),COUNTIF($C$2:$C$500,C367),"")</f>
        <v/>
      </c>
      <c r="H367" s="3">
        <f>IF(ISNUMBER(C367),IF(COUNTIF($C$2:C367,C367)=1,1,0),"")</f>
        <v/>
      </c>
    </row>
    <row r="368">
      <c r="A368" s="2" t="n"/>
      <c r="B368" s="2" t="n"/>
      <c r="C368" s="2" t="n"/>
      <c r="D368" s="3">
        <f>IF(B368="","",COUNTIF($B$2:$B$500,B368))</f>
        <v/>
      </c>
      <c r="E368" s="3">
        <f>IF(B368="","",IF(COUNTIF($B$2:B368,B368)=1,1,0))</f>
        <v/>
      </c>
      <c r="F368" s="4">
        <f>IF(E368=1,D368-ROW()/100000,"")</f>
        <v/>
      </c>
      <c r="G368" s="3">
        <f>IF(ISNUMBER(C368),COUNTIF($C$2:$C$500,C368),"")</f>
        <v/>
      </c>
      <c r="H368" s="3">
        <f>IF(ISNUMBER(C368),IF(COUNTIF($C$2:C368,C368)=1,1,0),"")</f>
        <v/>
      </c>
    </row>
    <row r="369">
      <c r="A369" s="2" t="n"/>
      <c r="B369" s="2" t="n"/>
      <c r="C369" s="2" t="n"/>
      <c r="D369" s="3">
        <f>IF(B369="","",COUNTIF($B$2:$B$500,B369))</f>
        <v/>
      </c>
      <c r="E369" s="3">
        <f>IF(B369="","",IF(COUNTIF($B$2:B369,B369)=1,1,0))</f>
        <v/>
      </c>
      <c r="F369" s="4">
        <f>IF(E369=1,D369-ROW()/100000,"")</f>
        <v/>
      </c>
      <c r="G369" s="3">
        <f>IF(ISNUMBER(C369),COUNTIF($C$2:$C$500,C369),"")</f>
        <v/>
      </c>
      <c r="H369" s="3">
        <f>IF(ISNUMBER(C369),IF(COUNTIF($C$2:C369,C369)=1,1,0),"")</f>
        <v/>
      </c>
    </row>
    <row r="370">
      <c r="A370" s="2" t="n"/>
      <c r="B370" s="2" t="n"/>
      <c r="C370" s="2" t="n"/>
      <c r="D370" s="3">
        <f>IF(B370="","",COUNTIF($B$2:$B$500,B370))</f>
        <v/>
      </c>
      <c r="E370" s="3">
        <f>IF(B370="","",IF(COUNTIF($B$2:B370,B370)=1,1,0))</f>
        <v/>
      </c>
      <c r="F370" s="4">
        <f>IF(E370=1,D370-ROW()/100000,"")</f>
        <v/>
      </c>
      <c r="G370" s="3">
        <f>IF(ISNUMBER(C370),COUNTIF($C$2:$C$500,C370),"")</f>
        <v/>
      </c>
      <c r="H370" s="3">
        <f>IF(ISNUMBER(C370),IF(COUNTIF($C$2:C370,C370)=1,1,0),"")</f>
        <v/>
      </c>
    </row>
    <row r="371">
      <c r="A371" s="2" t="n"/>
      <c r="B371" s="2" t="n"/>
      <c r="C371" s="2" t="n"/>
      <c r="D371" s="3">
        <f>IF(B371="","",COUNTIF($B$2:$B$500,B371))</f>
        <v/>
      </c>
      <c r="E371" s="3">
        <f>IF(B371="","",IF(COUNTIF($B$2:B371,B371)=1,1,0))</f>
        <v/>
      </c>
      <c r="F371" s="4">
        <f>IF(E371=1,D371-ROW()/100000,"")</f>
        <v/>
      </c>
      <c r="G371" s="3">
        <f>IF(ISNUMBER(C371),COUNTIF($C$2:$C$500,C371),"")</f>
        <v/>
      </c>
      <c r="H371" s="3">
        <f>IF(ISNUMBER(C371),IF(COUNTIF($C$2:C371,C371)=1,1,0),"")</f>
        <v/>
      </c>
    </row>
    <row r="372">
      <c r="A372" s="2" t="n"/>
      <c r="B372" s="2" t="n"/>
      <c r="C372" s="2" t="n"/>
      <c r="D372" s="3">
        <f>IF(B372="","",COUNTIF($B$2:$B$500,B372))</f>
        <v/>
      </c>
      <c r="E372" s="3">
        <f>IF(B372="","",IF(COUNTIF($B$2:B372,B372)=1,1,0))</f>
        <v/>
      </c>
      <c r="F372" s="4">
        <f>IF(E372=1,D372-ROW()/100000,"")</f>
        <v/>
      </c>
      <c r="G372" s="3">
        <f>IF(ISNUMBER(C372),COUNTIF($C$2:$C$500,C372),"")</f>
        <v/>
      </c>
      <c r="H372" s="3">
        <f>IF(ISNUMBER(C372),IF(COUNTIF($C$2:C372,C372)=1,1,0),"")</f>
        <v/>
      </c>
    </row>
    <row r="373">
      <c r="A373" s="2" t="n"/>
      <c r="B373" s="2" t="n"/>
      <c r="C373" s="2" t="n"/>
      <c r="D373" s="3">
        <f>IF(B373="","",COUNTIF($B$2:$B$500,B373))</f>
        <v/>
      </c>
      <c r="E373" s="3">
        <f>IF(B373="","",IF(COUNTIF($B$2:B373,B373)=1,1,0))</f>
        <v/>
      </c>
      <c r="F373" s="4">
        <f>IF(E373=1,D373-ROW()/100000,"")</f>
        <v/>
      </c>
      <c r="G373" s="3">
        <f>IF(ISNUMBER(C373),COUNTIF($C$2:$C$500,C373),"")</f>
        <v/>
      </c>
      <c r="H373" s="3">
        <f>IF(ISNUMBER(C373),IF(COUNTIF($C$2:C373,C373)=1,1,0),"")</f>
        <v/>
      </c>
    </row>
    <row r="374">
      <c r="A374" s="2" t="n"/>
      <c r="B374" s="2" t="n"/>
      <c r="C374" s="2" t="n"/>
      <c r="D374" s="3">
        <f>IF(B374="","",COUNTIF($B$2:$B$500,B374))</f>
        <v/>
      </c>
      <c r="E374" s="3">
        <f>IF(B374="","",IF(COUNTIF($B$2:B374,B374)=1,1,0))</f>
        <v/>
      </c>
      <c r="F374" s="4">
        <f>IF(E374=1,D374-ROW()/100000,"")</f>
        <v/>
      </c>
      <c r="G374" s="3">
        <f>IF(ISNUMBER(C374),COUNTIF($C$2:$C$500,C374),"")</f>
        <v/>
      </c>
      <c r="H374" s="3">
        <f>IF(ISNUMBER(C374),IF(COUNTIF($C$2:C374,C374)=1,1,0),"")</f>
        <v/>
      </c>
    </row>
    <row r="375">
      <c r="A375" s="2" t="n"/>
      <c r="B375" s="2" t="n"/>
      <c r="C375" s="2" t="n"/>
      <c r="D375" s="3">
        <f>IF(B375="","",COUNTIF($B$2:$B$500,B375))</f>
        <v/>
      </c>
      <c r="E375" s="3">
        <f>IF(B375="","",IF(COUNTIF($B$2:B375,B375)=1,1,0))</f>
        <v/>
      </c>
      <c r="F375" s="4">
        <f>IF(E375=1,D375-ROW()/100000,"")</f>
        <v/>
      </c>
      <c r="G375" s="3">
        <f>IF(ISNUMBER(C375),COUNTIF($C$2:$C$500,C375),"")</f>
        <v/>
      </c>
      <c r="H375" s="3">
        <f>IF(ISNUMBER(C375),IF(COUNTIF($C$2:C375,C375)=1,1,0),"")</f>
        <v/>
      </c>
    </row>
    <row r="376">
      <c r="A376" s="2" t="n"/>
      <c r="B376" s="2" t="n"/>
      <c r="C376" s="2" t="n"/>
      <c r="D376" s="3">
        <f>IF(B376="","",COUNTIF($B$2:$B$500,B376))</f>
        <v/>
      </c>
      <c r="E376" s="3">
        <f>IF(B376="","",IF(COUNTIF($B$2:B376,B376)=1,1,0))</f>
        <v/>
      </c>
      <c r="F376" s="4">
        <f>IF(E376=1,D376-ROW()/100000,"")</f>
        <v/>
      </c>
      <c r="G376" s="3">
        <f>IF(ISNUMBER(C376),COUNTIF($C$2:$C$500,C376),"")</f>
        <v/>
      </c>
      <c r="H376" s="3">
        <f>IF(ISNUMBER(C376),IF(COUNTIF($C$2:C376,C376)=1,1,0),"")</f>
        <v/>
      </c>
    </row>
    <row r="377">
      <c r="A377" s="2" t="n"/>
      <c r="B377" s="2" t="n"/>
      <c r="C377" s="2" t="n"/>
      <c r="D377" s="3">
        <f>IF(B377="","",COUNTIF($B$2:$B$500,B377))</f>
        <v/>
      </c>
      <c r="E377" s="3">
        <f>IF(B377="","",IF(COUNTIF($B$2:B377,B377)=1,1,0))</f>
        <v/>
      </c>
      <c r="F377" s="4">
        <f>IF(E377=1,D377-ROW()/100000,"")</f>
        <v/>
      </c>
      <c r="G377" s="3">
        <f>IF(ISNUMBER(C377),COUNTIF($C$2:$C$500,C377),"")</f>
        <v/>
      </c>
      <c r="H377" s="3">
        <f>IF(ISNUMBER(C377),IF(COUNTIF($C$2:C377,C377)=1,1,0),"")</f>
        <v/>
      </c>
    </row>
    <row r="378">
      <c r="A378" s="2" t="n"/>
      <c r="B378" s="2" t="n"/>
      <c r="C378" s="2" t="n"/>
      <c r="D378" s="3">
        <f>IF(B378="","",COUNTIF($B$2:$B$500,B378))</f>
        <v/>
      </c>
      <c r="E378" s="3">
        <f>IF(B378="","",IF(COUNTIF($B$2:B378,B378)=1,1,0))</f>
        <v/>
      </c>
      <c r="F378" s="4">
        <f>IF(E378=1,D378-ROW()/100000,"")</f>
        <v/>
      </c>
      <c r="G378" s="3">
        <f>IF(ISNUMBER(C378),COUNTIF($C$2:$C$500,C378),"")</f>
        <v/>
      </c>
      <c r="H378" s="3">
        <f>IF(ISNUMBER(C378),IF(COUNTIF($C$2:C378,C378)=1,1,0),"")</f>
        <v/>
      </c>
    </row>
    <row r="379">
      <c r="A379" s="2" t="n"/>
      <c r="B379" s="2" t="n"/>
      <c r="C379" s="2" t="n"/>
      <c r="D379" s="3">
        <f>IF(B379="","",COUNTIF($B$2:$B$500,B379))</f>
        <v/>
      </c>
      <c r="E379" s="3">
        <f>IF(B379="","",IF(COUNTIF($B$2:B379,B379)=1,1,0))</f>
        <v/>
      </c>
      <c r="F379" s="4">
        <f>IF(E379=1,D379-ROW()/100000,"")</f>
        <v/>
      </c>
      <c r="G379" s="3">
        <f>IF(ISNUMBER(C379),COUNTIF($C$2:$C$500,C379),"")</f>
        <v/>
      </c>
      <c r="H379" s="3">
        <f>IF(ISNUMBER(C379),IF(COUNTIF($C$2:C379,C379)=1,1,0),"")</f>
        <v/>
      </c>
    </row>
    <row r="380">
      <c r="A380" s="2" t="n"/>
      <c r="B380" s="2" t="n"/>
      <c r="C380" s="2" t="n"/>
      <c r="D380" s="3">
        <f>IF(B380="","",COUNTIF($B$2:$B$500,B380))</f>
        <v/>
      </c>
      <c r="E380" s="3">
        <f>IF(B380="","",IF(COUNTIF($B$2:B380,B380)=1,1,0))</f>
        <v/>
      </c>
      <c r="F380" s="4">
        <f>IF(E380=1,D380-ROW()/100000,"")</f>
        <v/>
      </c>
      <c r="G380" s="3">
        <f>IF(ISNUMBER(C380),COUNTIF($C$2:$C$500,C380),"")</f>
        <v/>
      </c>
      <c r="H380" s="3">
        <f>IF(ISNUMBER(C380),IF(COUNTIF($C$2:C380,C380)=1,1,0),"")</f>
        <v/>
      </c>
    </row>
    <row r="381">
      <c r="A381" s="2" t="n"/>
      <c r="B381" s="2" t="n"/>
      <c r="C381" s="2" t="n"/>
      <c r="D381" s="3">
        <f>IF(B381="","",COUNTIF($B$2:$B$500,B381))</f>
        <v/>
      </c>
      <c r="E381" s="3">
        <f>IF(B381="","",IF(COUNTIF($B$2:B381,B381)=1,1,0))</f>
        <v/>
      </c>
      <c r="F381" s="4">
        <f>IF(E381=1,D381-ROW()/100000,"")</f>
        <v/>
      </c>
      <c r="G381" s="3">
        <f>IF(ISNUMBER(C381),COUNTIF($C$2:$C$500,C381),"")</f>
        <v/>
      </c>
      <c r="H381" s="3">
        <f>IF(ISNUMBER(C381),IF(COUNTIF($C$2:C381,C381)=1,1,0),"")</f>
        <v/>
      </c>
    </row>
    <row r="382">
      <c r="A382" s="2" t="n"/>
      <c r="B382" s="2" t="n"/>
      <c r="C382" s="2" t="n"/>
      <c r="D382" s="3">
        <f>IF(B382="","",COUNTIF($B$2:$B$500,B382))</f>
        <v/>
      </c>
      <c r="E382" s="3">
        <f>IF(B382="","",IF(COUNTIF($B$2:B382,B382)=1,1,0))</f>
        <v/>
      </c>
      <c r="F382" s="4">
        <f>IF(E382=1,D382-ROW()/100000,"")</f>
        <v/>
      </c>
      <c r="G382" s="3">
        <f>IF(ISNUMBER(C382),COUNTIF($C$2:$C$500,C382),"")</f>
        <v/>
      </c>
      <c r="H382" s="3">
        <f>IF(ISNUMBER(C382),IF(COUNTIF($C$2:C382,C382)=1,1,0),"")</f>
        <v/>
      </c>
    </row>
    <row r="383">
      <c r="A383" s="2" t="n"/>
      <c r="B383" s="2" t="n"/>
      <c r="C383" s="2" t="n"/>
      <c r="D383" s="3">
        <f>IF(B383="","",COUNTIF($B$2:$B$500,B383))</f>
        <v/>
      </c>
      <c r="E383" s="3">
        <f>IF(B383="","",IF(COUNTIF($B$2:B383,B383)=1,1,0))</f>
        <v/>
      </c>
      <c r="F383" s="4">
        <f>IF(E383=1,D383-ROW()/100000,"")</f>
        <v/>
      </c>
      <c r="G383" s="3">
        <f>IF(ISNUMBER(C383),COUNTIF($C$2:$C$500,C383),"")</f>
        <v/>
      </c>
      <c r="H383" s="3">
        <f>IF(ISNUMBER(C383),IF(COUNTIF($C$2:C383,C383)=1,1,0),"")</f>
        <v/>
      </c>
    </row>
    <row r="384">
      <c r="A384" s="2" t="n"/>
      <c r="B384" s="2" t="n"/>
      <c r="C384" s="2" t="n"/>
      <c r="D384" s="3">
        <f>IF(B384="","",COUNTIF($B$2:$B$500,B384))</f>
        <v/>
      </c>
      <c r="E384" s="3">
        <f>IF(B384="","",IF(COUNTIF($B$2:B384,B384)=1,1,0))</f>
        <v/>
      </c>
      <c r="F384" s="4">
        <f>IF(E384=1,D384-ROW()/100000,"")</f>
        <v/>
      </c>
      <c r="G384" s="3">
        <f>IF(ISNUMBER(C384),COUNTIF($C$2:$C$500,C384),"")</f>
        <v/>
      </c>
      <c r="H384" s="3">
        <f>IF(ISNUMBER(C384),IF(COUNTIF($C$2:C384,C384)=1,1,0),"")</f>
        <v/>
      </c>
    </row>
    <row r="385">
      <c r="A385" s="2" t="n"/>
      <c r="B385" s="2" t="n"/>
      <c r="C385" s="2" t="n"/>
      <c r="D385" s="3">
        <f>IF(B385="","",COUNTIF($B$2:$B$500,B385))</f>
        <v/>
      </c>
      <c r="E385" s="3">
        <f>IF(B385="","",IF(COUNTIF($B$2:B385,B385)=1,1,0))</f>
        <v/>
      </c>
      <c r="F385" s="4">
        <f>IF(E385=1,D385-ROW()/100000,"")</f>
        <v/>
      </c>
      <c r="G385" s="3">
        <f>IF(ISNUMBER(C385),COUNTIF($C$2:$C$500,C385),"")</f>
        <v/>
      </c>
      <c r="H385" s="3">
        <f>IF(ISNUMBER(C385),IF(COUNTIF($C$2:C385,C385)=1,1,0),"")</f>
        <v/>
      </c>
    </row>
    <row r="386">
      <c r="A386" s="2" t="n"/>
      <c r="B386" s="2" t="n"/>
      <c r="C386" s="2" t="n"/>
      <c r="D386" s="3">
        <f>IF(B386="","",COUNTIF($B$2:$B$500,B386))</f>
        <v/>
      </c>
      <c r="E386" s="3">
        <f>IF(B386="","",IF(COUNTIF($B$2:B386,B386)=1,1,0))</f>
        <v/>
      </c>
      <c r="F386" s="4">
        <f>IF(E386=1,D386-ROW()/100000,"")</f>
        <v/>
      </c>
      <c r="G386" s="3">
        <f>IF(ISNUMBER(C386),COUNTIF($C$2:$C$500,C386),"")</f>
        <v/>
      </c>
      <c r="H386" s="3">
        <f>IF(ISNUMBER(C386),IF(COUNTIF($C$2:C386,C386)=1,1,0),"")</f>
        <v/>
      </c>
    </row>
    <row r="387">
      <c r="A387" s="2" t="n"/>
      <c r="B387" s="2" t="n"/>
      <c r="C387" s="2" t="n"/>
      <c r="D387" s="3">
        <f>IF(B387="","",COUNTIF($B$2:$B$500,B387))</f>
        <v/>
      </c>
      <c r="E387" s="3">
        <f>IF(B387="","",IF(COUNTIF($B$2:B387,B387)=1,1,0))</f>
        <v/>
      </c>
      <c r="F387" s="4">
        <f>IF(E387=1,D387-ROW()/100000,"")</f>
        <v/>
      </c>
      <c r="G387" s="3">
        <f>IF(ISNUMBER(C387),COUNTIF($C$2:$C$500,C387),"")</f>
        <v/>
      </c>
      <c r="H387" s="3">
        <f>IF(ISNUMBER(C387),IF(COUNTIF($C$2:C387,C387)=1,1,0),"")</f>
        <v/>
      </c>
    </row>
    <row r="388">
      <c r="A388" s="2" t="n"/>
      <c r="B388" s="2" t="n"/>
      <c r="C388" s="2" t="n"/>
      <c r="D388" s="3">
        <f>IF(B388="","",COUNTIF($B$2:$B$500,B388))</f>
        <v/>
      </c>
      <c r="E388" s="3">
        <f>IF(B388="","",IF(COUNTIF($B$2:B388,B388)=1,1,0))</f>
        <v/>
      </c>
      <c r="F388" s="4">
        <f>IF(E388=1,D388-ROW()/100000,"")</f>
        <v/>
      </c>
      <c r="G388" s="3">
        <f>IF(ISNUMBER(C388),COUNTIF($C$2:$C$500,C388),"")</f>
        <v/>
      </c>
      <c r="H388" s="3">
        <f>IF(ISNUMBER(C388),IF(COUNTIF($C$2:C388,C388)=1,1,0),"")</f>
        <v/>
      </c>
    </row>
    <row r="389">
      <c r="A389" s="2" t="n"/>
      <c r="B389" s="2" t="n"/>
      <c r="C389" s="2" t="n"/>
      <c r="D389" s="3">
        <f>IF(B389="","",COUNTIF($B$2:$B$500,B389))</f>
        <v/>
      </c>
      <c r="E389" s="3">
        <f>IF(B389="","",IF(COUNTIF($B$2:B389,B389)=1,1,0))</f>
        <v/>
      </c>
      <c r="F389" s="4">
        <f>IF(E389=1,D389-ROW()/100000,"")</f>
        <v/>
      </c>
      <c r="G389" s="3">
        <f>IF(ISNUMBER(C389),COUNTIF($C$2:$C$500,C389),"")</f>
        <v/>
      </c>
      <c r="H389" s="3">
        <f>IF(ISNUMBER(C389),IF(COUNTIF($C$2:C389,C389)=1,1,0),"")</f>
        <v/>
      </c>
    </row>
    <row r="390">
      <c r="A390" s="2" t="n"/>
      <c r="B390" s="2" t="n"/>
      <c r="C390" s="2" t="n"/>
      <c r="D390" s="3">
        <f>IF(B390="","",COUNTIF($B$2:$B$500,B390))</f>
        <v/>
      </c>
      <c r="E390" s="3">
        <f>IF(B390="","",IF(COUNTIF($B$2:B390,B390)=1,1,0))</f>
        <v/>
      </c>
      <c r="F390" s="4">
        <f>IF(E390=1,D390-ROW()/100000,"")</f>
        <v/>
      </c>
      <c r="G390" s="3">
        <f>IF(ISNUMBER(C390),COUNTIF($C$2:$C$500,C390),"")</f>
        <v/>
      </c>
      <c r="H390" s="3">
        <f>IF(ISNUMBER(C390),IF(COUNTIF($C$2:C390,C390)=1,1,0),"")</f>
        <v/>
      </c>
    </row>
    <row r="391">
      <c r="A391" s="2" t="n"/>
      <c r="B391" s="2" t="n"/>
      <c r="C391" s="2" t="n"/>
      <c r="D391" s="3">
        <f>IF(B391="","",COUNTIF($B$2:$B$500,B391))</f>
        <v/>
      </c>
      <c r="E391" s="3">
        <f>IF(B391="","",IF(COUNTIF($B$2:B391,B391)=1,1,0))</f>
        <v/>
      </c>
      <c r="F391" s="4">
        <f>IF(E391=1,D391-ROW()/100000,"")</f>
        <v/>
      </c>
      <c r="G391" s="3">
        <f>IF(ISNUMBER(C391),COUNTIF($C$2:$C$500,C391),"")</f>
        <v/>
      </c>
      <c r="H391" s="3">
        <f>IF(ISNUMBER(C391),IF(COUNTIF($C$2:C391,C391)=1,1,0),"")</f>
        <v/>
      </c>
    </row>
    <row r="392">
      <c r="A392" s="2" t="n"/>
      <c r="B392" s="2" t="n"/>
      <c r="C392" s="2" t="n"/>
      <c r="D392" s="3">
        <f>IF(B392="","",COUNTIF($B$2:$B$500,B392))</f>
        <v/>
      </c>
      <c r="E392" s="3">
        <f>IF(B392="","",IF(COUNTIF($B$2:B392,B392)=1,1,0))</f>
        <v/>
      </c>
      <c r="F392" s="4">
        <f>IF(E392=1,D392-ROW()/100000,"")</f>
        <v/>
      </c>
      <c r="G392" s="3">
        <f>IF(ISNUMBER(C392),COUNTIF($C$2:$C$500,C392),"")</f>
        <v/>
      </c>
      <c r="H392" s="3">
        <f>IF(ISNUMBER(C392),IF(COUNTIF($C$2:C392,C392)=1,1,0),"")</f>
        <v/>
      </c>
    </row>
    <row r="393">
      <c r="A393" s="2" t="n"/>
      <c r="B393" s="2" t="n"/>
      <c r="C393" s="2" t="n"/>
      <c r="D393" s="3">
        <f>IF(B393="","",COUNTIF($B$2:$B$500,B393))</f>
        <v/>
      </c>
      <c r="E393" s="3">
        <f>IF(B393="","",IF(COUNTIF($B$2:B393,B393)=1,1,0))</f>
        <v/>
      </c>
      <c r="F393" s="4">
        <f>IF(E393=1,D393-ROW()/100000,"")</f>
        <v/>
      </c>
      <c r="G393" s="3">
        <f>IF(ISNUMBER(C393),COUNTIF($C$2:$C$500,C393),"")</f>
        <v/>
      </c>
      <c r="H393" s="3">
        <f>IF(ISNUMBER(C393),IF(COUNTIF($C$2:C393,C393)=1,1,0),"")</f>
        <v/>
      </c>
    </row>
    <row r="394">
      <c r="A394" s="2" t="n"/>
      <c r="B394" s="2" t="n"/>
      <c r="C394" s="2" t="n"/>
      <c r="D394" s="3">
        <f>IF(B394="","",COUNTIF($B$2:$B$500,B394))</f>
        <v/>
      </c>
      <c r="E394" s="3">
        <f>IF(B394="","",IF(COUNTIF($B$2:B394,B394)=1,1,0))</f>
        <v/>
      </c>
      <c r="F394" s="4">
        <f>IF(E394=1,D394-ROW()/100000,"")</f>
        <v/>
      </c>
      <c r="G394" s="3">
        <f>IF(ISNUMBER(C394),COUNTIF($C$2:$C$500,C394),"")</f>
        <v/>
      </c>
      <c r="H394" s="3">
        <f>IF(ISNUMBER(C394),IF(COUNTIF($C$2:C394,C394)=1,1,0),"")</f>
        <v/>
      </c>
    </row>
    <row r="395">
      <c r="A395" s="2" t="n"/>
      <c r="B395" s="2" t="n"/>
      <c r="C395" s="2" t="n"/>
      <c r="D395" s="3">
        <f>IF(B395="","",COUNTIF($B$2:$B$500,B395))</f>
        <v/>
      </c>
      <c r="E395" s="3">
        <f>IF(B395="","",IF(COUNTIF($B$2:B395,B395)=1,1,0))</f>
        <v/>
      </c>
      <c r="F395" s="4">
        <f>IF(E395=1,D395-ROW()/100000,"")</f>
        <v/>
      </c>
      <c r="G395" s="3">
        <f>IF(ISNUMBER(C395),COUNTIF($C$2:$C$500,C395),"")</f>
        <v/>
      </c>
      <c r="H395" s="3">
        <f>IF(ISNUMBER(C395),IF(COUNTIF($C$2:C395,C395)=1,1,0),"")</f>
        <v/>
      </c>
    </row>
    <row r="396">
      <c r="A396" s="2" t="n"/>
      <c r="B396" s="2" t="n"/>
      <c r="C396" s="2" t="n"/>
      <c r="D396" s="3">
        <f>IF(B396="","",COUNTIF($B$2:$B$500,B396))</f>
        <v/>
      </c>
      <c r="E396" s="3">
        <f>IF(B396="","",IF(COUNTIF($B$2:B396,B396)=1,1,0))</f>
        <v/>
      </c>
      <c r="F396" s="4">
        <f>IF(E396=1,D396-ROW()/100000,"")</f>
        <v/>
      </c>
      <c r="G396" s="3">
        <f>IF(ISNUMBER(C396),COUNTIF($C$2:$C$500,C396),"")</f>
        <v/>
      </c>
      <c r="H396" s="3">
        <f>IF(ISNUMBER(C396),IF(COUNTIF($C$2:C396,C396)=1,1,0),"")</f>
        <v/>
      </c>
    </row>
    <row r="397">
      <c r="A397" s="2" t="n"/>
      <c r="B397" s="2" t="n"/>
      <c r="C397" s="2" t="n"/>
      <c r="D397" s="3">
        <f>IF(B397="","",COUNTIF($B$2:$B$500,B397))</f>
        <v/>
      </c>
      <c r="E397" s="3">
        <f>IF(B397="","",IF(COUNTIF($B$2:B397,B397)=1,1,0))</f>
        <v/>
      </c>
      <c r="F397" s="4">
        <f>IF(E397=1,D397-ROW()/100000,"")</f>
        <v/>
      </c>
      <c r="G397" s="3">
        <f>IF(ISNUMBER(C397),COUNTIF($C$2:$C$500,C397),"")</f>
        <v/>
      </c>
      <c r="H397" s="3">
        <f>IF(ISNUMBER(C397),IF(COUNTIF($C$2:C397,C397)=1,1,0),"")</f>
        <v/>
      </c>
    </row>
    <row r="398">
      <c r="A398" s="2" t="n"/>
      <c r="B398" s="2" t="n"/>
      <c r="C398" s="2" t="n"/>
      <c r="D398" s="3">
        <f>IF(B398="","",COUNTIF($B$2:$B$500,B398))</f>
        <v/>
      </c>
      <c r="E398" s="3">
        <f>IF(B398="","",IF(COUNTIF($B$2:B398,B398)=1,1,0))</f>
        <v/>
      </c>
      <c r="F398" s="4">
        <f>IF(E398=1,D398-ROW()/100000,"")</f>
        <v/>
      </c>
      <c r="G398" s="3">
        <f>IF(ISNUMBER(C398),COUNTIF($C$2:$C$500,C398),"")</f>
        <v/>
      </c>
      <c r="H398" s="3">
        <f>IF(ISNUMBER(C398),IF(COUNTIF($C$2:C398,C398)=1,1,0),"")</f>
        <v/>
      </c>
    </row>
    <row r="399">
      <c r="A399" s="2" t="n"/>
      <c r="B399" s="2" t="n"/>
      <c r="C399" s="2" t="n"/>
      <c r="D399" s="3">
        <f>IF(B399="","",COUNTIF($B$2:$B$500,B399))</f>
        <v/>
      </c>
      <c r="E399" s="3">
        <f>IF(B399="","",IF(COUNTIF($B$2:B399,B399)=1,1,0))</f>
        <v/>
      </c>
      <c r="F399" s="4">
        <f>IF(E399=1,D399-ROW()/100000,"")</f>
        <v/>
      </c>
      <c r="G399" s="3">
        <f>IF(ISNUMBER(C399),COUNTIF($C$2:$C$500,C399),"")</f>
        <v/>
      </c>
      <c r="H399" s="3">
        <f>IF(ISNUMBER(C399),IF(COUNTIF($C$2:C399,C399)=1,1,0),"")</f>
        <v/>
      </c>
    </row>
    <row r="400">
      <c r="A400" s="2" t="n"/>
      <c r="B400" s="2" t="n"/>
      <c r="C400" s="2" t="n"/>
      <c r="D400" s="3">
        <f>IF(B400="","",COUNTIF($B$2:$B$500,B400))</f>
        <v/>
      </c>
      <c r="E400" s="3">
        <f>IF(B400="","",IF(COUNTIF($B$2:B400,B400)=1,1,0))</f>
        <v/>
      </c>
      <c r="F400" s="4">
        <f>IF(E400=1,D400-ROW()/100000,"")</f>
        <v/>
      </c>
      <c r="G400" s="3">
        <f>IF(ISNUMBER(C400),COUNTIF($C$2:$C$500,C400),"")</f>
        <v/>
      </c>
      <c r="H400" s="3">
        <f>IF(ISNUMBER(C400),IF(COUNTIF($C$2:C400,C400)=1,1,0),"")</f>
        <v/>
      </c>
    </row>
    <row r="401">
      <c r="A401" s="2" t="n"/>
      <c r="B401" s="2" t="n"/>
      <c r="C401" s="2" t="n"/>
      <c r="D401" s="3">
        <f>IF(B401="","",COUNTIF($B$2:$B$500,B401))</f>
        <v/>
      </c>
      <c r="E401" s="3">
        <f>IF(B401="","",IF(COUNTIF($B$2:B401,B401)=1,1,0))</f>
        <v/>
      </c>
      <c r="F401" s="4">
        <f>IF(E401=1,D401-ROW()/100000,"")</f>
        <v/>
      </c>
      <c r="G401" s="3">
        <f>IF(ISNUMBER(C401),COUNTIF($C$2:$C$500,C401),"")</f>
        <v/>
      </c>
      <c r="H401" s="3">
        <f>IF(ISNUMBER(C401),IF(COUNTIF($C$2:C401,C401)=1,1,0),"")</f>
        <v/>
      </c>
    </row>
    <row r="402">
      <c r="A402" s="2" t="n"/>
      <c r="B402" s="2" t="n"/>
      <c r="C402" s="2" t="n"/>
      <c r="D402" s="3">
        <f>IF(B402="","",COUNTIF($B$2:$B$500,B402))</f>
        <v/>
      </c>
      <c r="E402" s="3">
        <f>IF(B402="","",IF(COUNTIF($B$2:B402,B402)=1,1,0))</f>
        <v/>
      </c>
      <c r="F402" s="4">
        <f>IF(E402=1,D402-ROW()/100000,"")</f>
        <v/>
      </c>
      <c r="G402" s="3">
        <f>IF(ISNUMBER(C402),COUNTIF($C$2:$C$500,C402),"")</f>
        <v/>
      </c>
      <c r="H402" s="3">
        <f>IF(ISNUMBER(C402),IF(COUNTIF($C$2:C402,C402)=1,1,0),"")</f>
        <v/>
      </c>
    </row>
    <row r="403">
      <c r="A403" s="2" t="n"/>
      <c r="B403" s="2" t="n"/>
      <c r="C403" s="2" t="n"/>
      <c r="D403" s="3">
        <f>IF(B403="","",COUNTIF($B$2:$B$500,B403))</f>
        <v/>
      </c>
      <c r="E403" s="3">
        <f>IF(B403="","",IF(COUNTIF($B$2:B403,B403)=1,1,0))</f>
        <v/>
      </c>
      <c r="F403" s="4">
        <f>IF(E403=1,D403-ROW()/100000,"")</f>
        <v/>
      </c>
      <c r="G403" s="3">
        <f>IF(ISNUMBER(C403),COUNTIF($C$2:$C$500,C403),"")</f>
        <v/>
      </c>
      <c r="H403" s="3">
        <f>IF(ISNUMBER(C403),IF(COUNTIF($C$2:C403,C403)=1,1,0),"")</f>
        <v/>
      </c>
    </row>
    <row r="404">
      <c r="A404" s="2" t="n"/>
      <c r="B404" s="2" t="n"/>
      <c r="C404" s="2" t="n"/>
      <c r="D404" s="3">
        <f>IF(B404="","",COUNTIF($B$2:$B$500,B404))</f>
        <v/>
      </c>
      <c r="E404" s="3">
        <f>IF(B404="","",IF(COUNTIF($B$2:B404,B404)=1,1,0))</f>
        <v/>
      </c>
      <c r="F404" s="4">
        <f>IF(E404=1,D404-ROW()/100000,"")</f>
        <v/>
      </c>
      <c r="G404" s="3">
        <f>IF(ISNUMBER(C404),COUNTIF($C$2:$C$500,C404),"")</f>
        <v/>
      </c>
      <c r="H404" s="3">
        <f>IF(ISNUMBER(C404),IF(COUNTIF($C$2:C404,C404)=1,1,0),"")</f>
        <v/>
      </c>
    </row>
    <row r="405">
      <c r="A405" s="2" t="n"/>
      <c r="B405" s="2" t="n"/>
      <c r="C405" s="2" t="n"/>
      <c r="D405" s="3">
        <f>IF(B405="","",COUNTIF($B$2:$B$500,B405))</f>
        <v/>
      </c>
      <c r="E405" s="3">
        <f>IF(B405="","",IF(COUNTIF($B$2:B405,B405)=1,1,0))</f>
        <v/>
      </c>
      <c r="F405" s="4">
        <f>IF(E405=1,D405-ROW()/100000,"")</f>
        <v/>
      </c>
      <c r="G405" s="3">
        <f>IF(ISNUMBER(C405),COUNTIF($C$2:$C$500,C405),"")</f>
        <v/>
      </c>
      <c r="H405" s="3">
        <f>IF(ISNUMBER(C405),IF(COUNTIF($C$2:C405,C405)=1,1,0),"")</f>
        <v/>
      </c>
    </row>
    <row r="406">
      <c r="A406" s="2" t="n"/>
      <c r="B406" s="2" t="n"/>
      <c r="C406" s="2" t="n"/>
      <c r="D406" s="3">
        <f>IF(B406="","",COUNTIF($B$2:$B$500,B406))</f>
        <v/>
      </c>
      <c r="E406" s="3">
        <f>IF(B406="","",IF(COUNTIF($B$2:B406,B406)=1,1,0))</f>
        <v/>
      </c>
      <c r="F406" s="4">
        <f>IF(E406=1,D406-ROW()/100000,"")</f>
        <v/>
      </c>
      <c r="G406" s="3">
        <f>IF(ISNUMBER(C406),COUNTIF($C$2:$C$500,C406),"")</f>
        <v/>
      </c>
      <c r="H406" s="3">
        <f>IF(ISNUMBER(C406),IF(COUNTIF($C$2:C406,C406)=1,1,0),"")</f>
        <v/>
      </c>
    </row>
    <row r="407">
      <c r="A407" s="2" t="n"/>
      <c r="B407" s="2" t="n"/>
      <c r="C407" s="2" t="n"/>
      <c r="D407" s="3">
        <f>IF(B407="","",COUNTIF($B$2:$B$500,B407))</f>
        <v/>
      </c>
      <c r="E407" s="3">
        <f>IF(B407="","",IF(COUNTIF($B$2:B407,B407)=1,1,0))</f>
        <v/>
      </c>
      <c r="F407" s="4">
        <f>IF(E407=1,D407-ROW()/100000,"")</f>
        <v/>
      </c>
      <c r="G407" s="3">
        <f>IF(ISNUMBER(C407),COUNTIF($C$2:$C$500,C407),"")</f>
        <v/>
      </c>
      <c r="H407" s="3">
        <f>IF(ISNUMBER(C407),IF(COUNTIF($C$2:C407,C407)=1,1,0),"")</f>
        <v/>
      </c>
    </row>
    <row r="408">
      <c r="A408" s="2" t="n"/>
      <c r="B408" s="2" t="n"/>
      <c r="C408" s="2" t="n"/>
      <c r="D408" s="3">
        <f>IF(B408="","",COUNTIF($B$2:$B$500,B408))</f>
        <v/>
      </c>
      <c r="E408" s="3">
        <f>IF(B408="","",IF(COUNTIF($B$2:B408,B408)=1,1,0))</f>
        <v/>
      </c>
      <c r="F408" s="4">
        <f>IF(E408=1,D408-ROW()/100000,"")</f>
        <v/>
      </c>
      <c r="G408" s="3">
        <f>IF(ISNUMBER(C408),COUNTIF($C$2:$C$500,C408),"")</f>
        <v/>
      </c>
      <c r="H408" s="3">
        <f>IF(ISNUMBER(C408),IF(COUNTIF($C$2:C408,C408)=1,1,0),"")</f>
        <v/>
      </c>
    </row>
    <row r="409">
      <c r="A409" s="2" t="n"/>
      <c r="B409" s="2" t="n"/>
      <c r="C409" s="2" t="n"/>
      <c r="D409" s="3">
        <f>IF(B409="","",COUNTIF($B$2:$B$500,B409))</f>
        <v/>
      </c>
      <c r="E409" s="3">
        <f>IF(B409="","",IF(COUNTIF($B$2:B409,B409)=1,1,0))</f>
        <v/>
      </c>
      <c r="F409" s="4">
        <f>IF(E409=1,D409-ROW()/100000,"")</f>
        <v/>
      </c>
      <c r="G409" s="3">
        <f>IF(ISNUMBER(C409),COUNTIF($C$2:$C$500,C409),"")</f>
        <v/>
      </c>
      <c r="H409" s="3">
        <f>IF(ISNUMBER(C409),IF(COUNTIF($C$2:C409,C409)=1,1,0),"")</f>
        <v/>
      </c>
    </row>
    <row r="410">
      <c r="A410" s="2" t="n"/>
      <c r="B410" s="2" t="n"/>
      <c r="C410" s="2" t="n"/>
      <c r="D410" s="3">
        <f>IF(B410="","",COUNTIF($B$2:$B$500,B410))</f>
        <v/>
      </c>
      <c r="E410" s="3">
        <f>IF(B410="","",IF(COUNTIF($B$2:B410,B410)=1,1,0))</f>
        <v/>
      </c>
      <c r="F410" s="4">
        <f>IF(E410=1,D410-ROW()/100000,"")</f>
        <v/>
      </c>
      <c r="G410" s="3">
        <f>IF(ISNUMBER(C410),COUNTIF($C$2:$C$500,C410),"")</f>
        <v/>
      </c>
      <c r="H410" s="3">
        <f>IF(ISNUMBER(C410),IF(COUNTIF($C$2:C410,C410)=1,1,0),"")</f>
        <v/>
      </c>
    </row>
    <row r="411">
      <c r="A411" s="2" t="n"/>
      <c r="B411" s="2" t="n"/>
      <c r="C411" s="2" t="n"/>
      <c r="D411" s="3">
        <f>IF(B411="","",COUNTIF($B$2:$B$500,B411))</f>
        <v/>
      </c>
      <c r="E411" s="3">
        <f>IF(B411="","",IF(COUNTIF($B$2:B411,B411)=1,1,0))</f>
        <v/>
      </c>
      <c r="F411" s="4">
        <f>IF(E411=1,D411-ROW()/100000,"")</f>
        <v/>
      </c>
      <c r="G411" s="3">
        <f>IF(ISNUMBER(C411),COUNTIF($C$2:$C$500,C411),"")</f>
        <v/>
      </c>
      <c r="H411" s="3">
        <f>IF(ISNUMBER(C411),IF(COUNTIF($C$2:C411,C411)=1,1,0),"")</f>
        <v/>
      </c>
    </row>
    <row r="412">
      <c r="A412" s="2" t="n"/>
      <c r="B412" s="2" t="n"/>
      <c r="C412" s="2" t="n"/>
      <c r="D412" s="3">
        <f>IF(B412="","",COUNTIF($B$2:$B$500,B412))</f>
        <v/>
      </c>
      <c r="E412" s="3">
        <f>IF(B412="","",IF(COUNTIF($B$2:B412,B412)=1,1,0))</f>
        <v/>
      </c>
      <c r="F412" s="4">
        <f>IF(E412=1,D412-ROW()/100000,"")</f>
        <v/>
      </c>
      <c r="G412" s="3">
        <f>IF(ISNUMBER(C412),COUNTIF($C$2:$C$500,C412),"")</f>
        <v/>
      </c>
      <c r="H412" s="3">
        <f>IF(ISNUMBER(C412),IF(COUNTIF($C$2:C412,C412)=1,1,0),"")</f>
        <v/>
      </c>
    </row>
    <row r="413">
      <c r="A413" s="2" t="n"/>
      <c r="B413" s="2" t="n"/>
      <c r="C413" s="2" t="n"/>
      <c r="D413" s="3">
        <f>IF(B413="","",COUNTIF($B$2:$B$500,B413))</f>
        <v/>
      </c>
      <c r="E413" s="3">
        <f>IF(B413="","",IF(COUNTIF($B$2:B413,B413)=1,1,0))</f>
        <v/>
      </c>
      <c r="F413" s="4">
        <f>IF(E413=1,D413-ROW()/100000,"")</f>
        <v/>
      </c>
      <c r="G413" s="3">
        <f>IF(ISNUMBER(C413),COUNTIF($C$2:$C$500,C413),"")</f>
        <v/>
      </c>
      <c r="H413" s="3">
        <f>IF(ISNUMBER(C413),IF(COUNTIF($C$2:C413,C413)=1,1,0),"")</f>
        <v/>
      </c>
    </row>
    <row r="414">
      <c r="A414" s="2" t="n"/>
      <c r="B414" s="2" t="n"/>
      <c r="C414" s="2" t="n"/>
      <c r="D414" s="3">
        <f>IF(B414="","",COUNTIF($B$2:$B$500,B414))</f>
        <v/>
      </c>
      <c r="E414" s="3">
        <f>IF(B414="","",IF(COUNTIF($B$2:B414,B414)=1,1,0))</f>
        <v/>
      </c>
      <c r="F414" s="4">
        <f>IF(E414=1,D414-ROW()/100000,"")</f>
        <v/>
      </c>
      <c r="G414" s="3">
        <f>IF(ISNUMBER(C414),COUNTIF($C$2:$C$500,C414),"")</f>
        <v/>
      </c>
      <c r="H414" s="3">
        <f>IF(ISNUMBER(C414),IF(COUNTIF($C$2:C414,C414)=1,1,0),"")</f>
        <v/>
      </c>
    </row>
    <row r="415">
      <c r="A415" s="2" t="n"/>
      <c r="B415" s="2" t="n"/>
      <c r="C415" s="2" t="n"/>
      <c r="D415" s="3">
        <f>IF(B415="","",COUNTIF($B$2:$B$500,B415))</f>
        <v/>
      </c>
      <c r="E415" s="3">
        <f>IF(B415="","",IF(COUNTIF($B$2:B415,B415)=1,1,0))</f>
        <v/>
      </c>
      <c r="F415" s="4">
        <f>IF(E415=1,D415-ROW()/100000,"")</f>
        <v/>
      </c>
      <c r="G415" s="3">
        <f>IF(ISNUMBER(C415),COUNTIF($C$2:$C$500,C415),"")</f>
        <v/>
      </c>
      <c r="H415" s="3">
        <f>IF(ISNUMBER(C415),IF(COUNTIF($C$2:C415,C415)=1,1,0),"")</f>
        <v/>
      </c>
    </row>
    <row r="416">
      <c r="A416" s="2" t="n"/>
      <c r="B416" s="2" t="n"/>
      <c r="C416" s="2" t="n"/>
      <c r="D416" s="3">
        <f>IF(B416="","",COUNTIF($B$2:$B$500,B416))</f>
        <v/>
      </c>
      <c r="E416" s="3">
        <f>IF(B416="","",IF(COUNTIF($B$2:B416,B416)=1,1,0))</f>
        <v/>
      </c>
      <c r="F416" s="4">
        <f>IF(E416=1,D416-ROW()/100000,"")</f>
        <v/>
      </c>
      <c r="G416" s="3">
        <f>IF(ISNUMBER(C416),COUNTIF($C$2:$C$500,C416),"")</f>
        <v/>
      </c>
      <c r="H416" s="3">
        <f>IF(ISNUMBER(C416),IF(COUNTIF($C$2:C416,C416)=1,1,0),"")</f>
        <v/>
      </c>
    </row>
    <row r="417">
      <c r="A417" s="2" t="n"/>
      <c r="B417" s="2" t="n"/>
      <c r="C417" s="2" t="n"/>
      <c r="D417" s="3">
        <f>IF(B417="","",COUNTIF($B$2:$B$500,B417))</f>
        <v/>
      </c>
      <c r="E417" s="3">
        <f>IF(B417="","",IF(COUNTIF($B$2:B417,B417)=1,1,0))</f>
        <v/>
      </c>
      <c r="F417" s="4">
        <f>IF(E417=1,D417-ROW()/100000,"")</f>
        <v/>
      </c>
      <c r="G417" s="3">
        <f>IF(ISNUMBER(C417),COUNTIF($C$2:$C$500,C417),"")</f>
        <v/>
      </c>
      <c r="H417" s="3">
        <f>IF(ISNUMBER(C417),IF(COUNTIF($C$2:C417,C417)=1,1,0),"")</f>
        <v/>
      </c>
    </row>
    <row r="418">
      <c r="A418" s="2" t="n"/>
      <c r="B418" s="2" t="n"/>
      <c r="C418" s="2" t="n"/>
      <c r="D418" s="3">
        <f>IF(B418="","",COUNTIF($B$2:$B$500,B418))</f>
        <v/>
      </c>
      <c r="E418" s="3">
        <f>IF(B418="","",IF(COUNTIF($B$2:B418,B418)=1,1,0))</f>
        <v/>
      </c>
      <c r="F418" s="4">
        <f>IF(E418=1,D418-ROW()/100000,"")</f>
        <v/>
      </c>
      <c r="G418" s="3">
        <f>IF(ISNUMBER(C418),COUNTIF($C$2:$C$500,C418),"")</f>
        <v/>
      </c>
      <c r="H418" s="3">
        <f>IF(ISNUMBER(C418),IF(COUNTIF($C$2:C418,C418)=1,1,0),"")</f>
        <v/>
      </c>
    </row>
    <row r="419">
      <c r="A419" s="2" t="n"/>
      <c r="B419" s="2" t="n"/>
      <c r="C419" s="2" t="n"/>
      <c r="D419" s="3">
        <f>IF(B419="","",COUNTIF($B$2:$B$500,B419))</f>
        <v/>
      </c>
      <c r="E419" s="3">
        <f>IF(B419="","",IF(COUNTIF($B$2:B419,B419)=1,1,0))</f>
        <v/>
      </c>
      <c r="F419" s="4">
        <f>IF(E419=1,D419-ROW()/100000,"")</f>
        <v/>
      </c>
      <c r="G419" s="3">
        <f>IF(ISNUMBER(C419),COUNTIF($C$2:$C$500,C419),"")</f>
        <v/>
      </c>
      <c r="H419" s="3">
        <f>IF(ISNUMBER(C419),IF(COUNTIF($C$2:C419,C419)=1,1,0),"")</f>
        <v/>
      </c>
    </row>
    <row r="420">
      <c r="A420" s="2" t="n"/>
      <c r="B420" s="2" t="n"/>
      <c r="C420" s="2" t="n"/>
      <c r="D420" s="3">
        <f>IF(B420="","",COUNTIF($B$2:$B$500,B420))</f>
        <v/>
      </c>
      <c r="E420" s="3">
        <f>IF(B420="","",IF(COUNTIF($B$2:B420,B420)=1,1,0))</f>
        <v/>
      </c>
      <c r="F420" s="4">
        <f>IF(E420=1,D420-ROW()/100000,"")</f>
        <v/>
      </c>
      <c r="G420" s="3">
        <f>IF(ISNUMBER(C420),COUNTIF($C$2:$C$500,C420),"")</f>
        <v/>
      </c>
      <c r="H420" s="3">
        <f>IF(ISNUMBER(C420),IF(COUNTIF($C$2:C420,C420)=1,1,0),"")</f>
        <v/>
      </c>
    </row>
    <row r="421">
      <c r="A421" s="2" t="n"/>
      <c r="B421" s="2" t="n"/>
      <c r="C421" s="2" t="n"/>
      <c r="D421" s="3">
        <f>IF(B421="","",COUNTIF($B$2:$B$500,B421))</f>
        <v/>
      </c>
      <c r="E421" s="3">
        <f>IF(B421="","",IF(COUNTIF($B$2:B421,B421)=1,1,0))</f>
        <v/>
      </c>
      <c r="F421" s="4">
        <f>IF(E421=1,D421-ROW()/100000,"")</f>
        <v/>
      </c>
      <c r="G421" s="3">
        <f>IF(ISNUMBER(C421),COUNTIF($C$2:$C$500,C421),"")</f>
        <v/>
      </c>
      <c r="H421" s="3">
        <f>IF(ISNUMBER(C421),IF(COUNTIF($C$2:C421,C421)=1,1,0),"")</f>
        <v/>
      </c>
    </row>
    <row r="422">
      <c r="A422" s="2" t="n"/>
      <c r="B422" s="2" t="n"/>
      <c r="C422" s="2" t="n"/>
      <c r="D422" s="3">
        <f>IF(B422="","",COUNTIF($B$2:$B$500,B422))</f>
        <v/>
      </c>
      <c r="E422" s="3">
        <f>IF(B422="","",IF(COUNTIF($B$2:B422,B422)=1,1,0))</f>
        <v/>
      </c>
      <c r="F422" s="4">
        <f>IF(E422=1,D422-ROW()/100000,"")</f>
        <v/>
      </c>
      <c r="G422" s="3">
        <f>IF(ISNUMBER(C422),COUNTIF($C$2:$C$500,C422),"")</f>
        <v/>
      </c>
      <c r="H422" s="3">
        <f>IF(ISNUMBER(C422),IF(COUNTIF($C$2:C422,C422)=1,1,0),"")</f>
        <v/>
      </c>
    </row>
    <row r="423">
      <c r="A423" s="2" t="n"/>
      <c r="B423" s="2" t="n"/>
      <c r="C423" s="2" t="n"/>
      <c r="D423" s="3">
        <f>IF(B423="","",COUNTIF($B$2:$B$500,B423))</f>
        <v/>
      </c>
      <c r="E423" s="3">
        <f>IF(B423="","",IF(COUNTIF($B$2:B423,B423)=1,1,0))</f>
        <v/>
      </c>
      <c r="F423" s="4">
        <f>IF(E423=1,D423-ROW()/100000,"")</f>
        <v/>
      </c>
      <c r="G423" s="3">
        <f>IF(ISNUMBER(C423),COUNTIF($C$2:$C$500,C423),"")</f>
        <v/>
      </c>
      <c r="H423" s="3">
        <f>IF(ISNUMBER(C423),IF(COUNTIF($C$2:C423,C423)=1,1,0),"")</f>
        <v/>
      </c>
    </row>
    <row r="424">
      <c r="A424" s="2" t="n"/>
      <c r="B424" s="2" t="n"/>
      <c r="C424" s="2" t="n"/>
      <c r="D424" s="3">
        <f>IF(B424="","",COUNTIF($B$2:$B$500,B424))</f>
        <v/>
      </c>
      <c r="E424" s="3">
        <f>IF(B424="","",IF(COUNTIF($B$2:B424,B424)=1,1,0))</f>
        <v/>
      </c>
      <c r="F424" s="4">
        <f>IF(E424=1,D424-ROW()/100000,"")</f>
        <v/>
      </c>
      <c r="G424" s="3">
        <f>IF(ISNUMBER(C424),COUNTIF($C$2:$C$500,C424),"")</f>
        <v/>
      </c>
      <c r="H424" s="3">
        <f>IF(ISNUMBER(C424),IF(COUNTIF($C$2:C424,C424)=1,1,0),"")</f>
        <v/>
      </c>
    </row>
    <row r="425">
      <c r="A425" s="2" t="n"/>
      <c r="B425" s="2" t="n"/>
      <c r="C425" s="2" t="n"/>
      <c r="D425" s="3">
        <f>IF(B425="","",COUNTIF($B$2:$B$500,B425))</f>
        <v/>
      </c>
      <c r="E425" s="3">
        <f>IF(B425="","",IF(COUNTIF($B$2:B425,B425)=1,1,0))</f>
        <v/>
      </c>
      <c r="F425" s="4">
        <f>IF(E425=1,D425-ROW()/100000,"")</f>
        <v/>
      </c>
      <c r="G425" s="3">
        <f>IF(ISNUMBER(C425),COUNTIF($C$2:$C$500,C425),"")</f>
        <v/>
      </c>
      <c r="H425" s="3">
        <f>IF(ISNUMBER(C425),IF(COUNTIF($C$2:C425,C425)=1,1,0),"")</f>
        <v/>
      </c>
    </row>
    <row r="426">
      <c r="A426" s="2" t="n"/>
      <c r="B426" s="2" t="n"/>
      <c r="C426" s="2" t="n"/>
      <c r="D426" s="3">
        <f>IF(B426="","",COUNTIF($B$2:$B$500,B426))</f>
        <v/>
      </c>
      <c r="E426" s="3">
        <f>IF(B426="","",IF(COUNTIF($B$2:B426,B426)=1,1,0))</f>
        <v/>
      </c>
      <c r="F426" s="4">
        <f>IF(E426=1,D426-ROW()/100000,"")</f>
        <v/>
      </c>
      <c r="G426" s="3">
        <f>IF(ISNUMBER(C426),COUNTIF($C$2:$C$500,C426),"")</f>
        <v/>
      </c>
      <c r="H426" s="3">
        <f>IF(ISNUMBER(C426),IF(COUNTIF($C$2:C426,C426)=1,1,0),"")</f>
        <v/>
      </c>
    </row>
    <row r="427">
      <c r="A427" s="2" t="n"/>
      <c r="B427" s="2" t="n"/>
      <c r="C427" s="2" t="n"/>
      <c r="D427" s="3">
        <f>IF(B427="","",COUNTIF($B$2:$B$500,B427))</f>
        <v/>
      </c>
      <c r="E427" s="3">
        <f>IF(B427="","",IF(COUNTIF($B$2:B427,B427)=1,1,0))</f>
        <v/>
      </c>
      <c r="F427" s="4">
        <f>IF(E427=1,D427-ROW()/100000,"")</f>
        <v/>
      </c>
      <c r="G427" s="3">
        <f>IF(ISNUMBER(C427),COUNTIF($C$2:$C$500,C427),"")</f>
        <v/>
      </c>
      <c r="H427" s="3">
        <f>IF(ISNUMBER(C427),IF(COUNTIF($C$2:C427,C427)=1,1,0),"")</f>
        <v/>
      </c>
    </row>
    <row r="428">
      <c r="A428" s="2" t="n"/>
      <c r="B428" s="2" t="n"/>
      <c r="C428" s="2" t="n"/>
      <c r="D428" s="3">
        <f>IF(B428="","",COUNTIF($B$2:$B$500,B428))</f>
        <v/>
      </c>
      <c r="E428" s="3">
        <f>IF(B428="","",IF(COUNTIF($B$2:B428,B428)=1,1,0))</f>
        <v/>
      </c>
      <c r="F428" s="4">
        <f>IF(E428=1,D428-ROW()/100000,"")</f>
        <v/>
      </c>
      <c r="G428" s="3">
        <f>IF(ISNUMBER(C428),COUNTIF($C$2:$C$500,C428),"")</f>
        <v/>
      </c>
      <c r="H428" s="3">
        <f>IF(ISNUMBER(C428),IF(COUNTIF($C$2:C428,C428)=1,1,0),"")</f>
        <v/>
      </c>
    </row>
    <row r="429">
      <c r="A429" s="2" t="n"/>
      <c r="B429" s="2" t="n"/>
      <c r="C429" s="2" t="n"/>
      <c r="D429" s="3">
        <f>IF(B429="","",COUNTIF($B$2:$B$500,B429))</f>
        <v/>
      </c>
      <c r="E429" s="3">
        <f>IF(B429="","",IF(COUNTIF($B$2:B429,B429)=1,1,0))</f>
        <v/>
      </c>
      <c r="F429" s="4">
        <f>IF(E429=1,D429-ROW()/100000,"")</f>
        <v/>
      </c>
      <c r="G429" s="3">
        <f>IF(ISNUMBER(C429),COUNTIF($C$2:$C$500,C429),"")</f>
        <v/>
      </c>
      <c r="H429" s="3">
        <f>IF(ISNUMBER(C429),IF(COUNTIF($C$2:C429,C429)=1,1,0),"")</f>
        <v/>
      </c>
    </row>
    <row r="430">
      <c r="A430" s="2" t="n"/>
      <c r="B430" s="2" t="n"/>
      <c r="C430" s="2" t="n"/>
      <c r="D430" s="3">
        <f>IF(B430="","",COUNTIF($B$2:$B$500,B430))</f>
        <v/>
      </c>
      <c r="E430" s="3">
        <f>IF(B430="","",IF(COUNTIF($B$2:B430,B430)=1,1,0))</f>
        <v/>
      </c>
      <c r="F430" s="4">
        <f>IF(E430=1,D430-ROW()/100000,"")</f>
        <v/>
      </c>
      <c r="G430" s="3">
        <f>IF(ISNUMBER(C430),COUNTIF($C$2:$C$500,C430),"")</f>
        <v/>
      </c>
      <c r="H430" s="3">
        <f>IF(ISNUMBER(C430),IF(COUNTIF($C$2:C430,C430)=1,1,0),"")</f>
        <v/>
      </c>
    </row>
    <row r="431">
      <c r="A431" s="2" t="n"/>
      <c r="B431" s="2" t="n"/>
      <c r="C431" s="2" t="n"/>
      <c r="D431" s="3">
        <f>IF(B431="","",COUNTIF($B$2:$B$500,B431))</f>
        <v/>
      </c>
      <c r="E431" s="3">
        <f>IF(B431="","",IF(COUNTIF($B$2:B431,B431)=1,1,0))</f>
        <v/>
      </c>
      <c r="F431" s="4">
        <f>IF(E431=1,D431-ROW()/100000,"")</f>
        <v/>
      </c>
      <c r="G431" s="3">
        <f>IF(ISNUMBER(C431),COUNTIF($C$2:$C$500,C431),"")</f>
        <v/>
      </c>
      <c r="H431" s="3">
        <f>IF(ISNUMBER(C431),IF(COUNTIF($C$2:C431,C431)=1,1,0),"")</f>
        <v/>
      </c>
    </row>
    <row r="432">
      <c r="A432" s="2" t="n"/>
      <c r="B432" s="2" t="n"/>
      <c r="C432" s="2" t="n"/>
      <c r="D432" s="3">
        <f>IF(B432="","",COUNTIF($B$2:$B$500,B432))</f>
        <v/>
      </c>
      <c r="E432" s="3">
        <f>IF(B432="","",IF(COUNTIF($B$2:B432,B432)=1,1,0))</f>
        <v/>
      </c>
      <c r="F432" s="4">
        <f>IF(E432=1,D432-ROW()/100000,"")</f>
        <v/>
      </c>
      <c r="G432" s="3">
        <f>IF(ISNUMBER(C432),COUNTIF($C$2:$C$500,C432),"")</f>
        <v/>
      </c>
      <c r="H432" s="3">
        <f>IF(ISNUMBER(C432),IF(COUNTIF($C$2:C432,C432)=1,1,0),"")</f>
        <v/>
      </c>
    </row>
    <row r="433">
      <c r="A433" s="2" t="n"/>
      <c r="B433" s="2" t="n"/>
      <c r="C433" s="2" t="n"/>
      <c r="D433" s="3">
        <f>IF(B433="","",COUNTIF($B$2:$B$500,B433))</f>
        <v/>
      </c>
      <c r="E433" s="3">
        <f>IF(B433="","",IF(COUNTIF($B$2:B433,B433)=1,1,0))</f>
        <v/>
      </c>
      <c r="F433" s="4">
        <f>IF(E433=1,D433-ROW()/100000,"")</f>
        <v/>
      </c>
      <c r="G433" s="3">
        <f>IF(ISNUMBER(C433),COUNTIF($C$2:$C$500,C433),"")</f>
        <v/>
      </c>
      <c r="H433" s="3">
        <f>IF(ISNUMBER(C433),IF(COUNTIF($C$2:C433,C433)=1,1,0),"")</f>
        <v/>
      </c>
    </row>
    <row r="434">
      <c r="A434" s="2" t="n"/>
      <c r="B434" s="2" t="n"/>
      <c r="C434" s="2" t="n"/>
      <c r="D434" s="3">
        <f>IF(B434="","",COUNTIF($B$2:$B$500,B434))</f>
        <v/>
      </c>
      <c r="E434" s="3">
        <f>IF(B434="","",IF(COUNTIF($B$2:B434,B434)=1,1,0))</f>
        <v/>
      </c>
      <c r="F434" s="4">
        <f>IF(E434=1,D434-ROW()/100000,"")</f>
        <v/>
      </c>
      <c r="G434" s="3">
        <f>IF(ISNUMBER(C434),COUNTIF($C$2:$C$500,C434),"")</f>
        <v/>
      </c>
      <c r="H434" s="3">
        <f>IF(ISNUMBER(C434),IF(COUNTIF($C$2:C434,C434)=1,1,0),"")</f>
        <v/>
      </c>
    </row>
    <row r="435">
      <c r="A435" s="2" t="n"/>
      <c r="B435" s="2" t="n"/>
      <c r="C435" s="2" t="n"/>
      <c r="D435" s="3">
        <f>IF(B435="","",COUNTIF($B$2:$B$500,B435))</f>
        <v/>
      </c>
      <c r="E435" s="3">
        <f>IF(B435="","",IF(COUNTIF($B$2:B435,B435)=1,1,0))</f>
        <v/>
      </c>
      <c r="F435" s="4">
        <f>IF(E435=1,D435-ROW()/100000,"")</f>
        <v/>
      </c>
      <c r="G435" s="3">
        <f>IF(ISNUMBER(C435),COUNTIF($C$2:$C$500,C435),"")</f>
        <v/>
      </c>
      <c r="H435" s="3">
        <f>IF(ISNUMBER(C435),IF(COUNTIF($C$2:C435,C435)=1,1,0),"")</f>
        <v/>
      </c>
    </row>
    <row r="436">
      <c r="A436" s="2" t="n"/>
      <c r="B436" s="2" t="n"/>
      <c r="C436" s="2" t="n"/>
      <c r="D436" s="3">
        <f>IF(B436="","",COUNTIF($B$2:$B$500,B436))</f>
        <v/>
      </c>
      <c r="E436" s="3">
        <f>IF(B436="","",IF(COUNTIF($B$2:B436,B436)=1,1,0))</f>
        <v/>
      </c>
      <c r="F436" s="4">
        <f>IF(E436=1,D436-ROW()/100000,"")</f>
        <v/>
      </c>
      <c r="G436" s="3">
        <f>IF(ISNUMBER(C436),COUNTIF($C$2:$C$500,C436),"")</f>
        <v/>
      </c>
      <c r="H436" s="3">
        <f>IF(ISNUMBER(C436),IF(COUNTIF($C$2:C436,C436)=1,1,0),"")</f>
        <v/>
      </c>
    </row>
    <row r="437">
      <c r="A437" s="2" t="n"/>
      <c r="B437" s="2" t="n"/>
      <c r="C437" s="2" t="n"/>
      <c r="D437" s="3">
        <f>IF(B437="","",COUNTIF($B$2:$B$500,B437))</f>
        <v/>
      </c>
      <c r="E437" s="3">
        <f>IF(B437="","",IF(COUNTIF($B$2:B437,B437)=1,1,0))</f>
        <v/>
      </c>
      <c r="F437" s="4">
        <f>IF(E437=1,D437-ROW()/100000,"")</f>
        <v/>
      </c>
      <c r="G437" s="3">
        <f>IF(ISNUMBER(C437),COUNTIF($C$2:$C$500,C437),"")</f>
        <v/>
      </c>
      <c r="H437" s="3">
        <f>IF(ISNUMBER(C437),IF(COUNTIF($C$2:C437,C437)=1,1,0),"")</f>
        <v/>
      </c>
    </row>
    <row r="438">
      <c r="A438" s="2" t="n"/>
      <c r="B438" s="2" t="n"/>
      <c r="C438" s="2" t="n"/>
      <c r="D438" s="3">
        <f>IF(B438="","",COUNTIF($B$2:$B$500,B438))</f>
        <v/>
      </c>
      <c r="E438" s="3">
        <f>IF(B438="","",IF(COUNTIF($B$2:B438,B438)=1,1,0))</f>
        <v/>
      </c>
      <c r="F438" s="4">
        <f>IF(E438=1,D438-ROW()/100000,"")</f>
        <v/>
      </c>
      <c r="G438" s="3">
        <f>IF(ISNUMBER(C438),COUNTIF($C$2:$C$500,C438),"")</f>
        <v/>
      </c>
      <c r="H438" s="3">
        <f>IF(ISNUMBER(C438),IF(COUNTIF($C$2:C438,C438)=1,1,0),"")</f>
        <v/>
      </c>
    </row>
    <row r="439">
      <c r="A439" s="2" t="n"/>
      <c r="B439" s="2" t="n"/>
      <c r="C439" s="2" t="n"/>
      <c r="D439" s="3">
        <f>IF(B439="","",COUNTIF($B$2:$B$500,B439))</f>
        <v/>
      </c>
      <c r="E439" s="3">
        <f>IF(B439="","",IF(COUNTIF($B$2:B439,B439)=1,1,0))</f>
        <v/>
      </c>
      <c r="F439" s="4">
        <f>IF(E439=1,D439-ROW()/100000,"")</f>
        <v/>
      </c>
      <c r="G439" s="3">
        <f>IF(ISNUMBER(C439),COUNTIF($C$2:$C$500,C439),"")</f>
        <v/>
      </c>
      <c r="H439" s="3">
        <f>IF(ISNUMBER(C439),IF(COUNTIF($C$2:C439,C439)=1,1,0),"")</f>
        <v/>
      </c>
    </row>
    <row r="440">
      <c r="A440" s="2" t="n"/>
      <c r="B440" s="2" t="n"/>
      <c r="C440" s="2" t="n"/>
      <c r="D440" s="3">
        <f>IF(B440="","",COUNTIF($B$2:$B$500,B440))</f>
        <v/>
      </c>
      <c r="E440" s="3">
        <f>IF(B440="","",IF(COUNTIF($B$2:B440,B440)=1,1,0))</f>
        <v/>
      </c>
      <c r="F440" s="4">
        <f>IF(E440=1,D440-ROW()/100000,"")</f>
        <v/>
      </c>
      <c r="G440" s="3">
        <f>IF(ISNUMBER(C440),COUNTIF($C$2:$C$500,C440),"")</f>
        <v/>
      </c>
      <c r="H440" s="3">
        <f>IF(ISNUMBER(C440),IF(COUNTIF($C$2:C440,C440)=1,1,0),"")</f>
        <v/>
      </c>
    </row>
    <row r="441">
      <c r="A441" s="2" t="n"/>
      <c r="B441" s="2" t="n"/>
      <c r="C441" s="2" t="n"/>
      <c r="D441" s="3">
        <f>IF(B441="","",COUNTIF($B$2:$B$500,B441))</f>
        <v/>
      </c>
      <c r="E441" s="3">
        <f>IF(B441="","",IF(COUNTIF($B$2:B441,B441)=1,1,0))</f>
        <v/>
      </c>
      <c r="F441" s="4">
        <f>IF(E441=1,D441-ROW()/100000,"")</f>
        <v/>
      </c>
      <c r="G441" s="3">
        <f>IF(ISNUMBER(C441),COUNTIF($C$2:$C$500,C441),"")</f>
        <v/>
      </c>
      <c r="H441" s="3">
        <f>IF(ISNUMBER(C441),IF(COUNTIF($C$2:C441,C441)=1,1,0),"")</f>
        <v/>
      </c>
    </row>
    <row r="442">
      <c r="A442" s="2" t="n"/>
      <c r="B442" s="2" t="n"/>
      <c r="C442" s="2" t="n"/>
      <c r="D442" s="3">
        <f>IF(B442="","",COUNTIF($B$2:$B$500,B442))</f>
        <v/>
      </c>
      <c r="E442" s="3">
        <f>IF(B442="","",IF(COUNTIF($B$2:B442,B442)=1,1,0))</f>
        <v/>
      </c>
      <c r="F442" s="4">
        <f>IF(E442=1,D442-ROW()/100000,"")</f>
        <v/>
      </c>
      <c r="G442" s="3">
        <f>IF(ISNUMBER(C442),COUNTIF($C$2:$C$500,C442),"")</f>
        <v/>
      </c>
      <c r="H442" s="3">
        <f>IF(ISNUMBER(C442),IF(COUNTIF($C$2:C442,C442)=1,1,0),"")</f>
        <v/>
      </c>
    </row>
    <row r="443">
      <c r="A443" s="2" t="n"/>
      <c r="B443" s="2" t="n"/>
      <c r="C443" s="2" t="n"/>
      <c r="D443" s="3">
        <f>IF(B443="","",COUNTIF($B$2:$B$500,B443))</f>
        <v/>
      </c>
      <c r="E443" s="3">
        <f>IF(B443="","",IF(COUNTIF($B$2:B443,B443)=1,1,0))</f>
        <v/>
      </c>
      <c r="F443" s="4">
        <f>IF(E443=1,D443-ROW()/100000,"")</f>
        <v/>
      </c>
      <c r="G443" s="3">
        <f>IF(ISNUMBER(C443),COUNTIF($C$2:$C$500,C443),"")</f>
        <v/>
      </c>
      <c r="H443" s="3">
        <f>IF(ISNUMBER(C443),IF(COUNTIF($C$2:C443,C443)=1,1,0),"")</f>
        <v/>
      </c>
    </row>
    <row r="444">
      <c r="A444" s="2" t="n"/>
      <c r="B444" s="2" t="n"/>
      <c r="C444" s="2" t="n"/>
      <c r="D444" s="3">
        <f>IF(B444="","",COUNTIF($B$2:$B$500,B444))</f>
        <v/>
      </c>
      <c r="E444" s="3">
        <f>IF(B444="","",IF(COUNTIF($B$2:B444,B444)=1,1,0))</f>
        <v/>
      </c>
      <c r="F444" s="4">
        <f>IF(E444=1,D444-ROW()/100000,"")</f>
        <v/>
      </c>
      <c r="G444" s="3">
        <f>IF(ISNUMBER(C444),COUNTIF($C$2:$C$500,C444),"")</f>
        <v/>
      </c>
      <c r="H444" s="3">
        <f>IF(ISNUMBER(C444),IF(COUNTIF($C$2:C444,C444)=1,1,0),"")</f>
        <v/>
      </c>
    </row>
    <row r="445">
      <c r="A445" s="2" t="n"/>
      <c r="B445" s="2" t="n"/>
      <c r="C445" s="2" t="n"/>
      <c r="D445" s="3">
        <f>IF(B445="","",COUNTIF($B$2:$B$500,B445))</f>
        <v/>
      </c>
      <c r="E445" s="3">
        <f>IF(B445="","",IF(COUNTIF($B$2:B445,B445)=1,1,0))</f>
        <v/>
      </c>
      <c r="F445" s="4">
        <f>IF(E445=1,D445-ROW()/100000,"")</f>
        <v/>
      </c>
      <c r="G445" s="3">
        <f>IF(ISNUMBER(C445),COUNTIF($C$2:$C$500,C445),"")</f>
        <v/>
      </c>
      <c r="H445" s="3">
        <f>IF(ISNUMBER(C445),IF(COUNTIF($C$2:C445,C445)=1,1,0),"")</f>
        <v/>
      </c>
    </row>
    <row r="446">
      <c r="A446" s="2" t="n"/>
      <c r="B446" s="2" t="n"/>
      <c r="C446" s="2" t="n"/>
      <c r="D446" s="3">
        <f>IF(B446="","",COUNTIF($B$2:$B$500,B446))</f>
        <v/>
      </c>
      <c r="E446" s="3">
        <f>IF(B446="","",IF(COUNTIF($B$2:B446,B446)=1,1,0))</f>
        <v/>
      </c>
      <c r="F446" s="4">
        <f>IF(E446=1,D446-ROW()/100000,"")</f>
        <v/>
      </c>
      <c r="G446" s="3">
        <f>IF(ISNUMBER(C446),COUNTIF($C$2:$C$500,C446),"")</f>
        <v/>
      </c>
      <c r="H446" s="3">
        <f>IF(ISNUMBER(C446),IF(COUNTIF($C$2:C446,C446)=1,1,0),"")</f>
        <v/>
      </c>
    </row>
    <row r="447">
      <c r="A447" s="2" t="n"/>
      <c r="B447" s="2" t="n"/>
      <c r="C447" s="2" t="n"/>
      <c r="D447" s="3">
        <f>IF(B447="","",COUNTIF($B$2:$B$500,B447))</f>
        <v/>
      </c>
      <c r="E447" s="3">
        <f>IF(B447="","",IF(COUNTIF($B$2:B447,B447)=1,1,0))</f>
        <v/>
      </c>
      <c r="F447" s="4">
        <f>IF(E447=1,D447-ROW()/100000,"")</f>
        <v/>
      </c>
      <c r="G447" s="3">
        <f>IF(ISNUMBER(C447),COUNTIF($C$2:$C$500,C447),"")</f>
        <v/>
      </c>
      <c r="H447" s="3">
        <f>IF(ISNUMBER(C447),IF(COUNTIF($C$2:C447,C447)=1,1,0),"")</f>
        <v/>
      </c>
    </row>
    <row r="448">
      <c r="A448" s="2" t="n"/>
      <c r="B448" s="2" t="n"/>
      <c r="C448" s="2" t="n"/>
      <c r="D448" s="3">
        <f>IF(B448="","",COUNTIF($B$2:$B$500,B448))</f>
        <v/>
      </c>
      <c r="E448" s="3">
        <f>IF(B448="","",IF(COUNTIF($B$2:B448,B448)=1,1,0))</f>
        <v/>
      </c>
      <c r="F448" s="4">
        <f>IF(E448=1,D448-ROW()/100000,"")</f>
        <v/>
      </c>
      <c r="G448" s="3">
        <f>IF(ISNUMBER(C448),COUNTIF($C$2:$C$500,C448),"")</f>
        <v/>
      </c>
      <c r="H448" s="3">
        <f>IF(ISNUMBER(C448),IF(COUNTIF($C$2:C448,C448)=1,1,0),"")</f>
        <v/>
      </c>
    </row>
    <row r="449">
      <c r="A449" s="2" t="n"/>
      <c r="B449" s="2" t="n"/>
      <c r="C449" s="2" t="n"/>
      <c r="D449" s="3">
        <f>IF(B449="","",COUNTIF($B$2:$B$500,B449))</f>
        <v/>
      </c>
      <c r="E449" s="3">
        <f>IF(B449="","",IF(COUNTIF($B$2:B449,B449)=1,1,0))</f>
        <v/>
      </c>
      <c r="F449" s="4">
        <f>IF(E449=1,D449-ROW()/100000,"")</f>
        <v/>
      </c>
      <c r="G449" s="3">
        <f>IF(ISNUMBER(C449),COUNTIF($C$2:$C$500,C449),"")</f>
        <v/>
      </c>
      <c r="H449" s="3">
        <f>IF(ISNUMBER(C449),IF(COUNTIF($C$2:C449,C449)=1,1,0),"")</f>
        <v/>
      </c>
    </row>
    <row r="450">
      <c r="A450" s="2" t="n"/>
      <c r="B450" s="2" t="n"/>
      <c r="C450" s="2" t="n"/>
      <c r="D450" s="3">
        <f>IF(B450="","",COUNTIF($B$2:$B$500,B450))</f>
        <v/>
      </c>
      <c r="E450" s="3">
        <f>IF(B450="","",IF(COUNTIF($B$2:B450,B450)=1,1,0))</f>
        <v/>
      </c>
      <c r="F450" s="4">
        <f>IF(E450=1,D450-ROW()/100000,"")</f>
        <v/>
      </c>
      <c r="G450" s="3">
        <f>IF(ISNUMBER(C450),COUNTIF($C$2:$C$500,C450),"")</f>
        <v/>
      </c>
      <c r="H450" s="3">
        <f>IF(ISNUMBER(C450),IF(COUNTIF($C$2:C450,C450)=1,1,0),"")</f>
        <v/>
      </c>
    </row>
    <row r="451">
      <c r="A451" s="2" t="n"/>
      <c r="B451" s="2" t="n"/>
      <c r="C451" s="2" t="n"/>
      <c r="D451" s="3">
        <f>IF(B451="","",COUNTIF($B$2:$B$500,B451))</f>
        <v/>
      </c>
      <c r="E451" s="3">
        <f>IF(B451="","",IF(COUNTIF($B$2:B451,B451)=1,1,0))</f>
        <v/>
      </c>
      <c r="F451" s="4">
        <f>IF(E451=1,D451-ROW()/100000,"")</f>
        <v/>
      </c>
      <c r="G451" s="3">
        <f>IF(ISNUMBER(C451),COUNTIF($C$2:$C$500,C451),"")</f>
        <v/>
      </c>
      <c r="H451" s="3">
        <f>IF(ISNUMBER(C451),IF(COUNTIF($C$2:C451,C451)=1,1,0),"")</f>
        <v/>
      </c>
    </row>
    <row r="452">
      <c r="A452" s="2" t="n"/>
      <c r="B452" s="2" t="n"/>
      <c r="C452" s="2" t="n"/>
      <c r="D452" s="3">
        <f>IF(B452="","",COUNTIF($B$2:$B$500,B452))</f>
        <v/>
      </c>
      <c r="E452" s="3">
        <f>IF(B452="","",IF(COUNTIF($B$2:B452,B452)=1,1,0))</f>
        <v/>
      </c>
      <c r="F452" s="4">
        <f>IF(E452=1,D452-ROW()/100000,"")</f>
        <v/>
      </c>
      <c r="G452" s="3">
        <f>IF(ISNUMBER(C452),COUNTIF($C$2:$C$500,C452),"")</f>
        <v/>
      </c>
      <c r="H452" s="3">
        <f>IF(ISNUMBER(C452),IF(COUNTIF($C$2:C452,C452)=1,1,0),"")</f>
        <v/>
      </c>
    </row>
    <row r="453">
      <c r="A453" s="2" t="n"/>
      <c r="B453" s="2" t="n"/>
      <c r="C453" s="2" t="n"/>
      <c r="D453" s="3">
        <f>IF(B453="","",COUNTIF($B$2:$B$500,B453))</f>
        <v/>
      </c>
      <c r="E453" s="3">
        <f>IF(B453="","",IF(COUNTIF($B$2:B453,B453)=1,1,0))</f>
        <v/>
      </c>
      <c r="F453" s="4">
        <f>IF(E453=1,D453-ROW()/100000,"")</f>
        <v/>
      </c>
      <c r="G453" s="3">
        <f>IF(ISNUMBER(C453),COUNTIF($C$2:$C$500,C453),"")</f>
        <v/>
      </c>
      <c r="H453" s="3">
        <f>IF(ISNUMBER(C453),IF(COUNTIF($C$2:C453,C453)=1,1,0),"")</f>
        <v/>
      </c>
    </row>
    <row r="454">
      <c r="A454" s="2" t="n"/>
      <c r="B454" s="2" t="n"/>
      <c r="C454" s="2" t="n"/>
      <c r="D454" s="3">
        <f>IF(B454="","",COUNTIF($B$2:$B$500,B454))</f>
        <v/>
      </c>
      <c r="E454" s="3">
        <f>IF(B454="","",IF(COUNTIF($B$2:B454,B454)=1,1,0))</f>
        <v/>
      </c>
      <c r="F454" s="4">
        <f>IF(E454=1,D454-ROW()/100000,"")</f>
        <v/>
      </c>
      <c r="G454" s="3">
        <f>IF(ISNUMBER(C454),COUNTIF($C$2:$C$500,C454),"")</f>
        <v/>
      </c>
      <c r="H454" s="3">
        <f>IF(ISNUMBER(C454),IF(COUNTIF($C$2:C454,C454)=1,1,0),"")</f>
        <v/>
      </c>
    </row>
    <row r="455">
      <c r="A455" s="2" t="n"/>
      <c r="B455" s="2" t="n"/>
      <c r="C455" s="2" t="n"/>
      <c r="D455" s="3">
        <f>IF(B455="","",COUNTIF($B$2:$B$500,B455))</f>
        <v/>
      </c>
      <c r="E455" s="3">
        <f>IF(B455="","",IF(COUNTIF($B$2:B455,B455)=1,1,0))</f>
        <v/>
      </c>
      <c r="F455" s="4">
        <f>IF(E455=1,D455-ROW()/100000,"")</f>
        <v/>
      </c>
      <c r="G455" s="3">
        <f>IF(ISNUMBER(C455),COUNTIF($C$2:$C$500,C455),"")</f>
        <v/>
      </c>
      <c r="H455" s="3">
        <f>IF(ISNUMBER(C455),IF(COUNTIF($C$2:C455,C455)=1,1,0),"")</f>
        <v/>
      </c>
    </row>
    <row r="456">
      <c r="A456" s="2" t="n"/>
      <c r="B456" s="2" t="n"/>
      <c r="C456" s="2" t="n"/>
      <c r="D456" s="3">
        <f>IF(B456="","",COUNTIF($B$2:$B$500,B456))</f>
        <v/>
      </c>
      <c r="E456" s="3">
        <f>IF(B456="","",IF(COUNTIF($B$2:B456,B456)=1,1,0))</f>
        <v/>
      </c>
      <c r="F456" s="4">
        <f>IF(E456=1,D456-ROW()/100000,"")</f>
        <v/>
      </c>
      <c r="G456" s="3">
        <f>IF(ISNUMBER(C456),COUNTIF($C$2:$C$500,C456),"")</f>
        <v/>
      </c>
      <c r="H456" s="3">
        <f>IF(ISNUMBER(C456),IF(COUNTIF($C$2:C456,C456)=1,1,0),"")</f>
        <v/>
      </c>
    </row>
    <row r="457">
      <c r="A457" s="2" t="n"/>
      <c r="B457" s="2" t="n"/>
      <c r="C457" s="2" t="n"/>
      <c r="D457" s="3">
        <f>IF(B457="","",COUNTIF($B$2:$B$500,B457))</f>
        <v/>
      </c>
      <c r="E457" s="3">
        <f>IF(B457="","",IF(COUNTIF($B$2:B457,B457)=1,1,0))</f>
        <v/>
      </c>
      <c r="F457" s="4">
        <f>IF(E457=1,D457-ROW()/100000,"")</f>
        <v/>
      </c>
      <c r="G457" s="3">
        <f>IF(ISNUMBER(C457),COUNTIF($C$2:$C$500,C457),"")</f>
        <v/>
      </c>
      <c r="H457" s="3">
        <f>IF(ISNUMBER(C457),IF(COUNTIF($C$2:C457,C457)=1,1,0),"")</f>
        <v/>
      </c>
    </row>
    <row r="458">
      <c r="A458" s="2" t="n"/>
      <c r="B458" s="2" t="n"/>
      <c r="C458" s="2" t="n"/>
      <c r="D458" s="3">
        <f>IF(B458="","",COUNTIF($B$2:$B$500,B458))</f>
        <v/>
      </c>
      <c r="E458" s="3">
        <f>IF(B458="","",IF(COUNTIF($B$2:B458,B458)=1,1,0))</f>
        <v/>
      </c>
      <c r="F458" s="4">
        <f>IF(E458=1,D458-ROW()/100000,"")</f>
        <v/>
      </c>
      <c r="G458" s="3">
        <f>IF(ISNUMBER(C458),COUNTIF($C$2:$C$500,C458),"")</f>
        <v/>
      </c>
      <c r="H458" s="3">
        <f>IF(ISNUMBER(C458),IF(COUNTIF($C$2:C458,C458)=1,1,0),"")</f>
        <v/>
      </c>
    </row>
    <row r="459">
      <c r="A459" s="2" t="n"/>
      <c r="B459" s="2" t="n"/>
      <c r="C459" s="2" t="n"/>
      <c r="D459" s="3">
        <f>IF(B459="","",COUNTIF($B$2:$B$500,B459))</f>
        <v/>
      </c>
      <c r="E459" s="3">
        <f>IF(B459="","",IF(COUNTIF($B$2:B459,B459)=1,1,0))</f>
        <v/>
      </c>
      <c r="F459" s="4">
        <f>IF(E459=1,D459-ROW()/100000,"")</f>
        <v/>
      </c>
      <c r="G459" s="3">
        <f>IF(ISNUMBER(C459),COUNTIF($C$2:$C$500,C459),"")</f>
        <v/>
      </c>
      <c r="H459" s="3">
        <f>IF(ISNUMBER(C459),IF(COUNTIF($C$2:C459,C459)=1,1,0),"")</f>
        <v/>
      </c>
    </row>
    <row r="460">
      <c r="A460" s="2" t="n"/>
      <c r="B460" s="2" t="n"/>
      <c r="C460" s="2" t="n"/>
      <c r="D460" s="3">
        <f>IF(B460="","",COUNTIF($B$2:$B$500,B460))</f>
        <v/>
      </c>
      <c r="E460" s="3">
        <f>IF(B460="","",IF(COUNTIF($B$2:B460,B460)=1,1,0))</f>
        <v/>
      </c>
      <c r="F460" s="4">
        <f>IF(E460=1,D460-ROW()/100000,"")</f>
        <v/>
      </c>
      <c r="G460" s="3">
        <f>IF(ISNUMBER(C460),COUNTIF($C$2:$C$500,C460),"")</f>
        <v/>
      </c>
      <c r="H460" s="3">
        <f>IF(ISNUMBER(C460),IF(COUNTIF($C$2:C460,C460)=1,1,0),"")</f>
        <v/>
      </c>
    </row>
    <row r="461">
      <c r="A461" s="2" t="n"/>
      <c r="B461" s="2" t="n"/>
      <c r="C461" s="2" t="n"/>
      <c r="D461" s="3">
        <f>IF(B461="","",COUNTIF($B$2:$B$500,B461))</f>
        <v/>
      </c>
      <c r="E461" s="3">
        <f>IF(B461="","",IF(COUNTIF($B$2:B461,B461)=1,1,0))</f>
        <v/>
      </c>
      <c r="F461" s="4">
        <f>IF(E461=1,D461-ROW()/100000,"")</f>
        <v/>
      </c>
      <c r="G461" s="3">
        <f>IF(ISNUMBER(C461),COUNTIF($C$2:$C$500,C461),"")</f>
        <v/>
      </c>
      <c r="H461" s="3">
        <f>IF(ISNUMBER(C461),IF(COUNTIF($C$2:C461,C461)=1,1,0),"")</f>
        <v/>
      </c>
    </row>
    <row r="462">
      <c r="A462" s="2" t="n"/>
      <c r="B462" s="2" t="n"/>
      <c r="C462" s="2" t="n"/>
      <c r="D462" s="3">
        <f>IF(B462="","",COUNTIF($B$2:$B$500,B462))</f>
        <v/>
      </c>
      <c r="E462" s="3">
        <f>IF(B462="","",IF(COUNTIF($B$2:B462,B462)=1,1,0))</f>
        <v/>
      </c>
      <c r="F462" s="4">
        <f>IF(E462=1,D462-ROW()/100000,"")</f>
        <v/>
      </c>
      <c r="G462" s="3">
        <f>IF(ISNUMBER(C462),COUNTIF($C$2:$C$500,C462),"")</f>
        <v/>
      </c>
      <c r="H462" s="3">
        <f>IF(ISNUMBER(C462),IF(COUNTIF($C$2:C462,C462)=1,1,0),"")</f>
        <v/>
      </c>
    </row>
    <row r="463">
      <c r="A463" s="2" t="n"/>
      <c r="B463" s="2" t="n"/>
      <c r="C463" s="2" t="n"/>
      <c r="D463" s="3">
        <f>IF(B463="","",COUNTIF($B$2:$B$500,B463))</f>
        <v/>
      </c>
      <c r="E463" s="3">
        <f>IF(B463="","",IF(COUNTIF($B$2:B463,B463)=1,1,0))</f>
        <v/>
      </c>
      <c r="F463" s="4">
        <f>IF(E463=1,D463-ROW()/100000,"")</f>
        <v/>
      </c>
      <c r="G463" s="3">
        <f>IF(ISNUMBER(C463),COUNTIF($C$2:$C$500,C463),"")</f>
        <v/>
      </c>
      <c r="H463" s="3">
        <f>IF(ISNUMBER(C463),IF(COUNTIF($C$2:C463,C463)=1,1,0),"")</f>
        <v/>
      </c>
    </row>
    <row r="464">
      <c r="A464" s="2" t="n"/>
      <c r="B464" s="2" t="n"/>
      <c r="C464" s="2" t="n"/>
      <c r="D464" s="3">
        <f>IF(B464="","",COUNTIF($B$2:$B$500,B464))</f>
        <v/>
      </c>
      <c r="E464" s="3">
        <f>IF(B464="","",IF(COUNTIF($B$2:B464,B464)=1,1,0))</f>
        <v/>
      </c>
      <c r="F464" s="4">
        <f>IF(E464=1,D464-ROW()/100000,"")</f>
        <v/>
      </c>
      <c r="G464" s="3">
        <f>IF(ISNUMBER(C464),COUNTIF($C$2:$C$500,C464),"")</f>
        <v/>
      </c>
      <c r="H464" s="3">
        <f>IF(ISNUMBER(C464),IF(COUNTIF($C$2:C464,C464)=1,1,0),"")</f>
        <v/>
      </c>
    </row>
    <row r="465">
      <c r="A465" s="2" t="n"/>
      <c r="B465" s="2" t="n"/>
      <c r="C465" s="2" t="n"/>
      <c r="D465" s="3">
        <f>IF(B465="","",COUNTIF($B$2:$B$500,B465))</f>
        <v/>
      </c>
      <c r="E465" s="3">
        <f>IF(B465="","",IF(COUNTIF($B$2:B465,B465)=1,1,0))</f>
        <v/>
      </c>
      <c r="F465" s="4">
        <f>IF(E465=1,D465-ROW()/100000,"")</f>
        <v/>
      </c>
      <c r="G465" s="3">
        <f>IF(ISNUMBER(C465),COUNTIF($C$2:$C$500,C465),"")</f>
        <v/>
      </c>
      <c r="H465" s="3">
        <f>IF(ISNUMBER(C465),IF(COUNTIF($C$2:C465,C465)=1,1,0),"")</f>
        <v/>
      </c>
    </row>
    <row r="466">
      <c r="A466" s="2" t="n"/>
      <c r="B466" s="2" t="n"/>
      <c r="C466" s="2" t="n"/>
      <c r="D466" s="3">
        <f>IF(B466="","",COUNTIF($B$2:$B$500,B466))</f>
        <v/>
      </c>
      <c r="E466" s="3">
        <f>IF(B466="","",IF(COUNTIF($B$2:B466,B466)=1,1,0))</f>
        <v/>
      </c>
      <c r="F466" s="4">
        <f>IF(E466=1,D466-ROW()/100000,"")</f>
        <v/>
      </c>
      <c r="G466" s="3">
        <f>IF(ISNUMBER(C466),COUNTIF($C$2:$C$500,C466),"")</f>
        <v/>
      </c>
      <c r="H466" s="3">
        <f>IF(ISNUMBER(C466),IF(COUNTIF($C$2:C466,C466)=1,1,0),"")</f>
        <v/>
      </c>
    </row>
    <row r="467">
      <c r="A467" s="2" t="n"/>
      <c r="B467" s="2" t="n"/>
      <c r="C467" s="2" t="n"/>
      <c r="D467" s="3">
        <f>IF(B467="","",COUNTIF($B$2:$B$500,B467))</f>
        <v/>
      </c>
      <c r="E467" s="3">
        <f>IF(B467="","",IF(COUNTIF($B$2:B467,B467)=1,1,0))</f>
        <v/>
      </c>
      <c r="F467" s="4">
        <f>IF(E467=1,D467-ROW()/100000,"")</f>
        <v/>
      </c>
      <c r="G467" s="3">
        <f>IF(ISNUMBER(C467),COUNTIF($C$2:$C$500,C467),"")</f>
        <v/>
      </c>
      <c r="H467" s="3">
        <f>IF(ISNUMBER(C467),IF(COUNTIF($C$2:C467,C467)=1,1,0),"")</f>
        <v/>
      </c>
    </row>
    <row r="468">
      <c r="A468" s="2" t="n"/>
      <c r="B468" s="2" t="n"/>
      <c r="C468" s="2" t="n"/>
      <c r="D468" s="3">
        <f>IF(B468="","",COUNTIF($B$2:$B$500,B468))</f>
        <v/>
      </c>
      <c r="E468" s="3">
        <f>IF(B468="","",IF(COUNTIF($B$2:B468,B468)=1,1,0))</f>
        <v/>
      </c>
      <c r="F468" s="4">
        <f>IF(E468=1,D468-ROW()/100000,"")</f>
        <v/>
      </c>
      <c r="G468" s="3">
        <f>IF(ISNUMBER(C468),COUNTIF($C$2:$C$500,C468),"")</f>
        <v/>
      </c>
      <c r="H468" s="3">
        <f>IF(ISNUMBER(C468),IF(COUNTIF($C$2:C468,C468)=1,1,0),"")</f>
        <v/>
      </c>
    </row>
    <row r="469">
      <c r="A469" s="2" t="n"/>
      <c r="B469" s="2" t="n"/>
      <c r="C469" s="2" t="n"/>
      <c r="D469" s="3">
        <f>IF(B469="","",COUNTIF($B$2:$B$500,B469))</f>
        <v/>
      </c>
      <c r="E469" s="3">
        <f>IF(B469="","",IF(COUNTIF($B$2:B469,B469)=1,1,0))</f>
        <v/>
      </c>
      <c r="F469" s="4">
        <f>IF(E469=1,D469-ROW()/100000,"")</f>
        <v/>
      </c>
      <c r="G469" s="3">
        <f>IF(ISNUMBER(C469),COUNTIF($C$2:$C$500,C469),"")</f>
        <v/>
      </c>
      <c r="H469" s="3">
        <f>IF(ISNUMBER(C469),IF(COUNTIF($C$2:C469,C469)=1,1,0),"")</f>
        <v/>
      </c>
    </row>
    <row r="470">
      <c r="A470" s="2" t="n"/>
      <c r="B470" s="2" t="n"/>
      <c r="C470" s="2" t="n"/>
      <c r="D470" s="3">
        <f>IF(B470="","",COUNTIF($B$2:$B$500,B470))</f>
        <v/>
      </c>
      <c r="E470" s="3">
        <f>IF(B470="","",IF(COUNTIF($B$2:B470,B470)=1,1,0))</f>
        <v/>
      </c>
      <c r="F470" s="4">
        <f>IF(E470=1,D470-ROW()/100000,"")</f>
        <v/>
      </c>
      <c r="G470" s="3">
        <f>IF(ISNUMBER(C470),COUNTIF($C$2:$C$500,C470),"")</f>
        <v/>
      </c>
      <c r="H470" s="3">
        <f>IF(ISNUMBER(C470),IF(COUNTIF($C$2:C470,C470)=1,1,0),"")</f>
        <v/>
      </c>
    </row>
    <row r="471">
      <c r="A471" s="2" t="n"/>
      <c r="B471" s="2" t="n"/>
      <c r="C471" s="2" t="n"/>
      <c r="D471" s="3">
        <f>IF(B471="","",COUNTIF($B$2:$B$500,B471))</f>
        <v/>
      </c>
      <c r="E471" s="3">
        <f>IF(B471="","",IF(COUNTIF($B$2:B471,B471)=1,1,0))</f>
        <v/>
      </c>
      <c r="F471" s="4">
        <f>IF(E471=1,D471-ROW()/100000,"")</f>
        <v/>
      </c>
      <c r="G471" s="3">
        <f>IF(ISNUMBER(C471),COUNTIF($C$2:$C$500,C471),"")</f>
        <v/>
      </c>
      <c r="H471" s="3">
        <f>IF(ISNUMBER(C471),IF(COUNTIF($C$2:C471,C471)=1,1,0),"")</f>
        <v/>
      </c>
    </row>
    <row r="472">
      <c r="A472" s="2" t="n"/>
      <c r="B472" s="2" t="n"/>
      <c r="C472" s="2" t="n"/>
      <c r="D472" s="3">
        <f>IF(B472="","",COUNTIF($B$2:$B$500,B472))</f>
        <v/>
      </c>
      <c r="E472" s="3">
        <f>IF(B472="","",IF(COUNTIF($B$2:B472,B472)=1,1,0))</f>
        <v/>
      </c>
      <c r="F472" s="4">
        <f>IF(E472=1,D472-ROW()/100000,"")</f>
        <v/>
      </c>
      <c r="G472" s="3">
        <f>IF(ISNUMBER(C472),COUNTIF($C$2:$C$500,C472),"")</f>
        <v/>
      </c>
      <c r="H472" s="3">
        <f>IF(ISNUMBER(C472),IF(COUNTIF($C$2:C472,C472)=1,1,0),"")</f>
        <v/>
      </c>
    </row>
    <row r="473">
      <c r="A473" s="2" t="n"/>
      <c r="B473" s="2" t="n"/>
      <c r="C473" s="2" t="n"/>
      <c r="D473" s="3">
        <f>IF(B473="","",COUNTIF($B$2:$B$500,B473))</f>
        <v/>
      </c>
      <c r="E473" s="3">
        <f>IF(B473="","",IF(COUNTIF($B$2:B473,B473)=1,1,0))</f>
        <v/>
      </c>
      <c r="F473" s="4">
        <f>IF(E473=1,D473-ROW()/100000,"")</f>
        <v/>
      </c>
      <c r="G473" s="3">
        <f>IF(ISNUMBER(C473),COUNTIF($C$2:$C$500,C473),"")</f>
        <v/>
      </c>
      <c r="H473" s="3">
        <f>IF(ISNUMBER(C473),IF(COUNTIF($C$2:C473,C473)=1,1,0),"")</f>
        <v/>
      </c>
    </row>
    <row r="474">
      <c r="A474" s="2" t="n"/>
      <c r="B474" s="2" t="n"/>
      <c r="C474" s="2" t="n"/>
      <c r="D474" s="3">
        <f>IF(B474="","",COUNTIF($B$2:$B$500,B474))</f>
        <v/>
      </c>
      <c r="E474" s="3">
        <f>IF(B474="","",IF(COUNTIF($B$2:B474,B474)=1,1,0))</f>
        <v/>
      </c>
      <c r="F474" s="4">
        <f>IF(E474=1,D474-ROW()/100000,"")</f>
        <v/>
      </c>
      <c r="G474" s="3">
        <f>IF(ISNUMBER(C474),COUNTIF($C$2:$C$500,C474),"")</f>
        <v/>
      </c>
      <c r="H474" s="3">
        <f>IF(ISNUMBER(C474),IF(COUNTIF($C$2:C474,C474)=1,1,0),"")</f>
        <v/>
      </c>
    </row>
    <row r="475">
      <c r="A475" s="2" t="n"/>
      <c r="B475" s="2" t="n"/>
      <c r="C475" s="2" t="n"/>
      <c r="D475" s="3">
        <f>IF(B475="","",COUNTIF($B$2:$B$500,B475))</f>
        <v/>
      </c>
      <c r="E475" s="3">
        <f>IF(B475="","",IF(COUNTIF($B$2:B475,B475)=1,1,0))</f>
        <v/>
      </c>
      <c r="F475" s="4">
        <f>IF(E475=1,D475-ROW()/100000,"")</f>
        <v/>
      </c>
      <c r="G475" s="3">
        <f>IF(ISNUMBER(C475),COUNTIF($C$2:$C$500,C475),"")</f>
        <v/>
      </c>
      <c r="H475" s="3">
        <f>IF(ISNUMBER(C475),IF(COUNTIF($C$2:C475,C475)=1,1,0),"")</f>
        <v/>
      </c>
    </row>
    <row r="476">
      <c r="A476" s="2" t="n"/>
      <c r="B476" s="2" t="n"/>
      <c r="C476" s="2" t="n"/>
      <c r="D476" s="3">
        <f>IF(B476="","",COUNTIF($B$2:$B$500,B476))</f>
        <v/>
      </c>
      <c r="E476" s="3">
        <f>IF(B476="","",IF(COUNTIF($B$2:B476,B476)=1,1,0))</f>
        <v/>
      </c>
      <c r="F476" s="4">
        <f>IF(E476=1,D476-ROW()/100000,"")</f>
        <v/>
      </c>
      <c r="G476" s="3">
        <f>IF(ISNUMBER(C476),COUNTIF($C$2:$C$500,C476),"")</f>
        <v/>
      </c>
      <c r="H476" s="3">
        <f>IF(ISNUMBER(C476),IF(COUNTIF($C$2:C476,C476)=1,1,0),"")</f>
        <v/>
      </c>
    </row>
    <row r="477">
      <c r="A477" s="2" t="n"/>
      <c r="B477" s="2" t="n"/>
      <c r="C477" s="2" t="n"/>
      <c r="D477" s="3">
        <f>IF(B477="","",COUNTIF($B$2:$B$500,B477))</f>
        <v/>
      </c>
      <c r="E477" s="3">
        <f>IF(B477="","",IF(COUNTIF($B$2:B477,B477)=1,1,0))</f>
        <v/>
      </c>
      <c r="F477" s="4">
        <f>IF(E477=1,D477-ROW()/100000,"")</f>
        <v/>
      </c>
      <c r="G477" s="3">
        <f>IF(ISNUMBER(C477),COUNTIF($C$2:$C$500,C477),"")</f>
        <v/>
      </c>
      <c r="H477" s="3">
        <f>IF(ISNUMBER(C477),IF(COUNTIF($C$2:C477,C477)=1,1,0),"")</f>
        <v/>
      </c>
    </row>
    <row r="478">
      <c r="A478" s="2" t="n"/>
      <c r="B478" s="2" t="n"/>
      <c r="C478" s="2" t="n"/>
      <c r="D478" s="3">
        <f>IF(B478="","",COUNTIF($B$2:$B$500,B478))</f>
        <v/>
      </c>
      <c r="E478" s="3">
        <f>IF(B478="","",IF(COUNTIF($B$2:B478,B478)=1,1,0))</f>
        <v/>
      </c>
      <c r="F478" s="4">
        <f>IF(E478=1,D478-ROW()/100000,"")</f>
        <v/>
      </c>
      <c r="G478" s="3">
        <f>IF(ISNUMBER(C478),COUNTIF($C$2:$C$500,C478),"")</f>
        <v/>
      </c>
      <c r="H478" s="3">
        <f>IF(ISNUMBER(C478),IF(COUNTIF($C$2:C478,C478)=1,1,0),"")</f>
        <v/>
      </c>
    </row>
    <row r="479">
      <c r="A479" s="2" t="n"/>
      <c r="B479" s="2" t="n"/>
      <c r="C479" s="2" t="n"/>
      <c r="D479" s="3">
        <f>IF(B479="","",COUNTIF($B$2:$B$500,B479))</f>
        <v/>
      </c>
      <c r="E479" s="3">
        <f>IF(B479="","",IF(COUNTIF($B$2:B479,B479)=1,1,0))</f>
        <v/>
      </c>
      <c r="F479" s="4">
        <f>IF(E479=1,D479-ROW()/100000,"")</f>
        <v/>
      </c>
      <c r="G479" s="3">
        <f>IF(ISNUMBER(C479),COUNTIF($C$2:$C$500,C479),"")</f>
        <v/>
      </c>
      <c r="H479" s="3">
        <f>IF(ISNUMBER(C479),IF(COUNTIF($C$2:C479,C479)=1,1,0),"")</f>
        <v/>
      </c>
    </row>
    <row r="480">
      <c r="A480" s="2" t="n"/>
      <c r="B480" s="2" t="n"/>
      <c r="C480" s="2" t="n"/>
      <c r="D480" s="3">
        <f>IF(B480="","",COUNTIF($B$2:$B$500,B480))</f>
        <v/>
      </c>
      <c r="E480" s="3">
        <f>IF(B480="","",IF(COUNTIF($B$2:B480,B480)=1,1,0))</f>
        <v/>
      </c>
      <c r="F480" s="4">
        <f>IF(E480=1,D480-ROW()/100000,"")</f>
        <v/>
      </c>
      <c r="G480" s="3">
        <f>IF(ISNUMBER(C480),COUNTIF($C$2:$C$500,C480),"")</f>
        <v/>
      </c>
      <c r="H480" s="3">
        <f>IF(ISNUMBER(C480),IF(COUNTIF($C$2:C480,C480)=1,1,0),"")</f>
        <v/>
      </c>
    </row>
    <row r="481">
      <c r="A481" s="2" t="n"/>
      <c r="B481" s="2" t="n"/>
      <c r="C481" s="2" t="n"/>
      <c r="D481" s="3">
        <f>IF(B481="","",COUNTIF($B$2:$B$500,B481))</f>
        <v/>
      </c>
      <c r="E481" s="3">
        <f>IF(B481="","",IF(COUNTIF($B$2:B481,B481)=1,1,0))</f>
        <v/>
      </c>
      <c r="F481" s="4">
        <f>IF(E481=1,D481-ROW()/100000,"")</f>
        <v/>
      </c>
      <c r="G481" s="3">
        <f>IF(ISNUMBER(C481),COUNTIF($C$2:$C$500,C481),"")</f>
        <v/>
      </c>
      <c r="H481" s="3">
        <f>IF(ISNUMBER(C481),IF(COUNTIF($C$2:C481,C481)=1,1,0),"")</f>
        <v/>
      </c>
    </row>
    <row r="482">
      <c r="A482" s="2" t="n"/>
      <c r="B482" s="2" t="n"/>
      <c r="C482" s="2" t="n"/>
      <c r="D482" s="3">
        <f>IF(B482="","",COUNTIF($B$2:$B$500,B482))</f>
        <v/>
      </c>
      <c r="E482" s="3">
        <f>IF(B482="","",IF(COUNTIF($B$2:B482,B482)=1,1,0))</f>
        <v/>
      </c>
      <c r="F482" s="4">
        <f>IF(E482=1,D482-ROW()/100000,"")</f>
        <v/>
      </c>
      <c r="G482" s="3">
        <f>IF(ISNUMBER(C482),COUNTIF($C$2:$C$500,C482),"")</f>
        <v/>
      </c>
      <c r="H482" s="3">
        <f>IF(ISNUMBER(C482),IF(COUNTIF($C$2:C482,C482)=1,1,0),"")</f>
        <v/>
      </c>
    </row>
    <row r="483">
      <c r="A483" s="2" t="n"/>
      <c r="B483" s="2" t="n"/>
      <c r="C483" s="2" t="n"/>
      <c r="D483" s="3">
        <f>IF(B483="","",COUNTIF($B$2:$B$500,B483))</f>
        <v/>
      </c>
      <c r="E483" s="3">
        <f>IF(B483="","",IF(COUNTIF($B$2:B483,B483)=1,1,0))</f>
        <v/>
      </c>
      <c r="F483" s="4">
        <f>IF(E483=1,D483-ROW()/100000,"")</f>
        <v/>
      </c>
      <c r="G483" s="3">
        <f>IF(ISNUMBER(C483),COUNTIF($C$2:$C$500,C483),"")</f>
        <v/>
      </c>
      <c r="H483" s="3">
        <f>IF(ISNUMBER(C483),IF(COUNTIF($C$2:C483,C483)=1,1,0),"")</f>
        <v/>
      </c>
    </row>
    <row r="484">
      <c r="A484" s="2" t="n"/>
      <c r="B484" s="2" t="n"/>
      <c r="C484" s="2" t="n"/>
      <c r="D484" s="3">
        <f>IF(B484="","",COUNTIF($B$2:$B$500,B484))</f>
        <v/>
      </c>
      <c r="E484" s="3">
        <f>IF(B484="","",IF(COUNTIF($B$2:B484,B484)=1,1,0))</f>
        <v/>
      </c>
      <c r="F484" s="4">
        <f>IF(E484=1,D484-ROW()/100000,"")</f>
        <v/>
      </c>
      <c r="G484" s="3">
        <f>IF(ISNUMBER(C484),COUNTIF($C$2:$C$500,C484),"")</f>
        <v/>
      </c>
      <c r="H484" s="3">
        <f>IF(ISNUMBER(C484),IF(COUNTIF($C$2:C484,C484)=1,1,0),"")</f>
        <v/>
      </c>
    </row>
    <row r="485">
      <c r="A485" s="2" t="n"/>
      <c r="B485" s="2" t="n"/>
      <c r="C485" s="2" t="n"/>
      <c r="D485" s="3">
        <f>IF(B485="","",COUNTIF($B$2:$B$500,B485))</f>
        <v/>
      </c>
      <c r="E485" s="3">
        <f>IF(B485="","",IF(COUNTIF($B$2:B485,B485)=1,1,0))</f>
        <v/>
      </c>
      <c r="F485" s="4">
        <f>IF(E485=1,D485-ROW()/100000,"")</f>
        <v/>
      </c>
      <c r="G485" s="3">
        <f>IF(ISNUMBER(C485),COUNTIF($C$2:$C$500,C485),"")</f>
        <v/>
      </c>
      <c r="H485" s="3">
        <f>IF(ISNUMBER(C485),IF(COUNTIF($C$2:C485,C485)=1,1,0),"")</f>
        <v/>
      </c>
    </row>
    <row r="486">
      <c r="A486" s="2" t="n"/>
      <c r="B486" s="2" t="n"/>
      <c r="C486" s="2" t="n"/>
      <c r="D486" s="3">
        <f>IF(B486="","",COUNTIF($B$2:$B$500,B486))</f>
        <v/>
      </c>
      <c r="E486" s="3">
        <f>IF(B486="","",IF(COUNTIF($B$2:B486,B486)=1,1,0))</f>
        <v/>
      </c>
      <c r="F486" s="4">
        <f>IF(E486=1,D486-ROW()/100000,"")</f>
        <v/>
      </c>
      <c r="G486" s="3">
        <f>IF(ISNUMBER(C486),COUNTIF($C$2:$C$500,C486),"")</f>
        <v/>
      </c>
      <c r="H486" s="3">
        <f>IF(ISNUMBER(C486),IF(COUNTIF($C$2:C486,C486)=1,1,0),"")</f>
        <v/>
      </c>
    </row>
    <row r="487">
      <c r="A487" s="2" t="n"/>
      <c r="B487" s="2" t="n"/>
      <c r="C487" s="2" t="n"/>
      <c r="D487" s="3">
        <f>IF(B487="","",COUNTIF($B$2:$B$500,B487))</f>
        <v/>
      </c>
      <c r="E487" s="3">
        <f>IF(B487="","",IF(COUNTIF($B$2:B487,B487)=1,1,0))</f>
        <v/>
      </c>
      <c r="F487" s="4">
        <f>IF(E487=1,D487-ROW()/100000,"")</f>
        <v/>
      </c>
      <c r="G487" s="3">
        <f>IF(ISNUMBER(C487),COUNTIF($C$2:$C$500,C487),"")</f>
        <v/>
      </c>
      <c r="H487" s="3">
        <f>IF(ISNUMBER(C487),IF(COUNTIF($C$2:C487,C487)=1,1,0),"")</f>
        <v/>
      </c>
    </row>
    <row r="488">
      <c r="A488" s="2" t="n"/>
      <c r="B488" s="2" t="n"/>
      <c r="C488" s="2" t="n"/>
      <c r="D488" s="3">
        <f>IF(B488="","",COUNTIF($B$2:$B$500,B488))</f>
        <v/>
      </c>
      <c r="E488" s="3">
        <f>IF(B488="","",IF(COUNTIF($B$2:B488,B488)=1,1,0))</f>
        <v/>
      </c>
      <c r="F488" s="4">
        <f>IF(E488=1,D488-ROW()/100000,"")</f>
        <v/>
      </c>
      <c r="G488" s="3">
        <f>IF(ISNUMBER(C488),COUNTIF($C$2:$C$500,C488),"")</f>
        <v/>
      </c>
      <c r="H488" s="3">
        <f>IF(ISNUMBER(C488),IF(COUNTIF($C$2:C488,C488)=1,1,0),"")</f>
        <v/>
      </c>
    </row>
    <row r="489">
      <c r="A489" s="2" t="n"/>
      <c r="B489" s="2" t="n"/>
      <c r="C489" s="2" t="n"/>
      <c r="D489" s="3">
        <f>IF(B489="","",COUNTIF($B$2:$B$500,B489))</f>
        <v/>
      </c>
      <c r="E489" s="3">
        <f>IF(B489="","",IF(COUNTIF($B$2:B489,B489)=1,1,0))</f>
        <v/>
      </c>
      <c r="F489" s="4">
        <f>IF(E489=1,D489-ROW()/100000,"")</f>
        <v/>
      </c>
      <c r="G489" s="3">
        <f>IF(ISNUMBER(C489),COUNTIF($C$2:$C$500,C489),"")</f>
        <v/>
      </c>
      <c r="H489" s="3">
        <f>IF(ISNUMBER(C489),IF(COUNTIF($C$2:C489,C489)=1,1,0),"")</f>
        <v/>
      </c>
    </row>
    <row r="490">
      <c r="A490" s="2" t="n"/>
      <c r="B490" s="2" t="n"/>
      <c r="C490" s="2" t="n"/>
      <c r="D490" s="3">
        <f>IF(B490="","",COUNTIF($B$2:$B$500,B490))</f>
        <v/>
      </c>
      <c r="E490" s="3">
        <f>IF(B490="","",IF(COUNTIF($B$2:B490,B490)=1,1,0))</f>
        <v/>
      </c>
      <c r="F490" s="4">
        <f>IF(E490=1,D490-ROW()/100000,"")</f>
        <v/>
      </c>
      <c r="G490" s="3">
        <f>IF(ISNUMBER(C490),COUNTIF($C$2:$C$500,C490),"")</f>
        <v/>
      </c>
      <c r="H490" s="3">
        <f>IF(ISNUMBER(C490),IF(COUNTIF($C$2:C490,C490)=1,1,0),"")</f>
        <v/>
      </c>
    </row>
    <row r="491">
      <c r="A491" s="2" t="n"/>
      <c r="B491" s="2" t="n"/>
      <c r="C491" s="2" t="n"/>
      <c r="D491" s="3">
        <f>IF(B491="","",COUNTIF($B$2:$B$500,B491))</f>
        <v/>
      </c>
      <c r="E491" s="3">
        <f>IF(B491="","",IF(COUNTIF($B$2:B491,B491)=1,1,0))</f>
        <v/>
      </c>
      <c r="F491" s="4">
        <f>IF(E491=1,D491-ROW()/100000,"")</f>
        <v/>
      </c>
      <c r="G491" s="3">
        <f>IF(ISNUMBER(C491),COUNTIF($C$2:$C$500,C491),"")</f>
        <v/>
      </c>
      <c r="H491" s="3">
        <f>IF(ISNUMBER(C491),IF(COUNTIF($C$2:C491,C491)=1,1,0),"")</f>
        <v/>
      </c>
    </row>
    <row r="492">
      <c r="A492" s="2" t="n"/>
      <c r="B492" s="2" t="n"/>
      <c r="C492" s="2" t="n"/>
      <c r="D492" s="3">
        <f>IF(B492="","",COUNTIF($B$2:$B$500,B492))</f>
        <v/>
      </c>
      <c r="E492" s="3">
        <f>IF(B492="","",IF(COUNTIF($B$2:B492,B492)=1,1,0))</f>
        <v/>
      </c>
      <c r="F492" s="4">
        <f>IF(E492=1,D492-ROW()/100000,"")</f>
        <v/>
      </c>
      <c r="G492" s="3">
        <f>IF(ISNUMBER(C492),COUNTIF($C$2:$C$500,C492),"")</f>
        <v/>
      </c>
      <c r="H492" s="3">
        <f>IF(ISNUMBER(C492),IF(COUNTIF($C$2:C492,C492)=1,1,0),"")</f>
        <v/>
      </c>
    </row>
    <row r="493">
      <c r="A493" s="2" t="n"/>
      <c r="B493" s="2" t="n"/>
      <c r="C493" s="2" t="n"/>
      <c r="D493" s="3">
        <f>IF(B493="","",COUNTIF($B$2:$B$500,B493))</f>
        <v/>
      </c>
      <c r="E493" s="3">
        <f>IF(B493="","",IF(COUNTIF($B$2:B493,B493)=1,1,0))</f>
        <v/>
      </c>
      <c r="F493" s="4">
        <f>IF(E493=1,D493-ROW()/100000,"")</f>
        <v/>
      </c>
      <c r="G493" s="3">
        <f>IF(ISNUMBER(C493),COUNTIF($C$2:$C$500,C493),"")</f>
        <v/>
      </c>
      <c r="H493" s="3">
        <f>IF(ISNUMBER(C493),IF(COUNTIF($C$2:C493,C493)=1,1,0),"")</f>
        <v/>
      </c>
    </row>
    <row r="494">
      <c r="A494" s="2" t="n"/>
      <c r="B494" s="2" t="n"/>
      <c r="C494" s="2" t="n"/>
      <c r="D494" s="3">
        <f>IF(B494="","",COUNTIF($B$2:$B$500,B494))</f>
        <v/>
      </c>
      <c r="E494" s="3">
        <f>IF(B494="","",IF(COUNTIF($B$2:B494,B494)=1,1,0))</f>
        <v/>
      </c>
      <c r="F494" s="4">
        <f>IF(E494=1,D494-ROW()/100000,"")</f>
        <v/>
      </c>
      <c r="G494" s="3">
        <f>IF(ISNUMBER(C494),COUNTIF($C$2:$C$500,C494),"")</f>
        <v/>
      </c>
      <c r="H494" s="3">
        <f>IF(ISNUMBER(C494),IF(COUNTIF($C$2:C494,C494)=1,1,0),"")</f>
        <v/>
      </c>
    </row>
    <row r="495">
      <c r="A495" s="2" t="n"/>
      <c r="B495" s="2" t="n"/>
      <c r="C495" s="2" t="n"/>
      <c r="D495" s="3">
        <f>IF(B495="","",COUNTIF($B$2:$B$500,B495))</f>
        <v/>
      </c>
      <c r="E495" s="3">
        <f>IF(B495="","",IF(COUNTIF($B$2:B495,B495)=1,1,0))</f>
        <v/>
      </c>
      <c r="F495" s="4">
        <f>IF(E495=1,D495-ROW()/100000,"")</f>
        <v/>
      </c>
      <c r="G495" s="3">
        <f>IF(ISNUMBER(C495),COUNTIF($C$2:$C$500,C495),"")</f>
        <v/>
      </c>
      <c r="H495" s="3">
        <f>IF(ISNUMBER(C495),IF(COUNTIF($C$2:C495,C495)=1,1,0),"")</f>
        <v/>
      </c>
    </row>
    <row r="496">
      <c r="A496" s="2" t="n"/>
      <c r="B496" s="2" t="n"/>
      <c r="C496" s="2" t="n"/>
      <c r="D496" s="3">
        <f>IF(B496="","",COUNTIF($B$2:$B$500,B496))</f>
        <v/>
      </c>
      <c r="E496" s="3">
        <f>IF(B496="","",IF(COUNTIF($B$2:B496,B496)=1,1,0))</f>
        <v/>
      </c>
      <c r="F496" s="4">
        <f>IF(E496=1,D496-ROW()/100000,"")</f>
        <v/>
      </c>
      <c r="G496" s="3">
        <f>IF(ISNUMBER(C496),COUNTIF($C$2:$C$500,C496),"")</f>
        <v/>
      </c>
      <c r="H496" s="3">
        <f>IF(ISNUMBER(C496),IF(COUNTIF($C$2:C496,C496)=1,1,0),"")</f>
        <v/>
      </c>
    </row>
    <row r="497">
      <c r="A497" s="2" t="n"/>
      <c r="B497" s="2" t="n"/>
      <c r="C497" s="2" t="n"/>
      <c r="D497" s="3">
        <f>IF(B497="","",COUNTIF($B$2:$B$500,B497))</f>
        <v/>
      </c>
      <c r="E497" s="3">
        <f>IF(B497="","",IF(COUNTIF($B$2:B497,B497)=1,1,0))</f>
        <v/>
      </c>
      <c r="F497" s="4">
        <f>IF(E497=1,D497-ROW()/100000,"")</f>
        <v/>
      </c>
      <c r="G497" s="3">
        <f>IF(ISNUMBER(C497),COUNTIF($C$2:$C$500,C497),"")</f>
        <v/>
      </c>
      <c r="H497" s="3">
        <f>IF(ISNUMBER(C497),IF(COUNTIF($C$2:C497,C497)=1,1,0),"")</f>
        <v/>
      </c>
    </row>
    <row r="498">
      <c r="A498" s="2" t="n"/>
      <c r="B498" s="2" t="n"/>
      <c r="C498" s="2" t="n"/>
      <c r="D498" s="3">
        <f>IF(B498="","",COUNTIF($B$2:$B$500,B498))</f>
        <v/>
      </c>
      <c r="E498" s="3">
        <f>IF(B498="","",IF(COUNTIF($B$2:B498,B498)=1,1,0))</f>
        <v/>
      </c>
      <c r="F498" s="4">
        <f>IF(E498=1,D498-ROW()/100000,"")</f>
        <v/>
      </c>
      <c r="G498" s="3">
        <f>IF(ISNUMBER(C498),COUNTIF($C$2:$C$500,C498),"")</f>
        <v/>
      </c>
      <c r="H498" s="3">
        <f>IF(ISNUMBER(C498),IF(COUNTIF($C$2:C498,C498)=1,1,0),"")</f>
        <v/>
      </c>
    </row>
    <row r="499">
      <c r="A499" s="2" t="n"/>
      <c r="B499" s="2" t="n"/>
      <c r="C499" s="2" t="n"/>
      <c r="D499" s="3">
        <f>IF(B499="","",COUNTIF($B$2:$B$500,B499))</f>
        <v/>
      </c>
      <c r="E499" s="3">
        <f>IF(B499="","",IF(COUNTIF($B$2:B499,B499)=1,1,0))</f>
        <v/>
      </c>
      <c r="F499" s="4">
        <f>IF(E499=1,D499-ROW()/100000,"")</f>
        <v/>
      </c>
      <c r="G499" s="3">
        <f>IF(ISNUMBER(C499),COUNTIF($C$2:$C$500,C499),"")</f>
        <v/>
      </c>
      <c r="H499" s="3">
        <f>IF(ISNUMBER(C499),IF(COUNTIF($C$2:C499,C499)=1,1,0),"")</f>
        <v/>
      </c>
    </row>
    <row r="500">
      <c r="A500" s="2" t="n"/>
      <c r="B500" s="2" t="n"/>
      <c r="C500" s="2" t="n"/>
      <c r="D500" s="3">
        <f>IF(B500="","",COUNTIF($B$2:$B$500,B500))</f>
        <v/>
      </c>
      <c r="E500" s="3">
        <f>IF(B500="","",IF(COUNTIF($B$2:B500,B500)=1,1,0))</f>
        <v/>
      </c>
      <c r="F500" s="4">
        <f>IF(E500=1,D500-ROW()/100000,"")</f>
        <v/>
      </c>
      <c r="G500" s="3">
        <f>IF(ISNUMBER(C500),COUNTIF($C$2:$C$500,C500),"")</f>
        <v/>
      </c>
      <c r="H500" s="3">
        <f>IF(ISNUMBER(C500),IF(COUNTIF($C$2:C500,C500)=1,1,0),"")</f>
        <v/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" customWidth="1" min="3" max="3"/>
    <col width="7" customWidth="1" min="4" max="4"/>
    <col width="22" customWidth="1" min="5" max="5"/>
    <col width="10" customWidth="1" min="6" max="6"/>
    <col width="10" customWidth="1" min="7" max="7"/>
  </cols>
  <sheetData>
    <row r="1">
      <c r="A1" s="5" t="inlineStr">
        <is>
          <t>Orders counted</t>
        </is>
      </c>
      <c r="B1" s="6">
        <f>SUMPRODUCT(--(Orders!$B$2:$B$500&lt;&gt;""))</f>
        <v/>
      </c>
      <c r="D1" s="7" t="inlineStr">
        <is>
          <t>Rank</t>
        </is>
      </c>
      <c r="E1" s="7" t="inlineStr">
        <is>
          <t>Item</t>
        </is>
      </c>
      <c r="F1" s="7" t="inlineStr">
        <is>
          <t>Orders</t>
        </is>
      </c>
      <c r="G1" s="7" t="inlineStr">
        <is>
          <t>Share</t>
        </is>
      </c>
    </row>
    <row r="2">
      <c r="A2" s="5" t="inlineStr">
        <is>
          <t>Most common item</t>
        </is>
      </c>
      <c r="B2" s="8">
        <f>IFERROR(INDEX(Orders!$B$2:$B$500,MATCH(MAX(Orders!$D$2:$D$500),Orders!$D$2:$D$500,0)),"")</f>
        <v/>
      </c>
      <c r="D2" t="n">
        <v>1</v>
      </c>
      <c r="E2" s="3">
        <f>IFERROR(INDEX(Orders!$B$2:$B$500,MATCH(LARGE(Orders!$F$2:$F$500,D2),Orders!$F$2:$F$500,0)),"")</f>
        <v/>
      </c>
      <c r="F2" s="3">
        <f>IFERROR(INDEX(Orders!$D$2:$D$500,MATCH(LARGE(Orders!$F$2:$F$500,D2),Orders!$F$2:$F$500,0)),"")</f>
        <v/>
      </c>
      <c r="G2" s="9">
        <f>IF(F2="","",F2/$B$1)</f>
        <v/>
      </c>
    </row>
    <row r="3">
      <c r="A3" s="5" t="inlineStr">
        <is>
          <t>Times it appears</t>
        </is>
      </c>
      <c r="B3" s="6">
        <f>IF(B1=0,"",MAX(Orders!$D$2:$D$500))</f>
        <v/>
      </c>
      <c r="D3" t="n">
        <v>2</v>
      </c>
      <c r="E3" s="3">
        <f>IFERROR(INDEX(Orders!$B$2:$B$500,MATCH(LARGE(Orders!$F$2:$F$500,D3),Orders!$F$2:$F$500,0)),"")</f>
        <v/>
      </c>
      <c r="F3" s="3">
        <f>IFERROR(INDEX(Orders!$D$2:$D$500,MATCH(LARGE(Orders!$F$2:$F$500,D3),Orders!$F$2:$F$500,0)),"")</f>
        <v/>
      </c>
      <c r="G3" s="9">
        <f>IF(F3="","",F3/$B$1)</f>
        <v/>
      </c>
    </row>
    <row r="4">
      <c r="A4" s="5" t="inlineStr">
        <is>
          <t>Share of orders</t>
        </is>
      </c>
      <c r="B4" s="10">
        <f>IF(B1=0,"",B3/B1)</f>
        <v/>
      </c>
      <c r="D4" t="n">
        <v>3</v>
      </c>
      <c r="E4" s="3">
        <f>IFERROR(INDEX(Orders!$B$2:$B$500,MATCH(LARGE(Orders!$F$2:$F$500,D4),Orders!$F$2:$F$500,0)),"")</f>
        <v/>
      </c>
      <c r="F4" s="3">
        <f>IFERROR(INDEX(Orders!$D$2:$D$500,MATCH(LARGE(Orders!$F$2:$F$500,D4),Orders!$F$2:$F$500,0)),"")</f>
        <v/>
      </c>
      <c r="G4" s="9">
        <f>IF(F4="","",F4/$B$1)</f>
        <v/>
      </c>
    </row>
    <row r="5">
      <c r="A5" s="5" t="inlineStr">
        <is>
          <t>Tie?</t>
        </is>
      </c>
      <c r="B5" s="8">
        <f>IF(B1=0,"",IF(COUNTIFS(Orders!$D$2:$D$500,B3,Orders!$E$2:$E$500,1)&gt;1,COUNTIFS(Orders!$D$2:$D$500,B3,Orders!$E$2:$E$500,1)&amp;" items tie at "&amp;B3&amp;" orders; the first one listed is shown","No tie"))</f>
        <v/>
      </c>
      <c r="D5" t="n">
        <v>4</v>
      </c>
      <c r="E5" s="3">
        <f>IFERROR(INDEX(Orders!$B$2:$B$500,MATCH(LARGE(Orders!$F$2:$F$500,D5),Orders!$F$2:$F$500,0)),"")</f>
        <v/>
      </c>
      <c r="F5" s="3">
        <f>IFERROR(INDEX(Orders!$D$2:$D$500,MATCH(LARGE(Orders!$F$2:$F$500,D5),Orders!$F$2:$F$500,0)),"")</f>
        <v/>
      </c>
      <c r="G5" s="9">
        <f>IF(F5="","",F5/$B$1)</f>
        <v/>
      </c>
    </row>
    <row r="6">
      <c r="A6" s="5" t="inlineStr">
        <is>
          <t>Most common quantity</t>
        </is>
      </c>
      <c r="B6" s="8">
        <f>IF(COUNT(Orders!$C$2:$C$500)=0,"",IFERROR(MODE(Orders!$C$2:$C$500),"No repeats"))</f>
        <v/>
      </c>
      <c r="D6" t="n">
        <v>5</v>
      </c>
      <c r="E6" s="3">
        <f>IFERROR(INDEX(Orders!$B$2:$B$500,MATCH(LARGE(Orders!$F$2:$F$500,D6),Orders!$F$2:$F$500,0)),"")</f>
        <v/>
      </c>
      <c r="F6" s="3">
        <f>IFERROR(INDEX(Orders!$D$2:$D$500,MATCH(LARGE(Orders!$F$2:$F$500,D6),Orders!$F$2:$F$500,0)),"")</f>
        <v/>
      </c>
      <c r="G6" s="9">
        <f>IF(F6="","",F6/$B$1)</f>
        <v/>
      </c>
    </row>
    <row r="7">
      <c r="A7" s="5" t="inlineStr">
        <is>
          <t>Times that quantity appears</t>
        </is>
      </c>
      <c r="B7" s="6">
        <f>IF(ISNUMBER(B6),COUNTIF(Orders!$C$2:$C$500,B6),"")</f>
        <v/>
      </c>
    </row>
    <row r="8">
      <c r="A8" s="5" t="inlineStr">
        <is>
          <t>Quantity tie?</t>
        </is>
      </c>
      <c r="B8" s="8">
        <f>IF(ISNUMBER(B6),IF(COUNTIFS(Orders!$G$2:$G$500,B7,Orders!$H$2:$H$500,1)&gt;1,COUNTIFS(Orders!$G$2:$G$500,B7,Orders!$H$2:$H$500,1)&amp;" quantities tie at "&amp;B7&amp;" times; MODE returns one of them","No tie"),"")</f>
        <v/>
      </c>
    </row>
    <row r="9">
      <c r="A9" s="5" t="inlineStr">
        <is>
          <t>Check: counts add up to the rows</t>
        </is>
      </c>
      <c r="B9" s="8">
        <f>IF(AND(SUMIF(Orders!$E$2:$E$500,1,Orders!$D$2:$D$500)=B1,SUMIF(Orders!$H$2:$H$500,1,Orders!$G$2:$G$500)=COUNT(Orders!$C$2:$C$500),COUNTA(Orders!$C$2:$C$500)=COUNT(Orders!$C$2:$C$500),SUMPRODUCT((Orders!$B$2:$B$500="")*(Orders!$C$2:$C$500&lt;&gt;""))=0),"OK","CHECK")</f>
        <v/>
      </c>
    </row>
  </sheetData>
  <conditionalFormatting sqref="B9">
    <cfRule type="expression" priority="1" dxfId="0">
      <formula>AND(B9&lt;&gt;"OK",B9&lt;&gt;"")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Most Common Value in a List With COUNTIF, INDEX and MATCH</t>
        </is>
      </c>
    </row>
    <row r="2">
      <c r="A2" s="12" t="inlineStr"/>
    </row>
    <row r="3">
      <c r="A3" s="12" t="inlineStr">
        <is>
          <t>1. Orders tab: type or paste the order (A), the item size or scent (B) and the quantity (C), rows 2 to 500. Yellow. The sample is 40 fictional candle orders.</t>
        </is>
      </c>
    </row>
    <row r="4">
      <c r="A4" s="12" t="inlineStr">
        <is>
          <t>2. Column D counts how often each row's item is listed: =IF(B2="","",COUNTIF($B$2:$B$500,B2)). Every row of the same item gets the same count.</t>
        </is>
      </c>
    </row>
    <row r="5">
      <c r="A5" s="12" t="inlineStr">
        <is>
          <t>3. Summary B2 returns the item with the biggest count: =IFERROR(INDEX(Orders!$B$2:$B$500,MATCH(MAX(Orders!$D$2:$D$500),Orders!$D$2:$D$500,0)),""). MATCH finds the first row with the biggest count, so with a tie the item listed first is shown.</t>
        </is>
      </c>
    </row>
    <row r="6">
      <c r="A6" s="12" t="inlineStr">
        <is>
          <t>4. Tie test: column E marks the first row of each item with a 1, and B5 counts how many of those first rows have the biggest count. More than one means a tie.</t>
        </is>
      </c>
    </row>
    <row r="7">
      <c r="A7" s="12" t="inlineStr">
        <is>
          <t>5. Most common quantity, B6, uses =MODE(Orders!$C$2:$C$500) for numbers. If every quantity is different, MODE has no answer and B6 shows No repeats. With a tie, MODE returns one of the tied numbers (B8 says when there is one); in the LibreOffice check it was the one listed first.</t>
        </is>
      </c>
    </row>
    <row r="8">
      <c r="A8" s="12" t="inlineStr">
        <is>
          <t>6. The top 5 table (D1:G6) ranks each different item by its count. Column F on Orders is a sort key: the count minus a tiny amount from the row number, so tied items come out in the order they were first listed.</t>
        </is>
      </c>
    </row>
    <row r="9">
      <c r="A9" s="12" t="inlineStr">
        <is>
          <t>7. COUNTIF ignores upper and lower case, so Cedar and cedar are one item (the spelling listed first is shown). A trailing space makes a separate item: Cedar and Cedar followed by a space are counted apart. A star or question mark typed inside an item name acts as a wildcard in COUNTIF and was not tested.</t>
        </is>
      </c>
    </row>
    <row r="10">
      <c r="A10" s="12" t="inlineStr">
        <is>
          <t>8. B9 shows OK when the counts add up to the number of filled rows, every quantity is a number and no quantity sits on a row without an item. A quantity typed as text turns it to CHECK and MODE skips that cell.</t>
        </is>
      </c>
    </row>
    <row r="11">
      <c r="A11" s="12" t="inlineStr">
        <is>
          <t>9. This counts how often a value appears. It does not rank dollars and does not say what to stock.</t>
        </is>
      </c>
    </row>
    <row r="12">
      <c r="A12" s="12" t="inlineStr"/>
    </row>
    <row r="13">
      <c r="A13" s="12" t="inlineStr">
        <is>
          <t>Orders are fictional. Checked in LibreOffice Calc only; not opened in Excel or Google Sheets.</t>
        </is>
      </c>
    </row>
    <row r="14">
      <c r="A14" s="12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2026-10-25T07:33:43Z</dcterms:created>
  <dcterms:modified xmlns:dcterms="http://purl.org/dc/terms/" xmlns:xsi="http://www.w3.org/2001/XMLSchema-instance" xsi:type="dcterms:W3CDTF">2026-10-25T07:33:43Z</dcterms:modified>
</cp:coreProperties>
</file>