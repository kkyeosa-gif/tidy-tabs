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s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How to use" sheetId="3" state="visible" r:id="rId3"/>
  </sheets>
  <definedNames>
    <definedName name="_xlnm.Print_Titles" localSheetId="0">'Dates'!$1:$1</definedName>
    <definedName name="_xlnm.Print_Titles" localSheetId="1">'Schedule'!$1:$1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mmm 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3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164" fontId="0" fillId="4" borderId="0" applyAlignment="1" pivotButton="0" quotePrefix="0" xfId="0">
      <alignment horizontal="right"/>
    </xf>
    <xf numFmtId="165" fontId="0" fillId="4" borderId="0" pivotButton="0" quotePrefix="0" xfId="0"/>
    <xf numFmtId="0" fontId="0" fillId="4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" customWidth="1" min="3" max="3"/>
    <col width="4" customWidth="1" min="4" max="4"/>
    <col width="14" customWidth="1" min="5" max="5"/>
  </cols>
  <sheetData>
    <row r="1" ht="30" customHeight="1">
      <c r="A1" s="1" t="inlineStr">
        <is>
          <t>Item</t>
        </is>
      </c>
      <c r="B1" s="1" t="inlineStr">
        <is>
          <t>Value</t>
        </is>
      </c>
      <c r="E1" s="2" t="inlineStr">
        <is>
          <t>Weekday list</t>
        </is>
      </c>
    </row>
    <row r="2">
      <c r="A2" t="inlineStr">
        <is>
          <t>Year</t>
        </is>
      </c>
      <c r="B2" s="3" t="n">
        <v>2026</v>
      </c>
      <c r="E2" t="inlineStr">
        <is>
          <t>Sunday</t>
        </is>
      </c>
    </row>
    <row r="3">
      <c r="A3" t="inlineStr">
        <is>
          <t>Month (1 to 12)</t>
        </is>
      </c>
      <c r="B3" s="3" t="n">
        <v>11</v>
      </c>
      <c r="E3" t="inlineStr">
        <is>
          <t>Monday</t>
        </is>
      </c>
    </row>
    <row r="4">
      <c r="A4" t="inlineStr">
        <is>
          <t>Weekday</t>
        </is>
      </c>
      <c r="B4" s="3" t="inlineStr">
        <is>
          <t>Saturday</t>
        </is>
      </c>
      <c r="E4" t="inlineStr">
        <is>
          <t>Tuesday</t>
        </is>
      </c>
    </row>
    <row r="5">
      <c r="A5" t="inlineStr">
        <is>
          <t>Which one (1 to 5)</t>
        </is>
      </c>
      <c r="B5" s="3" t="n">
        <v>2</v>
      </c>
      <c r="E5" t="inlineStr">
        <is>
          <t>Wednesday</t>
        </is>
      </c>
    </row>
    <row r="6">
      <c r="A6" t="inlineStr">
        <is>
          <t>Weekday number (1 = Sunday)</t>
        </is>
      </c>
      <c r="B6" s="4">
        <f>IFERROR(MATCH(B4,$E$2:$E$8,0),"Check weekday")</f>
        <v/>
      </c>
      <c r="E6" t="inlineStr">
        <is>
          <t>Thursday</t>
        </is>
      </c>
    </row>
    <row r="7">
      <c r="A7" t="inlineStr">
        <is>
          <t>Inputs OK?</t>
        </is>
      </c>
      <c r="B7" s="4">
        <f>IF(AND(ISNUMBER(B2),ISNUMBER(B3),ISNUMBER(B5),ISNUMBER(B6)),IF(AND(B2&gt;=1900,B2&lt;=9999,B2=INT(B2),B3&gt;=1,B3&lt;=12,B3=INT(B3),B5&gt;=1,B5&lt;=5,B5=INT(B5)),"Yes","No"),"No")</f>
        <v/>
      </c>
      <c r="E7" t="inlineStr">
        <is>
          <t>Friday</t>
        </is>
      </c>
    </row>
    <row r="8">
      <c r="A8" t="inlineStr">
        <is>
          <t>Date of the Nth weekday</t>
        </is>
      </c>
      <c r="B8" s="5">
        <f>IF(B7&lt;&gt;"Yes","Check inputs",IF(MONTH(DATE(B2,B3,1)+MOD(B6-WEEKDAY(DATE(B2,B3,1),1),7)+7*(B5-1))=B3,DATE(B2,B3,1)+MOD(B6-WEEKDAY(DATE(B2,B3,1),1),7)+7*(B5-1),"No such date"))</f>
        <v/>
      </c>
      <c r="E8" t="inlineStr">
        <is>
          <t>Saturday</t>
        </is>
      </c>
    </row>
    <row r="9">
      <c r="A9" t="inlineStr">
        <is>
          <t>Date of the last such weekday</t>
        </is>
      </c>
      <c r="B9" s="5">
        <f>IF(B7&lt;&gt;"Yes","Check inputs",EOMONTH(DATE(B2,B3,1),0)-MOD(WEEKDAY(EOMONTH(DATE(B2,B3,1),0),1)-B6,7))</f>
        <v/>
      </c>
    </row>
    <row r="10">
      <c r="A10" t="inlineStr">
        <is>
          <t>Check: result falls on that weekday</t>
        </is>
      </c>
      <c r="B10" s="4">
        <f>IF(AND(ISNUMBER(B8),ISNUMBER(B9)),IF(AND(WEEKDAY(B8,1)=B6,WEEKDAY(B9,1)=B6),"OK","CHECK"),IF(ISNUMBER(B9),IF(WEEKDAY(B9,1)=B6,"OK","CHECK"),""))</f>
        <v/>
      </c>
    </row>
  </sheetData>
  <conditionalFormatting sqref="B7:B9">
    <cfRule type="expression" priority="1" dxfId="0">
      <formula>OR(B7="No",B7="Check inputs",B7="No such date")</formula>
    </cfRule>
  </conditionalFormatting>
  <conditionalFormatting sqref="B10">
    <cfRule type="expression" priority="2" dxfId="0">
      <formula>B10="CHECK"</formula>
    </cfRule>
  </conditionalFormatting>
  <dataValidations count="1">
    <dataValidation sqref="B4" showDropDown="0" showInputMessage="0" showErrorMessage="0" allowBlank="0" type="list">
      <formula1>=$E$2:$E$8</formula1>
    </dataValidation>
  </dataValidations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</cols>
  <sheetData>
    <row r="1" ht="30" customHeight="1">
      <c r="A1" s="1" t="inlineStr">
        <is>
          <t>Month</t>
        </is>
      </c>
      <c r="B1" s="1" t="inlineStr">
        <is>
          <t>Date</t>
        </is>
      </c>
      <c r="C1" s="1" t="inlineStr">
        <is>
          <t>Weekday</t>
        </is>
      </c>
    </row>
    <row r="2">
      <c r="A2" s="6">
        <f>IF(AND(ISNUMBER(Dates!$B$2),ISNUMBER(Dates!$B$5),ISNUMBER(Dates!$B$6),Dates!$B$2&gt;=1900,Dates!$B$2&lt;=9999,Dates!$B$2=INT(Dates!$B$2),Dates!$B$5&gt;=1,Dates!$B$5&lt;=5,Dates!$B$5=INT(Dates!$B$5)),DATE(Dates!$B$2,1,1),"")</f>
        <v/>
      </c>
      <c r="B2" s="5">
        <f>IF(A2="","",IF(MONTH(A2+MOD(Dates!$B$6-WEEKDAY(A2,1),7)+7*(Dates!$B$5-1))=MONTH(A2),A2+MOD(Dates!$B$6-WEEKDAY(A2,1),7)+7*(Dates!$B$5-1),"No such date"))</f>
        <v/>
      </c>
      <c r="C2" s="7">
        <f>IF(ISNUMBER(B2),Dates!$B$4,"")</f>
        <v/>
      </c>
    </row>
    <row r="3">
      <c r="A3" s="6">
        <f>IF(A2="","",EDATE(A2,1))</f>
        <v/>
      </c>
      <c r="B3" s="5">
        <f>IF(A3="","",IF(MONTH(A3+MOD(Dates!$B$6-WEEKDAY(A3,1),7)+7*(Dates!$B$5-1))=MONTH(A3),A3+MOD(Dates!$B$6-WEEKDAY(A3,1),7)+7*(Dates!$B$5-1),"No such date"))</f>
        <v/>
      </c>
      <c r="C3" s="7">
        <f>IF(ISNUMBER(B3),Dates!$B$4,"")</f>
        <v/>
      </c>
    </row>
    <row r="4">
      <c r="A4" s="6">
        <f>IF(A3="","",EDATE(A3,1))</f>
        <v/>
      </c>
      <c r="B4" s="5">
        <f>IF(A4="","",IF(MONTH(A4+MOD(Dates!$B$6-WEEKDAY(A4,1),7)+7*(Dates!$B$5-1))=MONTH(A4),A4+MOD(Dates!$B$6-WEEKDAY(A4,1),7)+7*(Dates!$B$5-1),"No such date"))</f>
        <v/>
      </c>
      <c r="C4" s="7">
        <f>IF(ISNUMBER(B4),Dates!$B$4,"")</f>
        <v/>
      </c>
    </row>
    <row r="5">
      <c r="A5" s="6">
        <f>IF(A4="","",EDATE(A4,1))</f>
        <v/>
      </c>
      <c r="B5" s="5">
        <f>IF(A5="","",IF(MONTH(A5+MOD(Dates!$B$6-WEEKDAY(A5,1),7)+7*(Dates!$B$5-1))=MONTH(A5),A5+MOD(Dates!$B$6-WEEKDAY(A5,1),7)+7*(Dates!$B$5-1),"No such date"))</f>
        <v/>
      </c>
      <c r="C5" s="7">
        <f>IF(ISNUMBER(B5),Dates!$B$4,"")</f>
        <v/>
      </c>
    </row>
    <row r="6">
      <c r="A6" s="6">
        <f>IF(A5="","",EDATE(A5,1))</f>
        <v/>
      </c>
      <c r="B6" s="5">
        <f>IF(A6="","",IF(MONTH(A6+MOD(Dates!$B$6-WEEKDAY(A6,1),7)+7*(Dates!$B$5-1))=MONTH(A6),A6+MOD(Dates!$B$6-WEEKDAY(A6,1),7)+7*(Dates!$B$5-1),"No such date"))</f>
        <v/>
      </c>
      <c r="C6" s="7">
        <f>IF(ISNUMBER(B6),Dates!$B$4,"")</f>
        <v/>
      </c>
    </row>
    <row r="7">
      <c r="A7" s="6">
        <f>IF(A6="","",EDATE(A6,1))</f>
        <v/>
      </c>
      <c r="B7" s="5">
        <f>IF(A7="","",IF(MONTH(A7+MOD(Dates!$B$6-WEEKDAY(A7,1),7)+7*(Dates!$B$5-1))=MONTH(A7),A7+MOD(Dates!$B$6-WEEKDAY(A7,1),7)+7*(Dates!$B$5-1),"No such date"))</f>
        <v/>
      </c>
      <c r="C7" s="7">
        <f>IF(ISNUMBER(B7),Dates!$B$4,"")</f>
        <v/>
      </c>
    </row>
    <row r="8">
      <c r="A8" s="6">
        <f>IF(A7="","",EDATE(A7,1))</f>
        <v/>
      </c>
      <c r="B8" s="5">
        <f>IF(A8="","",IF(MONTH(A8+MOD(Dates!$B$6-WEEKDAY(A8,1),7)+7*(Dates!$B$5-1))=MONTH(A8),A8+MOD(Dates!$B$6-WEEKDAY(A8,1),7)+7*(Dates!$B$5-1),"No such date"))</f>
        <v/>
      </c>
      <c r="C8" s="7">
        <f>IF(ISNUMBER(B8),Dates!$B$4,"")</f>
        <v/>
      </c>
    </row>
    <row r="9">
      <c r="A9" s="6">
        <f>IF(A8="","",EDATE(A8,1))</f>
        <v/>
      </c>
      <c r="B9" s="5">
        <f>IF(A9="","",IF(MONTH(A9+MOD(Dates!$B$6-WEEKDAY(A9,1),7)+7*(Dates!$B$5-1))=MONTH(A9),A9+MOD(Dates!$B$6-WEEKDAY(A9,1),7)+7*(Dates!$B$5-1),"No such date"))</f>
        <v/>
      </c>
      <c r="C9" s="7">
        <f>IF(ISNUMBER(B9),Dates!$B$4,"")</f>
        <v/>
      </c>
    </row>
    <row r="10">
      <c r="A10" s="6">
        <f>IF(A9="","",EDATE(A9,1))</f>
        <v/>
      </c>
      <c r="B10" s="5">
        <f>IF(A10="","",IF(MONTH(A10+MOD(Dates!$B$6-WEEKDAY(A10,1),7)+7*(Dates!$B$5-1))=MONTH(A10),A10+MOD(Dates!$B$6-WEEKDAY(A10,1),7)+7*(Dates!$B$5-1),"No such date"))</f>
        <v/>
      </c>
      <c r="C10" s="7">
        <f>IF(ISNUMBER(B10),Dates!$B$4,"")</f>
        <v/>
      </c>
    </row>
    <row r="11">
      <c r="A11" s="6">
        <f>IF(A10="","",EDATE(A10,1))</f>
        <v/>
      </c>
      <c r="B11" s="5">
        <f>IF(A11="","",IF(MONTH(A11+MOD(Dates!$B$6-WEEKDAY(A11,1),7)+7*(Dates!$B$5-1))=MONTH(A11),A11+MOD(Dates!$B$6-WEEKDAY(A11,1),7)+7*(Dates!$B$5-1),"No such date"))</f>
        <v/>
      </c>
      <c r="C11" s="7">
        <f>IF(ISNUMBER(B11),Dates!$B$4,"")</f>
        <v/>
      </c>
    </row>
    <row r="12">
      <c r="A12" s="6">
        <f>IF(A11="","",EDATE(A11,1))</f>
        <v/>
      </c>
      <c r="B12" s="5">
        <f>IF(A12="","",IF(MONTH(A12+MOD(Dates!$B$6-WEEKDAY(A12,1),7)+7*(Dates!$B$5-1))=MONTH(A12),A12+MOD(Dates!$B$6-WEEKDAY(A12,1),7)+7*(Dates!$B$5-1),"No such date"))</f>
        <v/>
      </c>
      <c r="C12" s="7">
        <f>IF(ISNUMBER(B12),Dates!$B$4,"")</f>
        <v/>
      </c>
    </row>
    <row r="13">
      <c r="A13" s="6">
        <f>IF(A12="","",EDATE(A12,1))</f>
        <v/>
      </c>
      <c r="B13" s="5">
        <f>IF(A13="","",IF(MONTH(A13+MOD(Dates!$B$6-WEEKDAY(A13,1),7)+7*(Dates!$B$5-1))=MONTH(A13),A13+MOD(Dates!$B$6-WEEKDAY(A13,1),7)+7*(Dates!$B$5-1),"No such date"))</f>
        <v/>
      </c>
      <c r="C13" s="7">
        <f>IF(ISNUMBER(B13),Dates!$B$4,"")</f>
        <v/>
      </c>
    </row>
  </sheetData>
  <conditionalFormatting sqref="B2:B13">
    <cfRule type="expression" priority="1" dxfId="0">
      <formula>B2="No such date"</formula>
    </cfRule>
  </conditionalFormatting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Tidy Tabs: Date of the Nth Weekday of a Month</t>
        </is>
      </c>
    </row>
    <row r="2">
      <c r="A2" s="9" t="inlineStr"/>
    </row>
    <row r="3">
      <c r="A3" s="9" t="inlineStr">
        <is>
          <t>1. Dates tab: type the year, the month number, pick the weekday from the dropdown and type which one you want (1 to 5) in B2 to B5 (yellow).</t>
        </is>
      </c>
    </row>
    <row r="4">
      <c r="A4" s="9" t="inlineStr">
        <is>
          <t>2. B6 turns the weekday name into a number with MATCH (1 = Sunday to 7 = Saturday, the WEEKDAY default).</t>
        </is>
      </c>
    </row>
    <row r="5">
      <c r="A5" s="9" t="inlineStr">
        <is>
          <t>3. B8: =DATE(B2,B3,1)+MOD(B6-WEEKDAY(DATE(B2,B3,1),1),7)+7*(B5-1). The first part finds the first wanted weekday on or after the 1st, the last part adds 7 days for each extra week.</t>
        </is>
      </c>
    </row>
    <row r="6">
      <c r="A6" s="9" t="inlineStr">
        <is>
          <t>4. B8 is wrapped in a MONTH check. If the result lands in the next month (for example a 5th Saturday that does not exist), it shows No such date.</t>
        </is>
      </c>
    </row>
    <row r="7">
      <c r="A7" s="9" t="inlineStr">
        <is>
          <t>5. B9 is the last such weekday of the month: =EOMONTH(DATE(B2,B3,1),0)-MOD(WEEKDAY(EOMONTH(DATE(B2,B3,1),0),1)-B6,7). It steps back from the last day of the month.</t>
        </is>
      </c>
    </row>
    <row r="8">
      <c r="A8" s="9" t="inlineStr">
        <is>
          <t>6. A month typed as 13 would roll into the next year inside DATE, so B7 checks the inputs first and the results show Check inputs. A year typed as text does the same.</t>
        </is>
      </c>
    </row>
    <row r="9">
      <c r="A9" s="9" t="inlineStr">
        <is>
          <t>7. Schedule tab: the same weekday and number for all 12 months of the year in B2. Change the yellow cells on Dates and it follows.</t>
        </is>
      </c>
    </row>
    <row r="10">
      <c r="A10" s="9" t="inlineStr"/>
    </row>
    <row r="11">
      <c r="A11" s="9" t="inlineStr">
        <is>
          <t>This is date math only. It does not know about holidays or market rules. Checked in LibreOffice Calc only; not opened in Excel or Google Sheets.</t>
        </is>
      </c>
    </row>
    <row r="12">
      <c r="A12" s="9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2026-10-16T07:33:09Z</dcterms:created>
  <dcterms:modified xmlns:dcterms="http://purl.org/dc/terms/" xmlns:xsi="http://www.w3.org/2001/XMLSchema-instance" xsi:type="dcterms:W3CDTF">2026-10-16T07:33:09Z</dcterms:modified>
</cp:coreProperties>
</file>