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Summary" sheetId="2" state="visible" r:id="rId2"/>
    <sheet name="How to use" sheetId="3" state="visible" r:id="rId3"/>
  </sheets>
  <definedNames>
    <definedName name="_xlnm.Print_Titles" localSheetId="0">'Orders'!$1:$1</definedName>
    <definedName name="_xlnm.Print_Area" localSheetId="0">'Orders'!$A$1:$F$41</definedName>
    <definedName name="_xlnm.Print_Titles" localSheetId="1">'Summary'!$1:$1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0.0%"/>
    <numFmt numFmtId="167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165" fontId="0" fillId="3" borderId="0" pivotButton="0" quotePrefix="0" xfId="0"/>
    <xf numFmtId="1" fontId="0" fillId="4" borderId="0" pivotButton="0" quotePrefix="0" xfId="0"/>
    <xf numFmtId="0" fontId="0" fillId="4" borderId="0" pivotButton="0" quotePrefix="0" xfId="0"/>
    <xf numFmtId="165" fontId="0" fillId="0" borderId="0" pivotButton="0" quotePrefix="0" xfId="0"/>
    <xf numFmtId="1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" fontId="0" fillId="4" borderId="0" applyAlignment="1" pivotButton="0" quotePrefix="0" xfId="0">
      <alignment horizontal="right"/>
    </xf>
    <xf numFmtId="166" fontId="0" fillId="4" borderId="0" applyAlignment="1" pivotButton="0" quotePrefix="0" xfId="0">
      <alignment horizontal="right"/>
    </xf>
    <xf numFmtId="167" fontId="0" fillId="4" borderId="0" applyAlignment="1" pivotButton="0" quotePrefix="0" xfId="0">
      <alignment horizontal="right"/>
    </xf>
    <xf numFmtId="0" fontId="0" fillId="4" borderId="0" applyAlignment="1" pivotButton="0" quotePrefix="0" xfId="0">
      <alignment horizontal="right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3" customWidth="1" min="4" max="4"/>
    <col width="10" customWidth="1" min="5" max="5"/>
    <col width="13" customWidth="1" min="6" max="6"/>
  </cols>
  <sheetData>
    <row r="1" ht="30" customHeight="1">
      <c r="A1" s="1" t="inlineStr">
        <is>
          <t>Order ID</t>
        </is>
      </c>
      <c r="B1" s="1" t="inlineStr">
        <is>
          <t>Order date</t>
        </is>
      </c>
      <c r="C1" s="1" t="inlineStr">
        <is>
          <t>Ship-by date</t>
        </is>
      </c>
      <c r="D1" s="1" t="inlineStr">
        <is>
          <t>Shipped date</t>
        </is>
      </c>
      <c r="E1" s="1" t="inlineStr">
        <is>
          <t>Days late</t>
        </is>
      </c>
      <c r="F1" s="1" t="inlineStr">
        <is>
          <t>Status</t>
        </is>
      </c>
    </row>
    <row r="2">
      <c r="A2" s="2" t="inlineStr">
        <is>
          <t>#2401</t>
        </is>
      </c>
      <c r="B2" s="3" t="n">
        <v>46266</v>
      </c>
      <c r="C2" s="3" t="n">
        <v>46269</v>
      </c>
      <c r="D2" s="3" t="n">
        <v>46267</v>
      </c>
      <c r="E2" s="4">
        <f>IF(F2="Late",D2-C2,IF(F2="On time",0,""))</f>
        <v/>
      </c>
      <c r="F2" s="5">
        <f>IF(A2="","",IF(OR(NOT(ISNUMBER(B2)),NOT(ISNUMBER(C2))),"Check",IF(D2="","Not shipped",IF(NOT(ISNUMBER(D2)),"Check",IF(OR(D2&lt;B2,C2&lt;B2),"Check",IF(D2&lt;=C2,"On time","Late"))))))</f>
        <v/>
      </c>
    </row>
    <row r="3">
      <c r="A3" s="2" t="inlineStr">
        <is>
          <t>#2402</t>
        </is>
      </c>
      <c r="B3" s="3" t="n">
        <v>46267</v>
      </c>
      <c r="C3" s="3" t="n">
        <v>46270</v>
      </c>
      <c r="D3" s="3" t="n">
        <v>46269</v>
      </c>
      <c r="E3" s="4">
        <f>IF(F3="Late",D3-C3,IF(F3="On time",0,""))</f>
        <v/>
      </c>
      <c r="F3" s="5">
        <f>IF(A3="","",IF(OR(NOT(ISNUMBER(B3)),NOT(ISNUMBER(C3))),"Check",IF(D3="","Not shipped",IF(NOT(ISNUMBER(D3)),"Check",IF(OR(D3&lt;B3,C3&lt;B3),"Check",IF(D3&lt;=C3,"On time","Late"))))))</f>
        <v/>
      </c>
    </row>
    <row r="4">
      <c r="A4" s="2" t="inlineStr">
        <is>
          <t>#2403</t>
        </is>
      </c>
      <c r="B4" s="3" t="n">
        <v>46268</v>
      </c>
      <c r="C4" s="3" t="n">
        <v>46271</v>
      </c>
      <c r="D4" s="3" t="n">
        <v>46271</v>
      </c>
      <c r="E4" s="4">
        <f>IF(F4="Late",D4-C4,IF(F4="On time",0,""))</f>
        <v/>
      </c>
      <c r="F4" s="5">
        <f>IF(A4="","",IF(OR(NOT(ISNUMBER(B4)),NOT(ISNUMBER(C4))),"Check",IF(D4="","Not shipped",IF(NOT(ISNUMBER(D4)),"Check",IF(OR(D4&lt;B4,C4&lt;B4),"Check",IF(D4&lt;=C4,"On time","Late"))))))</f>
        <v/>
      </c>
    </row>
    <row r="5">
      <c r="A5" s="2" t="inlineStr">
        <is>
          <t>#2404</t>
        </is>
      </c>
      <c r="B5" s="3" t="n">
        <v>46269</v>
      </c>
      <c r="C5" s="3" t="n">
        <v>46272</v>
      </c>
      <c r="D5" s="3" t="n">
        <v>46272</v>
      </c>
      <c r="E5" s="4">
        <f>IF(F5="Late",D5-C5,IF(F5="On time",0,""))</f>
        <v/>
      </c>
      <c r="F5" s="5">
        <f>IF(A5="","",IF(OR(NOT(ISNUMBER(B5)),NOT(ISNUMBER(C5))),"Check",IF(D5="","Not shipped",IF(NOT(ISNUMBER(D5)),"Check",IF(OR(D5&lt;B5,C5&lt;B5),"Check",IF(D5&lt;=C5,"On time","Late"))))))</f>
        <v/>
      </c>
    </row>
    <row r="6">
      <c r="A6" s="2" t="inlineStr">
        <is>
          <t>#2405</t>
        </is>
      </c>
      <c r="B6" s="3" t="n">
        <v>46270</v>
      </c>
      <c r="C6" s="3" t="n">
        <v>46273</v>
      </c>
      <c r="D6" s="3" t="n">
        <v>46274</v>
      </c>
      <c r="E6" s="4">
        <f>IF(F6="Late",D6-C6,IF(F6="On time",0,""))</f>
        <v/>
      </c>
      <c r="F6" s="5">
        <f>IF(A6="","",IF(OR(NOT(ISNUMBER(B6)),NOT(ISNUMBER(C6))),"Check",IF(D6="","Not shipped",IF(NOT(ISNUMBER(D6)),"Check",IF(OR(D6&lt;B6,C6&lt;B6),"Check",IF(D6&lt;=C6,"On time","Late"))))))</f>
        <v/>
      </c>
    </row>
    <row r="7">
      <c r="A7" s="2" t="inlineStr">
        <is>
          <t>#2406</t>
        </is>
      </c>
      <c r="B7" s="3" t="n">
        <v>46271</v>
      </c>
      <c r="C7" s="3" t="n">
        <v>46274</v>
      </c>
      <c r="D7" s="3" t="n">
        <v>46273</v>
      </c>
      <c r="E7" s="4">
        <f>IF(F7="Late",D7-C7,IF(F7="On time",0,""))</f>
        <v/>
      </c>
      <c r="F7" s="5">
        <f>IF(A7="","",IF(OR(NOT(ISNUMBER(B7)),NOT(ISNUMBER(C7))),"Check",IF(D7="","Not shipped",IF(NOT(ISNUMBER(D7)),"Check",IF(OR(D7&lt;B7,C7&lt;B7),"Check",IF(D7&lt;=C7,"On time","Late"))))))</f>
        <v/>
      </c>
    </row>
    <row r="8">
      <c r="A8" s="2" t="inlineStr">
        <is>
          <t>#2407</t>
        </is>
      </c>
      <c r="B8" s="3" t="n">
        <v>46272</v>
      </c>
      <c r="C8" s="3" t="n">
        <v>46275</v>
      </c>
      <c r="D8" s="3" t="n">
        <v>46272</v>
      </c>
      <c r="E8" s="4">
        <f>IF(F8="Late",D8-C8,IF(F8="On time",0,""))</f>
        <v/>
      </c>
      <c r="F8" s="5">
        <f>IF(A8="","",IF(OR(NOT(ISNUMBER(B8)),NOT(ISNUMBER(C8))),"Check",IF(D8="","Not shipped",IF(NOT(ISNUMBER(D8)),"Check",IF(OR(D8&lt;B8,C8&lt;B8),"Check",IF(D8&lt;=C8,"On time","Late"))))))</f>
        <v/>
      </c>
    </row>
    <row r="9">
      <c r="A9" s="2" t="inlineStr">
        <is>
          <t>#2408</t>
        </is>
      </c>
      <c r="B9" s="3" t="n">
        <v>46273</v>
      </c>
      <c r="C9" s="3" t="n">
        <v>46276</v>
      </c>
      <c r="D9" s="3" t="n">
        <v>46276</v>
      </c>
      <c r="E9" s="4">
        <f>IF(F9="Late",D9-C9,IF(F9="On time",0,""))</f>
        <v/>
      </c>
      <c r="F9" s="5">
        <f>IF(A9="","",IF(OR(NOT(ISNUMBER(B9)),NOT(ISNUMBER(C9))),"Check",IF(D9="","Not shipped",IF(NOT(ISNUMBER(D9)),"Check",IF(OR(D9&lt;B9,C9&lt;B9),"Check",IF(D9&lt;=C9,"On time","Late"))))))</f>
        <v/>
      </c>
    </row>
    <row r="10">
      <c r="A10" s="2" t="inlineStr">
        <is>
          <t>#2409</t>
        </is>
      </c>
      <c r="B10" s="3" t="n">
        <v>46274</v>
      </c>
      <c r="C10" s="3" t="n">
        <v>46277</v>
      </c>
      <c r="D10" s="3" t="n">
        <v>46279</v>
      </c>
      <c r="E10" s="4">
        <f>IF(F10="Late",D10-C10,IF(F10="On time",0,""))</f>
        <v/>
      </c>
      <c r="F10" s="5">
        <f>IF(A10="","",IF(OR(NOT(ISNUMBER(B10)),NOT(ISNUMBER(C10))),"Check",IF(D10="","Not shipped",IF(NOT(ISNUMBER(D10)),"Check",IF(OR(D10&lt;B10,C10&lt;B10),"Check",IF(D10&lt;=C10,"On time","Late"))))))</f>
        <v/>
      </c>
    </row>
    <row r="11">
      <c r="A11" s="2" t="inlineStr">
        <is>
          <t>#2410</t>
        </is>
      </c>
      <c r="B11" s="3" t="n">
        <v>46275</v>
      </c>
      <c r="C11" s="3" t="n">
        <v>46278</v>
      </c>
      <c r="D11" s="3" t="n">
        <v>46277</v>
      </c>
      <c r="E11" s="4">
        <f>IF(F11="Late",D11-C11,IF(F11="On time",0,""))</f>
        <v/>
      </c>
      <c r="F11" s="5">
        <f>IF(A11="","",IF(OR(NOT(ISNUMBER(B11)),NOT(ISNUMBER(C11))),"Check",IF(D11="","Not shipped",IF(NOT(ISNUMBER(D11)),"Check",IF(OR(D11&lt;B11,C11&lt;B11),"Check",IF(D11&lt;=C11,"On time","Late"))))))</f>
        <v/>
      </c>
    </row>
    <row r="12">
      <c r="A12" s="2" t="inlineStr">
        <is>
          <t>#2411</t>
        </is>
      </c>
      <c r="B12" s="3" t="n">
        <v>46276</v>
      </c>
      <c r="C12" s="3" t="n">
        <v>46279</v>
      </c>
      <c r="D12" s="3" t="n">
        <v>46279</v>
      </c>
      <c r="E12" s="4">
        <f>IF(F12="Late",D12-C12,IF(F12="On time",0,""))</f>
        <v/>
      </c>
      <c r="F12" s="5">
        <f>IF(A12="","",IF(OR(NOT(ISNUMBER(B12)),NOT(ISNUMBER(C12))),"Check",IF(D12="","Not shipped",IF(NOT(ISNUMBER(D12)),"Check",IF(OR(D12&lt;B12,C12&lt;B12),"Check",IF(D12&lt;=C12,"On time","Late"))))))</f>
        <v/>
      </c>
    </row>
    <row r="13">
      <c r="A13" s="2" t="inlineStr">
        <is>
          <t>#2412</t>
        </is>
      </c>
      <c r="B13" s="3" t="n">
        <v>46277</v>
      </c>
      <c r="C13" s="3" t="n">
        <v>46280</v>
      </c>
      <c r="D13" s="3" t="n">
        <v>46278</v>
      </c>
      <c r="E13" s="4">
        <f>IF(F13="Late",D13-C13,IF(F13="On time",0,""))</f>
        <v/>
      </c>
      <c r="F13" s="5">
        <f>IF(A13="","",IF(OR(NOT(ISNUMBER(B13)),NOT(ISNUMBER(C13))),"Check",IF(D13="","Not shipped",IF(NOT(ISNUMBER(D13)),"Check",IF(OR(D13&lt;B13,C13&lt;B13),"Check",IF(D13&lt;=C13,"On time","Late"))))))</f>
        <v/>
      </c>
    </row>
    <row r="14">
      <c r="A14" s="2" t="inlineStr">
        <is>
          <t>#2413</t>
        </is>
      </c>
      <c r="B14" s="3" t="n">
        <v>46278</v>
      </c>
      <c r="C14" s="3" t="n">
        <v>46281</v>
      </c>
      <c r="D14" s="3" t="n">
        <v>46280</v>
      </c>
      <c r="E14" s="4">
        <f>IF(F14="Late",D14-C14,IF(F14="On time",0,""))</f>
        <v/>
      </c>
      <c r="F14" s="5">
        <f>IF(A14="","",IF(OR(NOT(ISNUMBER(B14)),NOT(ISNUMBER(C14))),"Check",IF(D14="","Not shipped",IF(NOT(ISNUMBER(D14)),"Check",IF(OR(D14&lt;B14,C14&lt;B14),"Check",IF(D14&lt;=C14,"On time","Late"))))))</f>
        <v/>
      </c>
    </row>
    <row r="15">
      <c r="A15" s="2" t="inlineStr">
        <is>
          <t>#2414</t>
        </is>
      </c>
      <c r="B15" s="3" t="n">
        <v>46279</v>
      </c>
      <c r="C15" s="3" t="n">
        <v>46282</v>
      </c>
      <c r="D15" s="3" t="n">
        <v>46286</v>
      </c>
      <c r="E15" s="4">
        <f>IF(F15="Late",D15-C15,IF(F15="On time",0,""))</f>
        <v/>
      </c>
      <c r="F15" s="5">
        <f>IF(A15="","",IF(OR(NOT(ISNUMBER(B15)),NOT(ISNUMBER(C15))),"Check",IF(D15="","Not shipped",IF(NOT(ISNUMBER(D15)),"Check",IF(OR(D15&lt;B15,C15&lt;B15),"Check",IF(D15&lt;=C15,"On time","Late"))))))</f>
        <v/>
      </c>
    </row>
    <row r="16">
      <c r="A16" s="2" t="inlineStr">
        <is>
          <t>#2415</t>
        </is>
      </c>
      <c r="B16" s="3" t="n">
        <v>46280</v>
      </c>
      <c r="C16" s="3" t="n">
        <v>46283</v>
      </c>
      <c r="D16" s="3" t="n">
        <v>46283</v>
      </c>
      <c r="E16" s="4">
        <f>IF(F16="Late",D16-C16,IF(F16="On time",0,""))</f>
        <v/>
      </c>
      <c r="F16" s="5">
        <f>IF(A16="","",IF(OR(NOT(ISNUMBER(B16)),NOT(ISNUMBER(C16))),"Check",IF(D16="","Not shipped",IF(NOT(ISNUMBER(D16)),"Check",IF(OR(D16&lt;B16,C16&lt;B16),"Check",IF(D16&lt;=C16,"On time","Late"))))))</f>
        <v/>
      </c>
    </row>
    <row r="17">
      <c r="A17" s="2" t="inlineStr">
        <is>
          <t>#2416</t>
        </is>
      </c>
      <c r="B17" s="3" t="n">
        <v>46281</v>
      </c>
      <c r="C17" s="3" t="n">
        <v>46284</v>
      </c>
      <c r="D17" s="3" t="n">
        <v>46283</v>
      </c>
      <c r="E17" s="4">
        <f>IF(F17="Late",D17-C17,IF(F17="On time",0,""))</f>
        <v/>
      </c>
      <c r="F17" s="5">
        <f>IF(A17="","",IF(OR(NOT(ISNUMBER(B17)),NOT(ISNUMBER(C17))),"Check",IF(D17="","Not shipped",IF(NOT(ISNUMBER(D17)),"Check",IF(OR(D17&lt;B17,C17&lt;B17),"Check",IF(D17&lt;=C17,"On time","Late"))))))</f>
        <v/>
      </c>
    </row>
    <row r="18">
      <c r="A18" s="2" t="inlineStr">
        <is>
          <t>#2417</t>
        </is>
      </c>
      <c r="B18" s="3" t="n">
        <v>46282</v>
      </c>
      <c r="C18" s="3" t="n">
        <v>46285</v>
      </c>
      <c r="D18" s="3" t="n">
        <v>46283</v>
      </c>
      <c r="E18" s="4">
        <f>IF(F18="Late",D18-C18,IF(F18="On time",0,""))</f>
        <v/>
      </c>
      <c r="F18" s="5">
        <f>IF(A18="","",IF(OR(NOT(ISNUMBER(B18)),NOT(ISNUMBER(C18))),"Check",IF(D18="","Not shipped",IF(NOT(ISNUMBER(D18)),"Check",IF(OR(D18&lt;B18,C18&lt;B18),"Check",IF(D18&lt;=C18,"On time","Late"))))))</f>
        <v/>
      </c>
    </row>
    <row r="19">
      <c r="A19" s="2" t="inlineStr">
        <is>
          <t>#2418</t>
        </is>
      </c>
      <c r="B19" s="3" t="n">
        <v>46283</v>
      </c>
      <c r="C19" s="3" t="n">
        <v>46286</v>
      </c>
      <c r="D19" s="3" t="n">
        <v>46286</v>
      </c>
      <c r="E19" s="4">
        <f>IF(F19="Late",D19-C19,IF(F19="On time",0,""))</f>
        <v/>
      </c>
      <c r="F19" s="5">
        <f>IF(A19="","",IF(OR(NOT(ISNUMBER(B19)),NOT(ISNUMBER(C19))),"Check",IF(D19="","Not shipped",IF(NOT(ISNUMBER(D19)),"Check",IF(OR(D19&lt;B19,C19&lt;B19),"Check",IF(D19&lt;=C19,"On time","Late"))))))</f>
        <v/>
      </c>
    </row>
    <row r="20">
      <c r="A20" s="2" t="inlineStr">
        <is>
          <t>#2419</t>
        </is>
      </c>
      <c r="B20" s="3" t="n">
        <v>46284</v>
      </c>
      <c r="C20" s="3" t="n">
        <v>46287</v>
      </c>
      <c r="D20" s="3" t="n">
        <v>46288</v>
      </c>
      <c r="E20" s="4">
        <f>IF(F20="Late",D20-C20,IF(F20="On time",0,""))</f>
        <v/>
      </c>
      <c r="F20" s="5">
        <f>IF(A20="","",IF(OR(NOT(ISNUMBER(B20)),NOT(ISNUMBER(C20))),"Check",IF(D20="","Not shipped",IF(NOT(ISNUMBER(D20)),"Check",IF(OR(D20&lt;B20,C20&lt;B20),"Check",IF(D20&lt;=C20,"On time","Late"))))))</f>
        <v/>
      </c>
    </row>
    <row r="21">
      <c r="A21" s="2" t="inlineStr">
        <is>
          <t>#2420</t>
        </is>
      </c>
      <c r="B21" s="3" t="n">
        <v>46285</v>
      </c>
      <c r="C21" s="3" t="n">
        <v>46288</v>
      </c>
      <c r="D21" s="3" t="n">
        <v>46287</v>
      </c>
      <c r="E21" s="4">
        <f>IF(F21="Late",D21-C21,IF(F21="On time",0,""))</f>
        <v/>
      </c>
      <c r="F21" s="5">
        <f>IF(A21="","",IF(OR(NOT(ISNUMBER(B21)),NOT(ISNUMBER(C21))),"Check",IF(D21="","Not shipped",IF(NOT(ISNUMBER(D21)),"Check",IF(OR(D21&lt;B21,C21&lt;B21),"Check",IF(D21&lt;=C21,"On time","Late"))))))</f>
        <v/>
      </c>
    </row>
    <row r="22">
      <c r="A22" s="2" t="inlineStr">
        <is>
          <t>#2421</t>
        </is>
      </c>
      <c r="B22" s="3" t="n">
        <v>46286</v>
      </c>
      <c r="C22" s="3" t="n">
        <v>46289</v>
      </c>
      <c r="D22" s="3" t="n">
        <v>46289</v>
      </c>
      <c r="E22" s="4">
        <f>IF(F22="Late",D22-C22,IF(F22="On time",0,""))</f>
        <v/>
      </c>
      <c r="F22" s="5">
        <f>IF(A22="","",IF(OR(NOT(ISNUMBER(B22)),NOT(ISNUMBER(C22))),"Check",IF(D22="","Not shipped",IF(NOT(ISNUMBER(D22)),"Check",IF(OR(D22&lt;B22,C22&lt;B22),"Check",IF(D22&lt;=C22,"On time","Late"))))))</f>
        <v/>
      </c>
    </row>
    <row r="23">
      <c r="A23" s="2" t="inlineStr">
        <is>
          <t>#2422</t>
        </is>
      </c>
      <c r="B23" s="3" t="n">
        <v>46287</v>
      </c>
      <c r="C23" s="3" t="n">
        <v>46290</v>
      </c>
      <c r="D23" s="3" t="n">
        <v>46287</v>
      </c>
      <c r="E23" s="4">
        <f>IF(F23="Late",D23-C23,IF(F23="On time",0,""))</f>
        <v/>
      </c>
      <c r="F23" s="5">
        <f>IF(A23="","",IF(OR(NOT(ISNUMBER(B23)),NOT(ISNUMBER(C23))),"Check",IF(D23="","Not shipped",IF(NOT(ISNUMBER(D23)),"Check",IF(OR(D23&lt;B23,C23&lt;B23),"Check",IF(D23&lt;=C23,"On time","Late"))))))</f>
        <v/>
      </c>
    </row>
    <row r="24">
      <c r="A24" s="2" t="inlineStr">
        <is>
          <t>#2423</t>
        </is>
      </c>
      <c r="B24" s="3" t="n">
        <v>46288</v>
      </c>
      <c r="C24" s="3" t="n">
        <v>46291</v>
      </c>
      <c r="D24" s="3" t="n">
        <v>46290</v>
      </c>
      <c r="E24" s="4">
        <f>IF(F24="Late",D24-C24,IF(F24="On time",0,""))</f>
        <v/>
      </c>
      <c r="F24" s="5">
        <f>IF(A24="","",IF(OR(NOT(ISNUMBER(B24)),NOT(ISNUMBER(C24))),"Check",IF(D24="","Not shipped",IF(NOT(ISNUMBER(D24)),"Check",IF(OR(D24&lt;B24,C24&lt;B24),"Check",IF(D24&lt;=C24,"On time","Late"))))))</f>
        <v/>
      </c>
    </row>
    <row r="25">
      <c r="A25" s="2" t="inlineStr">
        <is>
          <t>#2424</t>
        </is>
      </c>
      <c r="B25" s="3" t="n">
        <v>46289</v>
      </c>
      <c r="C25" s="3" t="n">
        <v>46292</v>
      </c>
      <c r="D25" s="3" t="n">
        <v>46292</v>
      </c>
      <c r="E25" s="4">
        <f>IF(F25="Late",D25-C25,IF(F25="On time",0,""))</f>
        <v/>
      </c>
      <c r="F25" s="5">
        <f>IF(A25="","",IF(OR(NOT(ISNUMBER(B25)),NOT(ISNUMBER(C25))),"Check",IF(D25="","Not shipped",IF(NOT(ISNUMBER(D25)),"Check",IF(OR(D25&lt;B25,C25&lt;B25),"Check",IF(D25&lt;=C25,"On time","Late"))))))</f>
        <v/>
      </c>
    </row>
    <row r="26">
      <c r="A26" s="2" t="inlineStr">
        <is>
          <t>#2425</t>
        </is>
      </c>
      <c r="B26" s="3" t="n">
        <v>46290</v>
      </c>
      <c r="C26" s="3" t="n">
        <v>46293</v>
      </c>
      <c r="D26" s="3" t="n">
        <v>46296</v>
      </c>
      <c r="E26" s="4">
        <f>IF(F26="Late",D26-C26,IF(F26="On time",0,""))</f>
        <v/>
      </c>
      <c r="F26" s="5">
        <f>IF(A26="","",IF(OR(NOT(ISNUMBER(B26)),NOT(ISNUMBER(C26))),"Check",IF(D26="","Not shipped",IF(NOT(ISNUMBER(D26)),"Check",IF(OR(D26&lt;B26,C26&lt;B26),"Check",IF(D26&lt;=C26,"On time","Late"))))))</f>
        <v/>
      </c>
    </row>
    <row r="27">
      <c r="A27" s="2" t="inlineStr">
        <is>
          <t>#2426</t>
        </is>
      </c>
      <c r="B27" s="3" t="n">
        <v>46291</v>
      </c>
      <c r="C27" s="3" t="n">
        <v>46294</v>
      </c>
      <c r="D27" s="3" t="n">
        <v>46292</v>
      </c>
      <c r="E27" s="4">
        <f>IF(F27="Late",D27-C27,IF(F27="On time",0,""))</f>
        <v/>
      </c>
      <c r="F27" s="5">
        <f>IF(A27="","",IF(OR(NOT(ISNUMBER(B27)),NOT(ISNUMBER(C27))),"Check",IF(D27="","Not shipped",IF(NOT(ISNUMBER(D27)),"Check",IF(OR(D27&lt;B27,C27&lt;B27),"Check",IF(D27&lt;=C27,"On time","Late"))))))</f>
        <v/>
      </c>
    </row>
    <row r="28">
      <c r="A28" s="2" t="inlineStr">
        <is>
          <t>#2427</t>
        </is>
      </c>
      <c r="B28" s="3" t="n">
        <v>46292</v>
      </c>
      <c r="C28" s="3" t="n">
        <v>46295</v>
      </c>
      <c r="D28" s="3" t="n">
        <v>46294</v>
      </c>
      <c r="E28" s="4">
        <f>IF(F28="Late",D28-C28,IF(F28="On time",0,""))</f>
        <v/>
      </c>
      <c r="F28" s="5">
        <f>IF(A28="","",IF(OR(NOT(ISNUMBER(B28)),NOT(ISNUMBER(C28))),"Check",IF(D28="","Not shipped",IF(NOT(ISNUMBER(D28)),"Check",IF(OR(D28&lt;B28,C28&lt;B28),"Check",IF(D28&lt;=C28,"On time","Late"))))))</f>
        <v/>
      </c>
    </row>
    <row r="29">
      <c r="A29" s="2" t="inlineStr">
        <is>
          <t>#2428</t>
        </is>
      </c>
      <c r="B29" s="3" t="n">
        <v>46293</v>
      </c>
      <c r="C29" s="3" t="n">
        <v>46296</v>
      </c>
      <c r="D29" s="3" t="n">
        <v>46296</v>
      </c>
      <c r="E29" s="4">
        <f>IF(F29="Late",D29-C29,IF(F29="On time",0,""))</f>
        <v/>
      </c>
      <c r="F29" s="5">
        <f>IF(A29="","",IF(OR(NOT(ISNUMBER(B29)),NOT(ISNUMBER(C29))),"Check",IF(D29="","Not shipped",IF(NOT(ISNUMBER(D29)),"Check",IF(OR(D29&lt;B29,C29&lt;B29),"Check",IF(D29&lt;=C29,"On time","Late"))))))</f>
        <v/>
      </c>
    </row>
    <row r="30">
      <c r="A30" s="2" t="inlineStr">
        <is>
          <t>#2429</t>
        </is>
      </c>
      <c r="B30" s="3" t="n">
        <v>46294</v>
      </c>
      <c r="C30" s="3" t="n">
        <v>46297</v>
      </c>
      <c r="D30" s="3" t="n"/>
      <c r="E30" s="4">
        <f>IF(F30="Late",D30-C30,IF(F30="On time",0,""))</f>
        <v/>
      </c>
      <c r="F30" s="5">
        <f>IF(A30="","",IF(OR(NOT(ISNUMBER(B30)),NOT(ISNUMBER(C30))),"Check",IF(D30="","Not shipped",IF(NOT(ISNUMBER(D30)),"Check",IF(OR(D30&lt;B30,C30&lt;B30),"Check",IF(D30&lt;=C30,"On time","Late"))))))</f>
        <v/>
      </c>
    </row>
    <row r="31">
      <c r="A31" s="2" t="inlineStr">
        <is>
          <t>#2430</t>
        </is>
      </c>
      <c r="B31" s="3" t="n">
        <v>46295</v>
      </c>
      <c r="C31" s="3" t="n">
        <v>46298</v>
      </c>
      <c r="D31" s="3" t="n"/>
      <c r="E31" s="4">
        <f>IF(F31="Late",D31-C31,IF(F31="On time",0,""))</f>
        <v/>
      </c>
      <c r="F31" s="5">
        <f>IF(A31="","",IF(OR(NOT(ISNUMBER(B31)),NOT(ISNUMBER(C31))),"Check",IF(D31="","Not shipped",IF(NOT(ISNUMBER(D31)),"Check",IF(OR(D31&lt;B31,C31&lt;B31),"Check",IF(D31&lt;=C31,"On time","Late"))))))</f>
        <v/>
      </c>
    </row>
    <row r="32">
      <c r="A32" s="2" t="n"/>
      <c r="B32" s="3" t="n"/>
      <c r="C32" s="3" t="n"/>
      <c r="D32" s="3" t="n"/>
      <c r="E32" s="4">
        <f>IF(F32="Late",D32-C32,IF(F32="On time",0,""))</f>
        <v/>
      </c>
      <c r="F32" s="5">
        <f>IF(A32="","",IF(OR(NOT(ISNUMBER(B32)),NOT(ISNUMBER(C32))),"Check",IF(D32="","Not shipped",IF(NOT(ISNUMBER(D32)),"Check",IF(OR(D32&lt;B32,C32&lt;B32),"Check",IF(D32&lt;=C32,"On time","Late"))))))</f>
        <v/>
      </c>
    </row>
    <row r="33">
      <c r="A33" s="2" t="n"/>
      <c r="B33" s="3" t="n"/>
      <c r="C33" s="3" t="n"/>
      <c r="D33" s="3" t="n"/>
      <c r="E33" s="4">
        <f>IF(F33="Late",D33-C33,IF(F33="On time",0,""))</f>
        <v/>
      </c>
      <c r="F33" s="5">
        <f>IF(A33="","",IF(OR(NOT(ISNUMBER(B33)),NOT(ISNUMBER(C33))),"Check",IF(D33="","Not shipped",IF(NOT(ISNUMBER(D33)),"Check",IF(OR(D33&lt;B33,C33&lt;B33),"Check",IF(D33&lt;=C33,"On time","Late"))))))</f>
        <v/>
      </c>
    </row>
    <row r="34">
      <c r="A34" s="2" t="n"/>
      <c r="B34" s="3" t="n"/>
      <c r="C34" s="3" t="n"/>
      <c r="D34" s="3" t="n"/>
      <c r="E34" s="4">
        <f>IF(F34="Late",D34-C34,IF(F34="On time",0,""))</f>
        <v/>
      </c>
      <c r="F34" s="5">
        <f>IF(A34="","",IF(OR(NOT(ISNUMBER(B34)),NOT(ISNUMBER(C34))),"Check",IF(D34="","Not shipped",IF(NOT(ISNUMBER(D34)),"Check",IF(OR(D34&lt;B34,C34&lt;B34),"Check",IF(D34&lt;=C34,"On time","Late"))))))</f>
        <v/>
      </c>
    </row>
    <row r="35">
      <c r="A35" s="2" t="n"/>
      <c r="B35" s="3" t="n"/>
      <c r="C35" s="3" t="n"/>
      <c r="D35" s="3" t="n"/>
      <c r="E35" s="4">
        <f>IF(F35="Late",D35-C35,IF(F35="On time",0,""))</f>
        <v/>
      </c>
      <c r="F35" s="5">
        <f>IF(A35="","",IF(OR(NOT(ISNUMBER(B35)),NOT(ISNUMBER(C35))),"Check",IF(D35="","Not shipped",IF(NOT(ISNUMBER(D35)),"Check",IF(OR(D35&lt;B35,C35&lt;B35),"Check",IF(D35&lt;=C35,"On time","Late"))))))</f>
        <v/>
      </c>
    </row>
    <row r="36">
      <c r="A36" s="2" t="n"/>
      <c r="B36" s="3" t="n"/>
      <c r="C36" s="3" t="n"/>
      <c r="D36" s="3" t="n"/>
      <c r="E36" s="4">
        <f>IF(F36="Late",D36-C36,IF(F36="On time",0,""))</f>
        <v/>
      </c>
      <c r="F36" s="5">
        <f>IF(A36="","",IF(OR(NOT(ISNUMBER(B36)),NOT(ISNUMBER(C36))),"Check",IF(D36="","Not shipped",IF(NOT(ISNUMBER(D36)),"Check",IF(OR(D36&lt;B36,C36&lt;B36),"Check",IF(D36&lt;=C36,"On time","Late"))))))</f>
        <v/>
      </c>
    </row>
    <row r="37">
      <c r="A37" s="2" t="n"/>
      <c r="B37" s="3" t="n"/>
      <c r="C37" s="3" t="n"/>
      <c r="D37" s="3" t="n"/>
      <c r="E37" s="4">
        <f>IF(F37="Late",D37-C37,IF(F37="On time",0,""))</f>
        <v/>
      </c>
      <c r="F37" s="5">
        <f>IF(A37="","",IF(OR(NOT(ISNUMBER(B37)),NOT(ISNUMBER(C37))),"Check",IF(D37="","Not shipped",IF(NOT(ISNUMBER(D37)),"Check",IF(OR(D37&lt;B37,C37&lt;B37),"Check",IF(D37&lt;=C37,"On time","Late"))))))</f>
        <v/>
      </c>
    </row>
    <row r="38">
      <c r="A38" s="2" t="n"/>
      <c r="B38" s="3" t="n"/>
      <c r="C38" s="3" t="n"/>
      <c r="D38" s="3" t="n"/>
      <c r="E38" s="4">
        <f>IF(F38="Late",D38-C38,IF(F38="On time",0,""))</f>
        <v/>
      </c>
      <c r="F38" s="5">
        <f>IF(A38="","",IF(OR(NOT(ISNUMBER(B38)),NOT(ISNUMBER(C38))),"Check",IF(D38="","Not shipped",IF(NOT(ISNUMBER(D38)),"Check",IF(OR(D38&lt;B38,C38&lt;B38),"Check",IF(D38&lt;=C38,"On time","Late"))))))</f>
        <v/>
      </c>
    </row>
    <row r="39">
      <c r="A39" s="2" t="n"/>
      <c r="B39" s="3" t="n"/>
      <c r="C39" s="3" t="n"/>
      <c r="D39" s="3" t="n"/>
      <c r="E39" s="4">
        <f>IF(F39="Late",D39-C39,IF(F39="On time",0,""))</f>
        <v/>
      </c>
      <c r="F39" s="5">
        <f>IF(A39="","",IF(OR(NOT(ISNUMBER(B39)),NOT(ISNUMBER(C39))),"Check",IF(D39="","Not shipped",IF(NOT(ISNUMBER(D39)),"Check",IF(OR(D39&lt;B39,C39&lt;B39),"Check",IF(D39&lt;=C39,"On time","Late"))))))</f>
        <v/>
      </c>
    </row>
    <row r="40">
      <c r="A40" s="2" t="n"/>
      <c r="B40" s="3" t="n"/>
      <c r="C40" s="3" t="n"/>
      <c r="D40" s="3" t="n"/>
      <c r="E40" s="4">
        <f>IF(F40="Late",D40-C40,IF(F40="On time",0,""))</f>
        <v/>
      </c>
      <c r="F40" s="5">
        <f>IF(A40="","",IF(OR(NOT(ISNUMBER(B40)),NOT(ISNUMBER(C40))),"Check",IF(D40="","Not shipped",IF(NOT(ISNUMBER(D40)),"Check",IF(OR(D40&lt;B40,C40&lt;B40),"Check",IF(D40&lt;=C40,"On time","Late"))))))</f>
        <v/>
      </c>
    </row>
    <row r="41">
      <c r="A41" s="2" t="n"/>
      <c r="B41" s="3" t="n"/>
      <c r="C41" s="3" t="n"/>
      <c r="D41" s="3" t="n"/>
      <c r="E41" s="4">
        <f>IF(F41="Late",D41-C41,IF(F41="On time",0,""))</f>
        <v/>
      </c>
      <c r="F41" s="5">
        <f>IF(A41="","",IF(OR(NOT(ISNUMBER(B41)),NOT(ISNUMBER(C41))),"Check",IF(D41="","Not shipped",IF(NOT(ISNUMBER(D41)),"Check",IF(OR(D41&lt;B41,C41&lt;B41),"Check",IF(D41&lt;=C41,"On time","Late"))))))</f>
        <v/>
      </c>
    </row>
    <row r="42">
      <c r="A42" s="2" t="n"/>
      <c r="B42" s="3" t="n"/>
      <c r="C42" s="3" t="n"/>
      <c r="D42" s="3" t="n"/>
      <c r="E42" s="4">
        <f>IF(F42="Late",D42-C42,IF(F42="On time",0,""))</f>
        <v/>
      </c>
      <c r="F42" s="5">
        <f>IF(A42="","",IF(OR(NOT(ISNUMBER(B42)),NOT(ISNUMBER(C42))),"Check",IF(D42="","Not shipped",IF(NOT(ISNUMBER(D42)),"Check",IF(OR(D42&lt;B42,C42&lt;B42),"Check",IF(D42&lt;=C42,"On time","Late"))))))</f>
        <v/>
      </c>
    </row>
    <row r="43">
      <c r="A43" s="2" t="n"/>
      <c r="B43" s="3" t="n"/>
      <c r="C43" s="3" t="n"/>
      <c r="D43" s="3" t="n"/>
      <c r="E43" s="4">
        <f>IF(F43="Late",D43-C43,IF(F43="On time",0,""))</f>
        <v/>
      </c>
      <c r="F43" s="5">
        <f>IF(A43="","",IF(OR(NOT(ISNUMBER(B43)),NOT(ISNUMBER(C43))),"Check",IF(D43="","Not shipped",IF(NOT(ISNUMBER(D43)),"Check",IF(OR(D43&lt;B43,C43&lt;B43),"Check",IF(D43&lt;=C43,"On time","Late"))))))</f>
        <v/>
      </c>
    </row>
    <row r="44">
      <c r="A44" s="2" t="n"/>
      <c r="B44" s="3" t="n"/>
      <c r="C44" s="3" t="n"/>
      <c r="D44" s="3" t="n"/>
      <c r="E44" s="4">
        <f>IF(F44="Late",D44-C44,IF(F44="On time",0,""))</f>
        <v/>
      </c>
      <c r="F44" s="5">
        <f>IF(A44="","",IF(OR(NOT(ISNUMBER(B44)),NOT(ISNUMBER(C44))),"Check",IF(D44="","Not shipped",IF(NOT(ISNUMBER(D44)),"Check",IF(OR(D44&lt;B44,C44&lt;B44),"Check",IF(D44&lt;=C44,"On time","Late"))))))</f>
        <v/>
      </c>
    </row>
    <row r="45">
      <c r="A45" s="2" t="n"/>
      <c r="B45" s="3" t="n"/>
      <c r="C45" s="3" t="n"/>
      <c r="D45" s="3" t="n"/>
      <c r="E45" s="4">
        <f>IF(F45="Late",D45-C45,IF(F45="On time",0,""))</f>
        <v/>
      </c>
      <c r="F45" s="5">
        <f>IF(A45="","",IF(OR(NOT(ISNUMBER(B45)),NOT(ISNUMBER(C45))),"Check",IF(D45="","Not shipped",IF(NOT(ISNUMBER(D45)),"Check",IF(OR(D45&lt;B45,C45&lt;B45),"Check",IF(D45&lt;=C45,"On time","Late"))))))</f>
        <v/>
      </c>
    </row>
    <row r="46">
      <c r="A46" s="2" t="n"/>
      <c r="B46" s="3" t="n"/>
      <c r="C46" s="3" t="n"/>
      <c r="D46" s="3" t="n"/>
      <c r="E46" s="4">
        <f>IF(F46="Late",D46-C46,IF(F46="On time",0,""))</f>
        <v/>
      </c>
      <c r="F46" s="5">
        <f>IF(A46="","",IF(OR(NOT(ISNUMBER(B46)),NOT(ISNUMBER(C46))),"Check",IF(D46="","Not shipped",IF(NOT(ISNUMBER(D46)),"Check",IF(OR(D46&lt;B46,C46&lt;B46),"Check",IF(D46&lt;=C46,"On time","Late"))))))</f>
        <v/>
      </c>
    </row>
    <row r="47">
      <c r="A47" s="2" t="n"/>
      <c r="B47" s="3" t="n"/>
      <c r="C47" s="3" t="n"/>
      <c r="D47" s="3" t="n"/>
      <c r="E47" s="4">
        <f>IF(F47="Late",D47-C47,IF(F47="On time",0,""))</f>
        <v/>
      </c>
      <c r="F47" s="5">
        <f>IF(A47="","",IF(OR(NOT(ISNUMBER(B47)),NOT(ISNUMBER(C47))),"Check",IF(D47="","Not shipped",IF(NOT(ISNUMBER(D47)),"Check",IF(OR(D47&lt;B47,C47&lt;B47),"Check",IF(D47&lt;=C47,"On time","Late"))))))</f>
        <v/>
      </c>
    </row>
    <row r="48">
      <c r="A48" s="2" t="n"/>
      <c r="B48" s="3" t="n"/>
      <c r="C48" s="3" t="n"/>
      <c r="D48" s="3" t="n"/>
      <c r="E48" s="4">
        <f>IF(F48="Late",D48-C48,IF(F48="On time",0,""))</f>
        <v/>
      </c>
      <c r="F48" s="5">
        <f>IF(A48="","",IF(OR(NOT(ISNUMBER(B48)),NOT(ISNUMBER(C48))),"Check",IF(D48="","Not shipped",IF(NOT(ISNUMBER(D48)),"Check",IF(OR(D48&lt;B48,C48&lt;B48),"Check",IF(D48&lt;=C48,"On time","Late"))))))</f>
        <v/>
      </c>
    </row>
    <row r="49">
      <c r="A49" s="2" t="n"/>
      <c r="B49" s="3" t="n"/>
      <c r="C49" s="3" t="n"/>
      <c r="D49" s="3" t="n"/>
      <c r="E49" s="4">
        <f>IF(F49="Late",D49-C49,IF(F49="On time",0,""))</f>
        <v/>
      </c>
      <c r="F49" s="5">
        <f>IF(A49="","",IF(OR(NOT(ISNUMBER(B49)),NOT(ISNUMBER(C49))),"Check",IF(D49="","Not shipped",IF(NOT(ISNUMBER(D49)),"Check",IF(OR(D49&lt;B49,C49&lt;B49),"Check",IF(D49&lt;=C49,"On time","Late"))))))</f>
        <v/>
      </c>
    </row>
    <row r="50">
      <c r="A50" s="2" t="n"/>
      <c r="B50" s="3" t="n"/>
      <c r="C50" s="3" t="n"/>
      <c r="D50" s="3" t="n"/>
      <c r="E50" s="4">
        <f>IF(F50="Late",D50-C50,IF(F50="On time",0,""))</f>
        <v/>
      </c>
      <c r="F50" s="5">
        <f>IF(A50="","",IF(OR(NOT(ISNUMBER(B50)),NOT(ISNUMBER(C50))),"Check",IF(D50="","Not shipped",IF(NOT(ISNUMBER(D50)),"Check",IF(OR(D50&lt;B50,C50&lt;B50),"Check",IF(D50&lt;=C50,"On time","Late"))))))</f>
        <v/>
      </c>
    </row>
    <row r="51">
      <c r="A51" s="2" t="n"/>
      <c r="B51" s="3" t="n"/>
      <c r="C51" s="3" t="n"/>
      <c r="D51" s="3" t="n"/>
      <c r="E51" s="4">
        <f>IF(F51="Late",D51-C51,IF(F51="On time",0,""))</f>
        <v/>
      </c>
      <c r="F51" s="5">
        <f>IF(A51="","",IF(OR(NOT(ISNUMBER(B51)),NOT(ISNUMBER(C51))),"Check",IF(D51="","Not shipped",IF(NOT(ISNUMBER(D51)),"Check",IF(OR(D51&lt;B51,C51&lt;B51),"Check",IF(D51&lt;=C51,"On time","Late"))))))</f>
        <v/>
      </c>
    </row>
    <row r="52">
      <c r="A52" s="2" t="n"/>
      <c r="B52" s="3" t="n"/>
      <c r="C52" s="3" t="n"/>
      <c r="D52" s="3" t="n"/>
      <c r="E52" s="4">
        <f>IF(F52="Late",D52-C52,IF(F52="On time",0,""))</f>
        <v/>
      </c>
      <c r="F52" s="5">
        <f>IF(A52="","",IF(OR(NOT(ISNUMBER(B52)),NOT(ISNUMBER(C52))),"Check",IF(D52="","Not shipped",IF(NOT(ISNUMBER(D52)),"Check",IF(OR(D52&lt;B52,C52&lt;B52),"Check",IF(D52&lt;=C52,"On time","Late"))))))</f>
        <v/>
      </c>
    </row>
    <row r="53">
      <c r="A53" s="2" t="n"/>
      <c r="B53" s="3" t="n"/>
      <c r="C53" s="3" t="n"/>
      <c r="D53" s="3" t="n"/>
      <c r="E53" s="4">
        <f>IF(F53="Late",D53-C53,IF(F53="On time",0,""))</f>
        <v/>
      </c>
      <c r="F53" s="5">
        <f>IF(A53="","",IF(OR(NOT(ISNUMBER(B53)),NOT(ISNUMBER(C53))),"Check",IF(D53="","Not shipped",IF(NOT(ISNUMBER(D53)),"Check",IF(OR(D53&lt;B53,C53&lt;B53),"Check",IF(D53&lt;=C53,"On time","Late"))))))</f>
        <v/>
      </c>
    </row>
    <row r="54">
      <c r="A54" s="2" t="n"/>
      <c r="B54" s="3" t="n"/>
      <c r="C54" s="3" t="n"/>
      <c r="D54" s="3" t="n"/>
      <c r="E54" s="4">
        <f>IF(F54="Late",D54-C54,IF(F54="On time",0,""))</f>
        <v/>
      </c>
      <c r="F54" s="5">
        <f>IF(A54="","",IF(OR(NOT(ISNUMBER(B54)),NOT(ISNUMBER(C54))),"Check",IF(D54="","Not shipped",IF(NOT(ISNUMBER(D54)),"Check",IF(OR(D54&lt;B54,C54&lt;B54),"Check",IF(D54&lt;=C54,"On time","Late"))))))</f>
        <v/>
      </c>
    </row>
    <row r="55">
      <c r="A55" s="2" t="n"/>
      <c r="B55" s="3" t="n"/>
      <c r="C55" s="3" t="n"/>
      <c r="D55" s="3" t="n"/>
      <c r="E55" s="4">
        <f>IF(F55="Late",D55-C55,IF(F55="On time",0,""))</f>
        <v/>
      </c>
      <c r="F55" s="5">
        <f>IF(A55="","",IF(OR(NOT(ISNUMBER(B55)),NOT(ISNUMBER(C55))),"Check",IF(D55="","Not shipped",IF(NOT(ISNUMBER(D55)),"Check",IF(OR(D55&lt;B55,C55&lt;B55),"Check",IF(D55&lt;=C55,"On time","Late"))))))</f>
        <v/>
      </c>
    </row>
    <row r="56">
      <c r="A56" s="2" t="n"/>
      <c r="B56" s="3" t="n"/>
      <c r="C56" s="3" t="n"/>
      <c r="D56" s="3" t="n"/>
      <c r="E56" s="4">
        <f>IF(F56="Late",D56-C56,IF(F56="On time",0,""))</f>
        <v/>
      </c>
      <c r="F56" s="5">
        <f>IF(A56="","",IF(OR(NOT(ISNUMBER(B56)),NOT(ISNUMBER(C56))),"Check",IF(D56="","Not shipped",IF(NOT(ISNUMBER(D56)),"Check",IF(OR(D56&lt;B56,C56&lt;B56),"Check",IF(D56&lt;=C56,"On time","Late"))))))</f>
        <v/>
      </c>
    </row>
    <row r="57">
      <c r="A57" s="2" t="n"/>
      <c r="B57" s="3" t="n"/>
      <c r="C57" s="3" t="n"/>
      <c r="D57" s="3" t="n"/>
      <c r="E57" s="4">
        <f>IF(F57="Late",D57-C57,IF(F57="On time",0,""))</f>
        <v/>
      </c>
      <c r="F57" s="5">
        <f>IF(A57="","",IF(OR(NOT(ISNUMBER(B57)),NOT(ISNUMBER(C57))),"Check",IF(D57="","Not shipped",IF(NOT(ISNUMBER(D57)),"Check",IF(OR(D57&lt;B57,C57&lt;B57),"Check",IF(D57&lt;=C57,"On time","Late"))))))</f>
        <v/>
      </c>
    </row>
    <row r="58">
      <c r="A58" s="2" t="n"/>
      <c r="B58" s="3" t="n"/>
      <c r="C58" s="3" t="n"/>
      <c r="D58" s="3" t="n"/>
      <c r="E58" s="4">
        <f>IF(F58="Late",D58-C58,IF(F58="On time",0,""))</f>
        <v/>
      </c>
      <c r="F58" s="5">
        <f>IF(A58="","",IF(OR(NOT(ISNUMBER(B58)),NOT(ISNUMBER(C58))),"Check",IF(D58="","Not shipped",IF(NOT(ISNUMBER(D58)),"Check",IF(OR(D58&lt;B58,C58&lt;B58),"Check",IF(D58&lt;=C58,"On time","Late"))))))</f>
        <v/>
      </c>
    </row>
    <row r="59">
      <c r="A59" s="2" t="n"/>
      <c r="B59" s="3" t="n"/>
      <c r="C59" s="3" t="n"/>
      <c r="D59" s="3" t="n"/>
      <c r="E59" s="4">
        <f>IF(F59="Late",D59-C59,IF(F59="On time",0,""))</f>
        <v/>
      </c>
      <c r="F59" s="5">
        <f>IF(A59="","",IF(OR(NOT(ISNUMBER(B59)),NOT(ISNUMBER(C59))),"Check",IF(D59="","Not shipped",IF(NOT(ISNUMBER(D59)),"Check",IF(OR(D59&lt;B59,C59&lt;B59),"Check",IF(D59&lt;=C59,"On time","Late"))))))</f>
        <v/>
      </c>
    </row>
    <row r="60">
      <c r="A60" s="2" t="n"/>
      <c r="B60" s="3" t="n"/>
      <c r="C60" s="3" t="n"/>
      <c r="D60" s="3" t="n"/>
      <c r="E60" s="4">
        <f>IF(F60="Late",D60-C60,IF(F60="On time",0,""))</f>
        <v/>
      </c>
      <c r="F60" s="5">
        <f>IF(A60="","",IF(OR(NOT(ISNUMBER(B60)),NOT(ISNUMBER(C60))),"Check",IF(D60="","Not shipped",IF(NOT(ISNUMBER(D60)),"Check",IF(OR(D60&lt;B60,C60&lt;B60),"Check",IF(D60&lt;=C60,"On time","Late"))))))</f>
        <v/>
      </c>
    </row>
    <row r="61">
      <c r="B61" s="6" t="n"/>
      <c r="C61" s="6" t="n"/>
      <c r="D61" s="6" t="n"/>
      <c r="E61" s="7">
        <f>IF(F61="Late",D61-C61,IF(F61="On time",0,""))</f>
        <v/>
      </c>
      <c r="F61">
        <f>IF(A61="","",IF(OR(NOT(ISNUMBER(B61)),NOT(ISNUMBER(C61))),"Check",IF(D61="","Not shipped",IF(NOT(ISNUMBER(D61)),"Check",IF(OR(D61&lt;B61,C61&lt;B61),"Check",IF(D61&lt;=C61,"On time","Late"))))))</f>
        <v/>
      </c>
    </row>
    <row r="62">
      <c r="B62" s="6" t="n"/>
      <c r="C62" s="6" t="n"/>
      <c r="D62" s="6" t="n"/>
      <c r="E62" s="7">
        <f>IF(F62="Late",D62-C62,IF(F62="On time",0,""))</f>
        <v/>
      </c>
      <c r="F62">
        <f>IF(A62="","",IF(OR(NOT(ISNUMBER(B62)),NOT(ISNUMBER(C62))),"Check",IF(D62="","Not shipped",IF(NOT(ISNUMBER(D62)),"Check",IF(OR(D62&lt;B62,C62&lt;B62),"Check",IF(D62&lt;=C62,"On time","Late"))))))</f>
        <v/>
      </c>
    </row>
    <row r="63">
      <c r="B63" s="6" t="n"/>
      <c r="C63" s="6" t="n"/>
      <c r="D63" s="6" t="n"/>
      <c r="E63" s="7">
        <f>IF(F63="Late",D63-C63,IF(F63="On time",0,""))</f>
        <v/>
      </c>
      <c r="F63">
        <f>IF(A63="","",IF(OR(NOT(ISNUMBER(B63)),NOT(ISNUMBER(C63))),"Check",IF(D63="","Not shipped",IF(NOT(ISNUMBER(D63)),"Check",IF(OR(D63&lt;B63,C63&lt;B63),"Check",IF(D63&lt;=C63,"On time","Late"))))))</f>
        <v/>
      </c>
    </row>
    <row r="64">
      <c r="B64" s="6" t="n"/>
      <c r="C64" s="6" t="n"/>
      <c r="D64" s="6" t="n"/>
      <c r="E64" s="7">
        <f>IF(F64="Late",D64-C64,IF(F64="On time",0,""))</f>
        <v/>
      </c>
      <c r="F64">
        <f>IF(A64="","",IF(OR(NOT(ISNUMBER(B64)),NOT(ISNUMBER(C64))),"Check",IF(D64="","Not shipped",IF(NOT(ISNUMBER(D64)),"Check",IF(OR(D64&lt;B64,C64&lt;B64),"Check",IF(D64&lt;=C64,"On time","Late"))))))</f>
        <v/>
      </c>
    </row>
    <row r="65">
      <c r="B65" s="6" t="n"/>
      <c r="C65" s="6" t="n"/>
      <c r="D65" s="6" t="n"/>
      <c r="E65" s="7">
        <f>IF(F65="Late",D65-C65,IF(F65="On time",0,""))</f>
        <v/>
      </c>
      <c r="F65">
        <f>IF(A65="","",IF(OR(NOT(ISNUMBER(B65)),NOT(ISNUMBER(C65))),"Check",IF(D65="","Not shipped",IF(NOT(ISNUMBER(D65)),"Check",IF(OR(D65&lt;B65,C65&lt;B65),"Check",IF(D65&lt;=C65,"On time","Late"))))))</f>
        <v/>
      </c>
    </row>
    <row r="66">
      <c r="B66" s="6" t="n"/>
      <c r="C66" s="6" t="n"/>
      <c r="D66" s="6" t="n"/>
      <c r="E66" s="7">
        <f>IF(F66="Late",D66-C66,IF(F66="On time",0,""))</f>
        <v/>
      </c>
      <c r="F66">
        <f>IF(A66="","",IF(OR(NOT(ISNUMBER(B66)),NOT(ISNUMBER(C66))),"Check",IF(D66="","Not shipped",IF(NOT(ISNUMBER(D66)),"Check",IF(OR(D66&lt;B66,C66&lt;B66),"Check",IF(D66&lt;=C66,"On time","Late"))))))</f>
        <v/>
      </c>
    </row>
    <row r="67">
      <c r="B67" s="6" t="n"/>
      <c r="C67" s="6" t="n"/>
      <c r="D67" s="6" t="n"/>
      <c r="E67" s="7">
        <f>IF(F67="Late",D67-C67,IF(F67="On time",0,""))</f>
        <v/>
      </c>
      <c r="F67">
        <f>IF(A67="","",IF(OR(NOT(ISNUMBER(B67)),NOT(ISNUMBER(C67))),"Check",IF(D67="","Not shipped",IF(NOT(ISNUMBER(D67)),"Check",IF(OR(D67&lt;B67,C67&lt;B67),"Check",IF(D67&lt;=C67,"On time","Late"))))))</f>
        <v/>
      </c>
    </row>
    <row r="68">
      <c r="B68" s="6" t="n"/>
      <c r="C68" s="6" t="n"/>
      <c r="D68" s="6" t="n"/>
      <c r="E68" s="7">
        <f>IF(F68="Late",D68-C68,IF(F68="On time",0,""))</f>
        <v/>
      </c>
      <c r="F68">
        <f>IF(A68="","",IF(OR(NOT(ISNUMBER(B68)),NOT(ISNUMBER(C68))),"Check",IF(D68="","Not shipped",IF(NOT(ISNUMBER(D68)),"Check",IF(OR(D68&lt;B68,C68&lt;B68),"Check",IF(D68&lt;=C68,"On time","Late"))))))</f>
        <v/>
      </c>
    </row>
    <row r="69">
      <c r="B69" s="6" t="n"/>
      <c r="C69" s="6" t="n"/>
      <c r="D69" s="6" t="n"/>
      <c r="E69" s="7">
        <f>IF(F69="Late",D69-C69,IF(F69="On time",0,""))</f>
        <v/>
      </c>
      <c r="F69">
        <f>IF(A69="","",IF(OR(NOT(ISNUMBER(B69)),NOT(ISNUMBER(C69))),"Check",IF(D69="","Not shipped",IF(NOT(ISNUMBER(D69)),"Check",IF(OR(D69&lt;B69,C69&lt;B69),"Check",IF(D69&lt;=C69,"On time","Late"))))))</f>
        <v/>
      </c>
    </row>
    <row r="70">
      <c r="B70" s="6" t="n"/>
      <c r="C70" s="6" t="n"/>
      <c r="D70" s="6" t="n"/>
      <c r="E70" s="7">
        <f>IF(F70="Late",D70-C70,IF(F70="On time",0,""))</f>
        <v/>
      </c>
      <c r="F70">
        <f>IF(A70="","",IF(OR(NOT(ISNUMBER(B70)),NOT(ISNUMBER(C70))),"Check",IF(D70="","Not shipped",IF(NOT(ISNUMBER(D70)),"Check",IF(OR(D70&lt;B70,C70&lt;B70),"Check",IF(D70&lt;=C70,"On time","Late"))))))</f>
        <v/>
      </c>
    </row>
    <row r="71">
      <c r="B71" s="6" t="n"/>
      <c r="C71" s="6" t="n"/>
      <c r="D71" s="6" t="n"/>
      <c r="E71" s="7">
        <f>IF(F71="Late",D71-C71,IF(F71="On time",0,""))</f>
        <v/>
      </c>
      <c r="F71">
        <f>IF(A71="","",IF(OR(NOT(ISNUMBER(B71)),NOT(ISNUMBER(C71))),"Check",IF(D71="","Not shipped",IF(NOT(ISNUMBER(D71)),"Check",IF(OR(D71&lt;B71,C71&lt;B71),"Check",IF(D71&lt;=C71,"On time","Late"))))))</f>
        <v/>
      </c>
    </row>
    <row r="72">
      <c r="B72" s="6" t="n"/>
      <c r="C72" s="6" t="n"/>
      <c r="D72" s="6" t="n"/>
      <c r="E72" s="7">
        <f>IF(F72="Late",D72-C72,IF(F72="On time",0,""))</f>
        <v/>
      </c>
      <c r="F72">
        <f>IF(A72="","",IF(OR(NOT(ISNUMBER(B72)),NOT(ISNUMBER(C72))),"Check",IF(D72="","Not shipped",IF(NOT(ISNUMBER(D72)),"Check",IF(OR(D72&lt;B72,C72&lt;B72),"Check",IF(D72&lt;=C72,"On time","Late"))))))</f>
        <v/>
      </c>
    </row>
    <row r="73">
      <c r="B73" s="6" t="n"/>
      <c r="C73" s="6" t="n"/>
      <c r="D73" s="6" t="n"/>
      <c r="E73" s="7">
        <f>IF(F73="Late",D73-C73,IF(F73="On time",0,""))</f>
        <v/>
      </c>
      <c r="F73">
        <f>IF(A73="","",IF(OR(NOT(ISNUMBER(B73)),NOT(ISNUMBER(C73))),"Check",IF(D73="","Not shipped",IF(NOT(ISNUMBER(D73)),"Check",IF(OR(D73&lt;B73,C73&lt;B73),"Check",IF(D73&lt;=C73,"On time","Late"))))))</f>
        <v/>
      </c>
    </row>
    <row r="74">
      <c r="B74" s="6" t="n"/>
      <c r="C74" s="6" t="n"/>
      <c r="D74" s="6" t="n"/>
      <c r="E74" s="7">
        <f>IF(F74="Late",D74-C74,IF(F74="On time",0,""))</f>
        <v/>
      </c>
      <c r="F74">
        <f>IF(A74="","",IF(OR(NOT(ISNUMBER(B74)),NOT(ISNUMBER(C74))),"Check",IF(D74="","Not shipped",IF(NOT(ISNUMBER(D74)),"Check",IF(OR(D74&lt;B74,C74&lt;B74),"Check",IF(D74&lt;=C74,"On time","Late"))))))</f>
        <v/>
      </c>
    </row>
    <row r="75">
      <c r="B75" s="6" t="n"/>
      <c r="C75" s="6" t="n"/>
      <c r="D75" s="6" t="n"/>
      <c r="E75" s="7">
        <f>IF(F75="Late",D75-C75,IF(F75="On time",0,""))</f>
        <v/>
      </c>
      <c r="F75">
        <f>IF(A75="","",IF(OR(NOT(ISNUMBER(B75)),NOT(ISNUMBER(C75))),"Check",IF(D75="","Not shipped",IF(NOT(ISNUMBER(D75)),"Check",IF(OR(D75&lt;B75,C75&lt;B75),"Check",IF(D75&lt;=C75,"On time","Late"))))))</f>
        <v/>
      </c>
    </row>
    <row r="76">
      <c r="B76" s="6" t="n"/>
      <c r="C76" s="6" t="n"/>
      <c r="D76" s="6" t="n"/>
      <c r="E76" s="7">
        <f>IF(F76="Late",D76-C76,IF(F76="On time",0,""))</f>
        <v/>
      </c>
      <c r="F76">
        <f>IF(A76="","",IF(OR(NOT(ISNUMBER(B76)),NOT(ISNUMBER(C76))),"Check",IF(D76="","Not shipped",IF(NOT(ISNUMBER(D76)),"Check",IF(OR(D76&lt;B76,C76&lt;B76),"Check",IF(D76&lt;=C76,"On time","Late"))))))</f>
        <v/>
      </c>
    </row>
    <row r="77">
      <c r="B77" s="6" t="n"/>
      <c r="C77" s="6" t="n"/>
      <c r="D77" s="6" t="n"/>
      <c r="E77" s="7">
        <f>IF(F77="Late",D77-C77,IF(F77="On time",0,""))</f>
        <v/>
      </c>
      <c r="F77">
        <f>IF(A77="","",IF(OR(NOT(ISNUMBER(B77)),NOT(ISNUMBER(C77))),"Check",IF(D77="","Not shipped",IF(NOT(ISNUMBER(D77)),"Check",IF(OR(D77&lt;B77,C77&lt;B77),"Check",IF(D77&lt;=C77,"On time","Late"))))))</f>
        <v/>
      </c>
    </row>
    <row r="78">
      <c r="B78" s="6" t="n"/>
      <c r="C78" s="6" t="n"/>
      <c r="D78" s="6" t="n"/>
      <c r="E78" s="7">
        <f>IF(F78="Late",D78-C78,IF(F78="On time",0,""))</f>
        <v/>
      </c>
      <c r="F78">
        <f>IF(A78="","",IF(OR(NOT(ISNUMBER(B78)),NOT(ISNUMBER(C78))),"Check",IF(D78="","Not shipped",IF(NOT(ISNUMBER(D78)),"Check",IF(OR(D78&lt;B78,C78&lt;B78),"Check",IF(D78&lt;=C78,"On time","Late"))))))</f>
        <v/>
      </c>
    </row>
    <row r="79">
      <c r="B79" s="6" t="n"/>
      <c r="C79" s="6" t="n"/>
      <c r="D79" s="6" t="n"/>
      <c r="E79" s="7">
        <f>IF(F79="Late",D79-C79,IF(F79="On time",0,""))</f>
        <v/>
      </c>
      <c r="F79">
        <f>IF(A79="","",IF(OR(NOT(ISNUMBER(B79)),NOT(ISNUMBER(C79))),"Check",IF(D79="","Not shipped",IF(NOT(ISNUMBER(D79)),"Check",IF(OR(D79&lt;B79,C79&lt;B79),"Check",IF(D79&lt;=C79,"On time","Late"))))))</f>
        <v/>
      </c>
    </row>
    <row r="80">
      <c r="B80" s="6" t="n"/>
      <c r="C80" s="6" t="n"/>
      <c r="D80" s="6" t="n"/>
      <c r="E80" s="7">
        <f>IF(F80="Late",D80-C80,IF(F80="On time",0,""))</f>
        <v/>
      </c>
      <c r="F80">
        <f>IF(A80="","",IF(OR(NOT(ISNUMBER(B80)),NOT(ISNUMBER(C80))),"Check",IF(D80="","Not shipped",IF(NOT(ISNUMBER(D80)),"Check",IF(OR(D80&lt;B80,C80&lt;B80),"Check",IF(D80&lt;=C80,"On time","Late"))))))</f>
        <v/>
      </c>
    </row>
    <row r="81">
      <c r="B81" s="6" t="n"/>
      <c r="C81" s="6" t="n"/>
      <c r="D81" s="6" t="n"/>
      <c r="E81" s="7">
        <f>IF(F81="Late",D81-C81,IF(F81="On time",0,""))</f>
        <v/>
      </c>
      <c r="F81">
        <f>IF(A81="","",IF(OR(NOT(ISNUMBER(B81)),NOT(ISNUMBER(C81))),"Check",IF(D81="","Not shipped",IF(NOT(ISNUMBER(D81)),"Check",IF(OR(D81&lt;B81,C81&lt;B81),"Check",IF(D81&lt;=C81,"On time","Late"))))))</f>
        <v/>
      </c>
    </row>
    <row r="82">
      <c r="B82" s="6" t="n"/>
      <c r="C82" s="6" t="n"/>
      <c r="D82" s="6" t="n"/>
      <c r="E82" s="7">
        <f>IF(F82="Late",D82-C82,IF(F82="On time",0,""))</f>
        <v/>
      </c>
      <c r="F82">
        <f>IF(A82="","",IF(OR(NOT(ISNUMBER(B82)),NOT(ISNUMBER(C82))),"Check",IF(D82="","Not shipped",IF(NOT(ISNUMBER(D82)),"Check",IF(OR(D82&lt;B82,C82&lt;B82),"Check",IF(D82&lt;=C82,"On time","Late"))))))</f>
        <v/>
      </c>
    </row>
    <row r="83">
      <c r="B83" s="6" t="n"/>
      <c r="C83" s="6" t="n"/>
      <c r="D83" s="6" t="n"/>
      <c r="E83" s="7">
        <f>IF(F83="Late",D83-C83,IF(F83="On time",0,""))</f>
        <v/>
      </c>
      <c r="F83">
        <f>IF(A83="","",IF(OR(NOT(ISNUMBER(B83)),NOT(ISNUMBER(C83))),"Check",IF(D83="","Not shipped",IF(NOT(ISNUMBER(D83)),"Check",IF(OR(D83&lt;B83,C83&lt;B83),"Check",IF(D83&lt;=C83,"On time","Late"))))))</f>
        <v/>
      </c>
    </row>
    <row r="84">
      <c r="B84" s="6" t="n"/>
      <c r="C84" s="6" t="n"/>
      <c r="D84" s="6" t="n"/>
      <c r="E84" s="7">
        <f>IF(F84="Late",D84-C84,IF(F84="On time",0,""))</f>
        <v/>
      </c>
      <c r="F84">
        <f>IF(A84="","",IF(OR(NOT(ISNUMBER(B84)),NOT(ISNUMBER(C84))),"Check",IF(D84="","Not shipped",IF(NOT(ISNUMBER(D84)),"Check",IF(OR(D84&lt;B84,C84&lt;B84),"Check",IF(D84&lt;=C84,"On time","Late"))))))</f>
        <v/>
      </c>
    </row>
    <row r="85">
      <c r="B85" s="6" t="n"/>
      <c r="C85" s="6" t="n"/>
      <c r="D85" s="6" t="n"/>
      <c r="E85" s="7">
        <f>IF(F85="Late",D85-C85,IF(F85="On time",0,""))</f>
        <v/>
      </c>
      <c r="F85">
        <f>IF(A85="","",IF(OR(NOT(ISNUMBER(B85)),NOT(ISNUMBER(C85))),"Check",IF(D85="","Not shipped",IF(NOT(ISNUMBER(D85)),"Check",IF(OR(D85&lt;B85,C85&lt;B85),"Check",IF(D85&lt;=C85,"On time","Late"))))))</f>
        <v/>
      </c>
    </row>
    <row r="86">
      <c r="B86" s="6" t="n"/>
      <c r="C86" s="6" t="n"/>
      <c r="D86" s="6" t="n"/>
      <c r="E86" s="7">
        <f>IF(F86="Late",D86-C86,IF(F86="On time",0,""))</f>
        <v/>
      </c>
      <c r="F86">
        <f>IF(A86="","",IF(OR(NOT(ISNUMBER(B86)),NOT(ISNUMBER(C86))),"Check",IF(D86="","Not shipped",IF(NOT(ISNUMBER(D86)),"Check",IF(OR(D86&lt;B86,C86&lt;B86),"Check",IF(D86&lt;=C86,"On time","Late"))))))</f>
        <v/>
      </c>
    </row>
    <row r="87">
      <c r="B87" s="6" t="n"/>
      <c r="C87" s="6" t="n"/>
      <c r="D87" s="6" t="n"/>
      <c r="E87" s="7">
        <f>IF(F87="Late",D87-C87,IF(F87="On time",0,""))</f>
        <v/>
      </c>
      <c r="F87">
        <f>IF(A87="","",IF(OR(NOT(ISNUMBER(B87)),NOT(ISNUMBER(C87))),"Check",IF(D87="","Not shipped",IF(NOT(ISNUMBER(D87)),"Check",IF(OR(D87&lt;B87,C87&lt;B87),"Check",IF(D87&lt;=C87,"On time","Late"))))))</f>
        <v/>
      </c>
    </row>
    <row r="88">
      <c r="B88" s="6" t="n"/>
      <c r="C88" s="6" t="n"/>
      <c r="D88" s="6" t="n"/>
      <c r="E88" s="7">
        <f>IF(F88="Late",D88-C88,IF(F88="On time",0,""))</f>
        <v/>
      </c>
      <c r="F88">
        <f>IF(A88="","",IF(OR(NOT(ISNUMBER(B88)),NOT(ISNUMBER(C88))),"Check",IF(D88="","Not shipped",IF(NOT(ISNUMBER(D88)),"Check",IF(OR(D88&lt;B88,C88&lt;B88),"Check",IF(D88&lt;=C88,"On time","Late"))))))</f>
        <v/>
      </c>
    </row>
    <row r="89">
      <c r="B89" s="6" t="n"/>
      <c r="C89" s="6" t="n"/>
      <c r="D89" s="6" t="n"/>
      <c r="E89" s="7">
        <f>IF(F89="Late",D89-C89,IF(F89="On time",0,""))</f>
        <v/>
      </c>
      <c r="F89">
        <f>IF(A89="","",IF(OR(NOT(ISNUMBER(B89)),NOT(ISNUMBER(C89))),"Check",IF(D89="","Not shipped",IF(NOT(ISNUMBER(D89)),"Check",IF(OR(D89&lt;B89,C89&lt;B89),"Check",IF(D89&lt;=C89,"On time","Late"))))))</f>
        <v/>
      </c>
    </row>
    <row r="90">
      <c r="B90" s="6" t="n"/>
      <c r="C90" s="6" t="n"/>
      <c r="D90" s="6" t="n"/>
      <c r="E90" s="7">
        <f>IF(F90="Late",D90-C90,IF(F90="On time",0,""))</f>
        <v/>
      </c>
      <c r="F90">
        <f>IF(A90="","",IF(OR(NOT(ISNUMBER(B90)),NOT(ISNUMBER(C90))),"Check",IF(D90="","Not shipped",IF(NOT(ISNUMBER(D90)),"Check",IF(OR(D90&lt;B90,C90&lt;B90),"Check",IF(D90&lt;=C90,"On time","Late"))))))</f>
        <v/>
      </c>
    </row>
    <row r="91">
      <c r="B91" s="6" t="n"/>
      <c r="C91" s="6" t="n"/>
      <c r="D91" s="6" t="n"/>
      <c r="E91" s="7">
        <f>IF(F91="Late",D91-C91,IF(F91="On time",0,""))</f>
        <v/>
      </c>
      <c r="F91">
        <f>IF(A91="","",IF(OR(NOT(ISNUMBER(B91)),NOT(ISNUMBER(C91))),"Check",IF(D91="","Not shipped",IF(NOT(ISNUMBER(D91)),"Check",IF(OR(D91&lt;B91,C91&lt;B91),"Check",IF(D91&lt;=C91,"On time","Late"))))))</f>
        <v/>
      </c>
    </row>
    <row r="92">
      <c r="B92" s="6" t="n"/>
      <c r="C92" s="6" t="n"/>
      <c r="D92" s="6" t="n"/>
      <c r="E92" s="7">
        <f>IF(F92="Late",D92-C92,IF(F92="On time",0,""))</f>
        <v/>
      </c>
      <c r="F92">
        <f>IF(A92="","",IF(OR(NOT(ISNUMBER(B92)),NOT(ISNUMBER(C92))),"Check",IF(D92="","Not shipped",IF(NOT(ISNUMBER(D92)),"Check",IF(OR(D92&lt;B92,C92&lt;B92),"Check",IF(D92&lt;=C92,"On time","Late"))))))</f>
        <v/>
      </c>
    </row>
    <row r="93">
      <c r="B93" s="6" t="n"/>
      <c r="C93" s="6" t="n"/>
      <c r="D93" s="6" t="n"/>
      <c r="E93" s="7">
        <f>IF(F93="Late",D93-C93,IF(F93="On time",0,""))</f>
        <v/>
      </c>
      <c r="F93">
        <f>IF(A93="","",IF(OR(NOT(ISNUMBER(B93)),NOT(ISNUMBER(C93))),"Check",IF(D93="","Not shipped",IF(NOT(ISNUMBER(D93)),"Check",IF(OR(D93&lt;B93,C93&lt;B93),"Check",IF(D93&lt;=C93,"On time","Late"))))))</f>
        <v/>
      </c>
    </row>
    <row r="94">
      <c r="B94" s="6" t="n"/>
      <c r="C94" s="6" t="n"/>
      <c r="D94" s="6" t="n"/>
      <c r="E94" s="7">
        <f>IF(F94="Late",D94-C94,IF(F94="On time",0,""))</f>
        <v/>
      </c>
      <c r="F94">
        <f>IF(A94="","",IF(OR(NOT(ISNUMBER(B94)),NOT(ISNUMBER(C94))),"Check",IF(D94="","Not shipped",IF(NOT(ISNUMBER(D94)),"Check",IF(OR(D94&lt;B94,C94&lt;B94),"Check",IF(D94&lt;=C94,"On time","Late"))))))</f>
        <v/>
      </c>
    </row>
    <row r="95">
      <c r="B95" s="6" t="n"/>
      <c r="C95" s="6" t="n"/>
      <c r="D95" s="6" t="n"/>
      <c r="E95" s="7">
        <f>IF(F95="Late",D95-C95,IF(F95="On time",0,""))</f>
        <v/>
      </c>
      <c r="F95">
        <f>IF(A95="","",IF(OR(NOT(ISNUMBER(B95)),NOT(ISNUMBER(C95))),"Check",IF(D95="","Not shipped",IF(NOT(ISNUMBER(D95)),"Check",IF(OR(D95&lt;B95,C95&lt;B95),"Check",IF(D95&lt;=C95,"On time","Late"))))))</f>
        <v/>
      </c>
    </row>
    <row r="96">
      <c r="B96" s="6" t="n"/>
      <c r="C96" s="6" t="n"/>
      <c r="D96" s="6" t="n"/>
      <c r="E96" s="7">
        <f>IF(F96="Late",D96-C96,IF(F96="On time",0,""))</f>
        <v/>
      </c>
      <c r="F96">
        <f>IF(A96="","",IF(OR(NOT(ISNUMBER(B96)),NOT(ISNUMBER(C96))),"Check",IF(D96="","Not shipped",IF(NOT(ISNUMBER(D96)),"Check",IF(OR(D96&lt;B96,C96&lt;B96),"Check",IF(D96&lt;=C96,"On time","Late"))))))</f>
        <v/>
      </c>
    </row>
    <row r="97">
      <c r="B97" s="6" t="n"/>
      <c r="C97" s="6" t="n"/>
      <c r="D97" s="6" t="n"/>
      <c r="E97" s="7">
        <f>IF(F97="Late",D97-C97,IF(F97="On time",0,""))</f>
        <v/>
      </c>
      <c r="F97">
        <f>IF(A97="","",IF(OR(NOT(ISNUMBER(B97)),NOT(ISNUMBER(C97))),"Check",IF(D97="","Not shipped",IF(NOT(ISNUMBER(D97)),"Check",IF(OR(D97&lt;B97,C97&lt;B97),"Check",IF(D97&lt;=C97,"On time","Late"))))))</f>
        <v/>
      </c>
    </row>
    <row r="98">
      <c r="B98" s="6" t="n"/>
      <c r="C98" s="6" t="n"/>
      <c r="D98" s="6" t="n"/>
      <c r="E98" s="7">
        <f>IF(F98="Late",D98-C98,IF(F98="On time",0,""))</f>
        <v/>
      </c>
      <c r="F98">
        <f>IF(A98="","",IF(OR(NOT(ISNUMBER(B98)),NOT(ISNUMBER(C98))),"Check",IF(D98="","Not shipped",IF(NOT(ISNUMBER(D98)),"Check",IF(OR(D98&lt;B98,C98&lt;B98),"Check",IF(D98&lt;=C98,"On time","Late"))))))</f>
        <v/>
      </c>
    </row>
    <row r="99">
      <c r="B99" s="6" t="n"/>
      <c r="C99" s="6" t="n"/>
      <c r="D99" s="6" t="n"/>
      <c r="E99" s="7">
        <f>IF(F99="Late",D99-C99,IF(F99="On time",0,""))</f>
        <v/>
      </c>
      <c r="F99">
        <f>IF(A99="","",IF(OR(NOT(ISNUMBER(B99)),NOT(ISNUMBER(C99))),"Check",IF(D99="","Not shipped",IF(NOT(ISNUMBER(D99)),"Check",IF(OR(D99&lt;B99,C99&lt;B99),"Check",IF(D99&lt;=C99,"On time","Late"))))))</f>
        <v/>
      </c>
    </row>
    <row r="100">
      <c r="B100" s="6" t="n"/>
      <c r="C100" s="6" t="n"/>
      <c r="D100" s="6" t="n"/>
      <c r="E100" s="7">
        <f>IF(F100="Late",D100-C100,IF(F100="On time",0,""))</f>
        <v/>
      </c>
      <c r="F100">
        <f>IF(A100="","",IF(OR(NOT(ISNUMBER(B100)),NOT(ISNUMBER(C100))),"Check",IF(D100="","Not shipped",IF(NOT(ISNUMBER(D100)),"Check",IF(OR(D100&lt;B100,C100&lt;B100),"Check",IF(D100&lt;=C100,"On time","Late"))))))</f>
        <v/>
      </c>
    </row>
    <row r="101">
      <c r="B101" s="6" t="n"/>
      <c r="C101" s="6" t="n"/>
      <c r="D101" s="6" t="n"/>
      <c r="E101" s="7">
        <f>IF(F101="Late",D101-C101,IF(F101="On time",0,""))</f>
        <v/>
      </c>
      <c r="F101">
        <f>IF(A101="","",IF(OR(NOT(ISNUMBER(B101)),NOT(ISNUMBER(C101))),"Check",IF(D101="","Not shipped",IF(NOT(ISNUMBER(D101)),"Check",IF(OR(D101&lt;B101,C101&lt;B101),"Check",IF(D101&lt;=C101,"On time","Late"))))))</f>
        <v/>
      </c>
    </row>
    <row r="102">
      <c r="B102" s="6" t="n"/>
      <c r="C102" s="6" t="n"/>
      <c r="D102" s="6" t="n"/>
      <c r="E102" s="7">
        <f>IF(F102="Late",D102-C102,IF(F102="On time",0,""))</f>
        <v/>
      </c>
      <c r="F102">
        <f>IF(A102="","",IF(OR(NOT(ISNUMBER(B102)),NOT(ISNUMBER(C102))),"Check",IF(D102="","Not shipped",IF(NOT(ISNUMBER(D102)),"Check",IF(OR(D102&lt;B102,C102&lt;B102),"Check",IF(D102&lt;=C102,"On time","Late"))))))</f>
        <v/>
      </c>
    </row>
    <row r="103">
      <c r="B103" s="6" t="n"/>
      <c r="C103" s="6" t="n"/>
      <c r="D103" s="6" t="n"/>
      <c r="E103" s="7">
        <f>IF(F103="Late",D103-C103,IF(F103="On time",0,""))</f>
        <v/>
      </c>
      <c r="F103">
        <f>IF(A103="","",IF(OR(NOT(ISNUMBER(B103)),NOT(ISNUMBER(C103))),"Check",IF(D103="","Not shipped",IF(NOT(ISNUMBER(D103)),"Check",IF(OR(D103&lt;B103,C103&lt;B103),"Check",IF(D103&lt;=C103,"On time","Late"))))))</f>
        <v/>
      </c>
    </row>
    <row r="104">
      <c r="B104" s="6" t="n"/>
      <c r="C104" s="6" t="n"/>
      <c r="D104" s="6" t="n"/>
      <c r="E104" s="7">
        <f>IF(F104="Late",D104-C104,IF(F104="On time",0,""))</f>
        <v/>
      </c>
      <c r="F104">
        <f>IF(A104="","",IF(OR(NOT(ISNUMBER(B104)),NOT(ISNUMBER(C104))),"Check",IF(D104="","Not shipped",IF(NOT(ISNUMBER(D104)),"Check",IF(OR(D104&lt;B104,C104&lt;B104),"Check",IF(D104&lt;=C104,"On time","Late"))))))</f>
        <v/>
      </c>
    </row>
    <row r="105">
      <c r="B105" s="6" t="n"/>
      <c r="C105" s="6" t="n"/>
      <c r="D105" s="6" t="n"/>
      <c r="E105" s="7">
        <f>IF(F105="Late",D105-C105,IF(F105="On time",0,""))</f>
        <v/>
      </c>
      <c r="F105">
        <f>IF(A105="","",IF(OR(NOT(ISNUMBER(B105)),NOT(ISNUMBER(C105))),"Check",IF(D105="","Not shipped",IF(NOT(ISNUMBER(D105)),"Check",IF(OR(D105&lt;B105,C105&lt;B105),"Check",IF(D105&lt;=C105,"On time","Late"))))))</f>
        <v/>
      </c>
    </row>
    <row r="106">
      <c r="B106" s="6" t="n"/>
      <c r="C106" s="6" t="n"/>
      <c r="D106" s="6" t="n"/>
      <c r="E106" s="7">
        <f>IF(F106="Late",D106-C106,IF(F106="On time",0,""))</f>
        <v/>
      </c>
      <c r="F106">
        <f>IF(A106="","",IF(OR(NOT(ISNUMBER(B106)),NOT(ISNUMBER(C106))),"Check",IF(D106="","Not shipped",IF(NOT(ISNUMBER(D106)),"Check",IF(OR(D106&lt;B106,C106&lt;B106),"Check",IF(D106&lt;=C106,"On time","Late"))))))</f>
        <v/>
      </c>
    </row>
    <row r="107">
      <c r="B107" s="6" t="n"/>
      <c r="C107" s="6" t="n"/>
      <c r="D107" s="6" t="n"/>
      <c r="E107" s="7">
        <f>IF(F107="Late",D107-C107,IF(F107="On time",0,""))</f>
        <v/>
      </c>
      <c r="F107">
        <f>IF(A107="","",IF(OR(NOT(ISNUMBER(B107)),NOT(ISNUMBER(C107))),"Check",IF(D107="","Not shipped",IF(NOT(ISNUMBER(D107)),"Check",IF(OR(D107&lt;B107,C107&lt;B107),"Check",IF(D107&lt;=C107,"On time","Late"))))))</f>
        <v/>
      </c>
    </row>
    <row r="108">
      <c r="B108" s="6" t="n"/>
      <c r="C108" s="6" t="n"/>
      <c r="D108" s="6" t="n"/>
      <c r="E108" s="7">
        <f>IF(F108="Late",D108-C108,IF(F108="On time",0,""))</f>
        <v/>
      </c>
      <c r="F108">
        <f>IF(A108="","",IF(OR(NOT(ISNUMBER(B108)),NOT(ISNUMBER(C108))),"Check",IF(D108="","Not shipped",IF(NOT(ISNUMBER(D108)),"Check",IF(OR(D108&lt;B108,C108&lt;B108),"Check",IF(D108&lt;=C108,"On time","Late"))))))</f>
        <v/>
      </c>
    </row>
    <row r="109">
      <c r="B109" s="6" t="n"/>
      <c r="C109" s="6" t="n"/>
      <c r="D109" s="6" t="n"/>
      <c r="E109" s="7">
        <f>IF(F109="Late",D109-C109,IF(F109="On time",0,""))</f>
        <v/>
      </c>
      <c r="F109">
        <f>IF(A109="","",IF(OR(NOT(ISNUMBER(B109)),NOT(ISNUMBER(C109))),"Check",IF(D109="","Not shipped",IF(NOT(ISNUMBER(D109)),"Check",IF(OR(D109&lt;B109,C109&lt;B109),"Check",IF(D109&lt;=C109,"On time","Late"))))))</f>
        <v/>
      </c>
    </row>
    <row r="110">
      <c r="B110" s="6" t="n"/>
      <c r="C110" s="6" t="n"/>
      <c r="D110" s="6" t="n"/>
      <c r="E110" s="7">
        <f>IF(F110="Late",D110-C110,IF(F110="On time",0,""))</f>
        <v/>
      </c>
      <c r="F110">
        <f>IF(A110="","",IF(OR(NOT(ISNUMBER(B110)),NOT(ISNUMBER(C110))),"Check",IF(D110="","Not shipped",IF(NOT(ISNUMBER(D110)),"Check",IF(OR(D110&lt;B110,C110&lt;B110),"Check",IF(D110&lt;=C110,"On time","Late"))))))</f>
        <v/>
      </c>
    </row>
    <row r="111">
      <c r="B111" s="6" t="n"/>
      <c r="C111" s="6" t="n"/>
      <c r="D111" s="6" t="n"/>
      <c r="E111" s="7">
        <f>IF(F111="Late",D111-C111,IF(F111="On time",0,""))</f>
        <v/>
      </c>
      <c r="F111">
        <f>IF(A111="","",IF(OR(NOT(ISNUMBER(B111)),NOT(ISNUMBER(C111))),"Check",IF(D111="","Not shipped",IF(NOT(ISNUMBER(D111)),"Check",IF(OR(D111&lt;B111,C111&lt;B111),"Check",IF(D111&lt;=C111,"On time","Late"))))))</f>
        <v/>
      </c>
    </row>
    <row r="112">
      <c r="B112" s="6" t="n"/>
      <c r="C112" s="6" t="n"/>
      <c r="D112" s="6" t="n"/>
      <c r="E112" s="7">
        <f>IF(F112="Late",D112-C112,IF(F112="On time",0,""))</f>
        <v/>
      </c>
      <c r="F112">
        <f>IF(A112="","",IF(OR(NOT(ISNUMBER(B112)),NOT(ISNUMBER(C112))),"Check",IF(D112="","Not shipped",IF(NOT(ISNUMBER(D112)),"Check",IF(OR(D112&lt;B112,C112&lt;B112),"Check",IF(D112&lt;=C112,"On time","Late"))))))</f>
        <v/>
      </c>
    </row>
    <row r="113">
      <c r="B113" s="6" t="n"/>
      <c r="C113" s="6" t="n"/>
      <c r="D113" s="6" t="n"/>
      <c r="E113" s="7">
        <f>IF(F113="Late",D113-C113,IF(F113="On time",0,""))</f>
        <v/>
      </c>
      <c r="F113">
        <f>IF(A113="","",IF(OR(NOT(ISNUMBER(B113)),NOT(ISNUMBER(C113))),"Check",IF(D113="","Not shipped",IF(NOT(ISNUMBER(D113)),"Check",IF(OR(D113&lt;B113,C113&lt;B113),"Check",IF(D113&lt;=C113,"On time","Late"))))))</f>
        <v/>
      </c>
    </row>
    <row r="114">
      <c r="B114" s="6" t="n"/>
      <c r="C114" s="6" t="n"/>
      <c r="D114" s="6" t="n"/>
      <c r="E114" s="7">
        <f>IF(F114="Late",D114-C114,IF(F114="On time",0,""))</f>
        <v/>
      </c>
      <c r="F114">
        <f>IF(A114="","",IF(OR(NOT(ISNUMBER(B114)),NOT(ISNUMBER(C114))),"Check",IF(D114="","Not shipped",IF(NOT(ISNUMBER(D114)),"Check",IF(OR(D114&lt;B114,C114&lt;B114),"Check",IF(D114&lt;=C114,"On time","Late"))))))</f>
        <v/>
      </c>
    </row>
    <row r="115">
      <c r="B115" s="6" t="n"/>
      <c r="C115" s="6" t="n"/>
      <c r="D115" s="6" t="n"/>
      <c r="E115" s="7">
        <f>IF(F115="Late",D115-C115,IF(F115="On time",0,""))</f>
        <v/>
      </c>
      <c r="F115">
        <f>IF(A115="","",IF(OR(NOT(ISNUMBER(B115)),NOT(ISNUMBER(C115))),"Check",IF(D115="","Not shipped",IF(NOT(ISNUMBER(D115)),"Check",IF(OR(D115&lt;B115,C115&lt;B115),"Check",IF(D115&lt;=C115,"On time","Late"))))))</f>
        <v/>
      </c>
    </row>
    <row r="116">
      <c r="B116" s="6" t="n"/>
      <c r="C116" s="6" t="n"/>
      <c r="D116" s="6" t="n"/>
      <c r="E116" s="7">
        <f>IF(F116="Late",D116-C116,IF(F116="On time",0,""))</f>
        <v/>
      </c>
      <c r="F116">
        <f>IF(A116="","",IF(OR(NOT(ISNUMBER(B116)),NOT(ISNUMBER(C116))),"Check",IF(D116="","Not shipped",IF(NOT(ISNUMBER(D116)),"Check",IF(OR(D116&lt;B116,C116&lt;B116),"Check",IF(D116&lt;=C116,"On time","Late"))))))</f>
        <v/>
      </c>
    </row>
    <row r="117">
      <c r="B117" s="6" t="n"/>
      <c r="C117" s="6" t="n"/>
      <c r="D117" s="6" t="n"/>
      <c r="E117" s="7">
        <f>IF(F117="Late",D117-C117,IF(F117="On time",0,""))</f>
        <v/>
      </c>
      <c r="F117">
        <f>IF(A117="","",IF(OR(NOT(ISNUMBER(B117)),NOT(ISNUMBER(C117))),"Check",IF(D117="","Not shipped",IF(NOT(ISNUMBER(D117)),"Check",IF(OR(D117&lt;B117,C117&lt;B117),"Check",IF(D117&lt;=C117,"On time","Late"))))))</f>
        <v/>
      </c>
    </row>
    <row r="118">
      <c r="B118" s="6" t="n"/>
      <c r="C118" s="6" t="n"/>
      <c r="D118" s="6" t="n"/>
      <c r="E118" s="7">
        <f>IF(F118="Late",D118-C118,IF(F118="On time",0,""))</f>
        <v/>
      </c>
      <c r="F118">
        <f>IF(A118="","",IF(OR(NOT(ISNUMBER(B118)),NOT(ISNUMBER(C118))),"Check",IF(D118="","Not shipped",IF(NOT(ISNUMBER(D118)),"Check",IF(OR(D118&lt;B118,C118&lt;B118),"Check",IF(D118&lt;=C118,"On time","Late"))))))</f>
        <v/>
      </c>
    </row>
    <row r="119">
      <c r="B119" s="6" t="n"/>
      <c r="C119" s="6" t="n"/>
      <c r="D119" s="6" t="n"/>
      <c r="E119" s="7">
        <f>IF(F119="Late",D119-C119,IF(F119="On time",0,""))</f>
        <v/>
      </c>
      <c r="F119">
        <f>IF(A119="","",IF(OR(NOT(ISNUMBER(B119)),NOT(ISNUMBER(C119))),"Check",IF(D119="","Not shipped",IF(NOT(ISNUMBER(D119)),"Check",IF(OR(D119&lt;B119,C119&lt;B119),"Check",IF(D119&lt;=C119,"On time","Late"))))))</f>
        <v/>
      </c>
    </row>
    <row r="120">
      <c r="B120" s="6" t="n"/>
      <c r="C120" s="6" t="n"/>
      <c r="D120" s="6" t="n"/>
      <c r="E120" s="7">
        <f>IF(F120="Late",D120-C120,IF(F120="On time",0,""))</f>
        <v/>
      </c>
      <c r="F120">
        <f>IF(A120="","",IF(OR(NOT(ISNUMBER(B120)),NOT(ISNUMBER(C120))),"Check",IF(D120="","Not shipped",IF(NOT(ISNUMBER(D120)),"Check",IF(OR(D120&lt;B120,C120&lt;B120),"Check",IF(D120&lt;=C120,"On time","Late"))))))</f>
        <v/>
      </c>
    </row>
    <row r="121">
      <c r="B121" s="6" t="n"/>
      <c r="C121" s="6" t="n"/>
      <c r="D121" s="6" t="n"/>
      <c r="E121" s="7">
        <f>IF(F121="Late",D121-C121,IF(F121="On time",0,""))</f>
        <v/>
      </c>
      <c r="F121">
        <f>IF(A121="","",IF(OR(NOT(ISNUMBER(B121)),NOT(ISNUMBER(C121))),"Check",IF(D121="","Not shipped",IF(NOT(ISNUMBER(D121)),"Check",IF(OR(D121&lt;B121,C121&lt;B121),"Check",IF(D121&lt;=C121,"On time","Late"))))))</f>
        <v/>
      </c>
    </row>
    <row r="122">
      <c r="B122" s="6" t="n"/>
      <c r="C122" s="6" t="n"/>
      <c r="D122" s="6" t="n"/>
      <c r="E122" s="7">
        <f>IF(F122="Late",D122-C122,IF(F122="On time",0,""))</f>
        <v/>
      </c>
      <c r="F122">
        <f>IF(A122="","",IF(OR(NOT(ISNUMBER(B122)),NOT(ISNUMBER(C122))),"Check",IF(D122="","Not shipped",IF(NOT(ISNUMBER(D122)),"Check",IF(OR(D122&lt;B122,C122&lt;B122),"Check",IF(D122&lt;=C122,"On time","Late"))))))</f>
        <v/>
      </c>
    </row>
    <row r="123">
      <c r="B123" s="6" t="n"/>
      <c r="C123" s="6" t="n"/>
      <c r="D123" s="6" t="n"/>
      <c r="E123" s="7">
        <f>IF(F123="Late",D123-C123,IF(F123="On time",0,""))</f>
        <v/>
      </c>
      <c r="F123">
        <f>IF(A123="","",IF(OR(NOT(ISNUMBER(B123)),NOT(ISNUMBER(C123))),"Check",IF(D123="","Not shipped",IF(NOT(ISNUMBER(D123)),"Check",IF(OR(D123&lt;B123,C123&lt;B123),"Check",IF(D123&lt;=C123,"On time","Late"))))))</f>
        <v/>
      </c>
    </row>
    <row r="124">
      <c r="B124" s="6" t="n"/>
      <c r="C124" s="6" t="n"/>
      <c r="D124" s="6" t="n"/>
      <c r="E124" s="7">
        <f>IF(F124="Late",D124-C124,IF(F124="On time",0,""))</f>
        <v/>
      </c>
      <c r="F124">
        <f>IF(A124="","",IF(OR(NOT(ISNUMBER(B124)),NOT(ISNUMBER(C124))),"Check",IF(D124="","Not shipped",IF(NOT(ISNUMBER(D124)),"Check",IF(OR(D124&lt;B124,C124&lt;B124),"Check",IF(D124&lt;=C124,"On time","Late"))))))</f>
        <v/>
      </c>
    </row>
    <row r="125">
      <c r="B125" s="6" t="n"/>
      <c r="C125" s="6" t="n"/>
      <c r="D125" s="6" t="n"/>
      <c r="E125" s="7">
        <f>IF(F125="Late",D125-C125,IF(F125="On time",0,""))</f>
        <v/>
      </c>
      <c r="F125">
        <f>IF(A125="","",IF(OR(NOT(ISNUMBER(B125)),NOT(ISNUMBER(C125))),"Check",IF(D125="","Not shipped",IF(NOT(ISNUMBER(D125)),"Check",IF(OR(D125&lt;B125,C125&lt;B125),"Check",IF(D125&lt;=C125,"On time","Late"))))))</f>
        <v/>
      </c>
    </row>
    <row r="126">
      <c r="B126" s="6" t="n"/>
      <c r="C126" s="6" t="n"/>
      <c r="D126" s="6" t="n"/>
      <c r="E126" s="7">
        <f>IF(F126="Late",D126-C126,IF(F126="On time",0,""))</f>
        <v/>
      </c>
      <c r="F126">
        <f>IF(A126="","",IF(OR(NOT(ISNUMBER(B126)),NOT(ISNUMBER(C126))),"Check",IF(D126="","Not shipped",IF(NOT(ISNUMBER(D126)),"Check",IF(OR(D126&lt;B126,C126&lt;B126),"Check",IF(D126&lt;=C126,"On time","Late"))))))</f>
        <v/>
      </c>
    </row>
    <row r="127">
      <c r="B127" s="6" t="n"/>
      <c r="C127" s="6" t="n"/>
      <c r="D127" s="6" t="n"/>
      <c r="E127" s="7">
        <f>IF(F127="Late",D127-C127,IF(F127="On time",0,""))</f>
        <v/>
      </c>
      <c r="F127">
        <f>IF(A127="","",IF(OR(NOT(ISNUMBER(B127)),NOT(ISNUMBER(C127))),"Check",IF(D127="","Not shipped",IF(NOT(ISNUMBER(D127)),"Check",IF(OR(D127&lt;B127,C127&lt;B127),"Check",IF(D127&lt;=C127,"On time","Late"))))))</f>
        <v/>
      </c>
    </row>
    <row r="128">
      <c r="B128" s="6" t="n"/>
      <c r="C128" s="6" t="n"/>
      <c r="D128" s="6" t="n"/>
      <c r="E128" s="7">
        <f>IF(F128="Late",D128-C128,IF(F128="On time",0,""))</f>
        <v/>
      </c>
      <c r="F128">
        <f>IF(A128="","",IF(OR(NOT(ISNUMBER(B128)),NOT(ISNUMBER(C128))),"Check",IF(D128="","Not shipped",IF(NOT(ISNUMBER(D128)),"Check",IF(OR(D128&lt;B128,C128&lt;B128),"Check",IF(D128&lt;=C128,"On time","Late"))))))</f>
        <v/>
      </c>
    </row>
    <row r="129">
      <c r="B129" s="6" t="n"/>
      <c r="C129" s="6" t="n"/>
      <c r="D129" s="6" t="n"/>
      <c r="E129" s="7">
        <f>IF(F129="Late",D129-C129,IF(F129="On time",0,""))</f>
        <v/>
      </c>
      <c r="F129">
        <f>IF(A129="","",IF(OR(NOT(ISNUMBER(B129)),NOT(ISNUMBER(C129))),"Check",IF(D129="","Not shipped",IF(NOT(ISNUMBER(D129)),"Check",IF(OR(D129&lt;B129,C129&lt;B129),"Check",IF(D129&lt;=C129,"On time","Late"))))))</f>
        <v/>
      </c>
    </row>
    <row r="130">
      <c r="B130" s="6" t="n"/>
      <c r="C130" s="6" t="n"/>
      <c r="D130" s="6" t="n"/>
      <c r="E130" s="7">
        <f>IF(F130="Late",D130-C130,IF(F130="On time",0,""))</f>
        <v/>
      </c>
      <c r="F130">
        <f>IF(A130="","",IF(OR(NOT(ISNUMBER(B130)),NOT(ISNUMBER(C130))),"Check",IF(D130="","Not shipped",IF(NOT(ISNUMBER(D130)),"Check",IF(OR(D130&lt;B130,C130&lt;B130),"Check",IF(D130&lt;=C130,"On time","Late"))))))</f>
        <v/>
      </c>
    </row>
    <row r="131">
      <c r="B131" s="6" t="n"/>
      <c r="C131" s="6" t="n"/>
      <c r="D131" s="6" t="n"/>
      <c r="E131" s="7">
        <f>IF(F131="Late",D131-C131,IF(F131="On time",0,""))</f>
        <v/>
      </c>
      <c r="F131">
        <f>IF(A131="","",IF(OR(NOT(ISNUMBER(B131)),NOT(ISNUMBER(C131))),"Check",IF(D131="","Not shipped",IF(NOT(ISNUMBER(D131)),"Check",IF(OR(D131&lt;B131,C131&lt;B131),"Check",IF(D131&lt;=C131,"On time","Late"))))))</f>
        <v/>
      </c>
    </row>
    <row r="132">
      <c r="B132" s="6" t="n"/>
      <c r="C132" s="6" t="n"/>
      <c r="D132" s="6" t="n"/>
      <c r="E132" s="7">
        <f>IF(F132="Late",D132-C132,IF(F132="On time",0,""))</f>
        <v/>
      </c>
      <c r="F132">
        <f>IF(A132="","",IF(OR(NOT(ISNUMBER(B132)),NOT(ISNUMBER(C132))),"Check",IF(D132="","Not shipped",IF(NOT(ISNUMBER(D132)),"Check",IF(OR(D132&lt;B132,C132&lt;B132),"Check",IF(D132&lt;=C132,"On time","Late"))))))</f>
        <v/>
      </c>
    </row>
    <row r="133">
      <c r="B133" s="6" t="n"/>
      <c r="C133" s="6" t="n"/>
      <c r="D133" s="6" t="n"/>
      <c r="E133" s="7">
        <f>IF(F133="Late",D133-C133,IF(F133="On time",0,""))</f>
        <v/>
      </c>
      <c r="F133">
        <f>IF(A133="","",IF(OR(NOT(ISNUMBER(B133)),NOT(ISNUMBER(C133))),"Check",IF(D133="","Not shipped",IF(NOT(ISNUMBER(D133)),"Check",IF(OR(D133&lt;B133,C133&lt;B133),"Check",IF(D133&lt;=C133,"On time","Late"))))))</f>
        <v/>
      </c>
    </row>
    <row r="134">
      <c r="B134" s="6" t="n"/>
      <c r="C134" s="6" t="n"/>
      <c r="D134" s="6" t="n"/>
      <c r="E134" s="7">
        <f>IF(F134="Late",D134-C134,IF(F134="On time",0,""))</f>
        <v/>
      </c>
      <c r="F134">
        <f>IF(A134="","",IF(OR(NOT(ISNUMBER(B134)),NOT(ISNUMBER(C134))),"Check",IF(D134="","Not shipped",IF(NOT(ISNUMBER(D134)),"Check",IF(OR(D134&lt;B134,C134&lt;B134),"Check",IF(D134&lt;=C134,"On time","Late"))))))</f>
        <v/>
      </c>
    </row>
    <row r="135">
      <c r="B135" s="6" t="n"/>
      <c r="C135" s="6" t="n"/>
      <c r="D135" s="6" t="n"/>
      <c r="E135" s="7">
        <f>IF(F135="Late",D135-C135,IF(F135="On time",0,""))</f>
        <v/>
      </c>
      <c r="F135">
        <f>IF(A135="","",IF(OR(NOT(ISNUMBER(B135)),NOT(ISNUMBER(C135))),"Check",IF(D135="","Not shipped",IF(NOT(ISNUMBER(D135)),"Check",IF(OR(D135&lt;B135,C135&lt;B135),"Check",IF(D135&lt;=C135,"On time","Late"))))))</f>
        <v/>
      </c>
    </row>
    <row r="136">
      <c r="B136" s="6" t="n"/>
      <c r="C136" s="6" t="n"/>
      <c r="D136" s="6" t="n"/>
      <c r="E136" s="7">
        <f>IF(F136="Late",D136-C136,IF(F136="On time",0,""))</f>
        <v/>
      </c>
      <c r="F136">
        <f>IF(A136="","",IF(OR(NOT(ISNUMBER(B136)),NOT(ISNUMBER(C136))),"Check",IF(D136="","Not shipped",IF(NOT(ISNUMBER(D136)),"Check",IF(OR(D136&lt;B136,C136&lt;B136),"Check",IF(D136&lt;=C136,"On time","Late"))))))</f>
        <v/>
      </c>
    </row>
    <row r="137">
      <c r="B137" s="6" t="n"/>
      <c r="C137" s="6" t="n"/>
      <c r="D137" s="6" t="n"/>
      <c r="E137" s="7">
        <f>IF(F137="Late",D137-C137,IF(F137="On time",0,""))</f>
        <v/>
      </c>
      <c r="F137">
        <f>IF(A137="","",IF(OR(NOT(ISNUMBER(B137)),NOT(ISNUMBER(C137))),"Check",IF(D137="","Not shipped",IF(NOT(ISNUMBER(D137)),"Check",IF(OR(D137&lt;B137,C137&lt;B137),"Check",IF(D137&lt;=C137,"On time","Late"))))))</f>
        <v/>
      </c>
    </row>
    <row r="138">
      <c r="B138" s="6" t="n"/>
      <c r="C138" s="6" t="n"/>
      <c r="D138" s="6" t="n"/>
      <c r="E138" s="7">
        <f>IF(F138="Late",D138-C138,IF(F138="On time",0,""))</f>
        <v/>
      </c>
      <c r="F138">
        <f>IF(A138="","",IF(OR(NOT(ISNUMBER(B138)),NOT(ISNUMBER(C138))),"Check",IF(D138="","Not shipped",IF(NOT(ISNUMBER(D138)),"Check",IF(OR(D138&lt;B138,C138&lt;B138),"Check",IF(D138&lt;=C138,"On time","Late"))))))</f>
        <v/>
      </c>
    </row>
    <row r="139">
      <c r="B139" s="6" t="n"/>
      <c r="C139" s="6" t="n"/>
      <c r="D139" s="6" t="n"/>
      <c r="E139" s="7">
        <f>IF(F139="Late",D139-C139,IF(F139="On time",0,""))</f>
        <v/>
      </c>
      <c r="F139">
        <f>IF(A139="","",IF(OR(NOT(ISNUMBER(B139)),NOT(ISNUMBER(C139))),"Check",IF(D139="","Not shipped",IF(NOT(ISNUMBER(D139)),"Check",IF(OR(D139&lt;B139,C139&lt;B139),"Check",IF(D139&lt;=C139,"On time","Late"))))))</f>
        <v/>
      </c>
    </row>
    <row r="140">
      <c r="B140" s="6" t="n"/>
      <c r="C140" s="6" t="n"/>
      <c r="D140" s="6" t="n"/>
      <c r="E140" s="7">
        <f>IF(F140="Late",D140-C140,IF(F140="On time",0,""))</f>
        <v/>
      </c>
      <c r="F140">
        <f>IF(A140="","",IF(OR(NOT(ISNUMBER(B140)),NOT(ISNUMBER(C140))),"Check",IF(D140="","Not shipped",IF(NOT(ISNUMBER(D140)),"Check",IF(OR(D140&lt;B140,C140&lt;B140),"Check",IF(D140&lt;=C140,"On time","Late"))))))</f>
        <v/>
      </c>
    </row>
    <row r="141">
      <c r="B141" s="6" t="n"/>
      <c r="C141" s="6" t="n"/>
      <c r="D141" s="6" t="n"/>
      <c r="E141" s="7">
        <f>IF(F141="Late",D141-C141,IF(F141="On time",0,""))</f>
        <v/>
      </c>
      <c r="F141">
        <f>IF(A141="","",IF(OR(NOT(ISNUMBER(B141)),NOT(ISNUMBER(C141))),"Check",IF(D141="","Not shipped",IF(NOT(ISNUMBER(D141)),"Check",IF(OR(D141&lt;B141,C141&lt;B141),"Check",IF(D141&lt;=C141,"On time","Late"))))))</f>
        <v/>
      </c>
    </row>
    <row r="142">
      <c r="B142" s="6" t="n"/>
      <c r="C142" s="6" t="n"/>
      <c r="D142" s="6" t="n"/>
      <c r="E142" s="7">
        <f>IF(F142="Late",D142-C142,IF(F142="On time",0,""))</f>
        <v/>
      </c>
      <c r="F142">
        <f>IF(A142="","",IF(OR(NOT(ISNUMBER(B142)),NOT(ISNUMBER(C142))),"Check",IF(D142="","Not shipped",IF(NOT(ISNUMBER(D142)),"Check",IF(OR(D142&lt;B142,C142&lt;B142),"Check",IF(D142&lt;=C142,"On time","Late"))))))</f>
        <v/>
      </c>
    </row>
    <row r="143">
      <c r="B143" s="6" t="n"/>
      <c r="C143" s="6" t="n"/>
      <c r="D143" s="6" t="n"/>
      <c r="E143" s="7">
        <f>IF(F143="Late",D143-C143,IF(F143="On time",0,""))</f>
        <v/>
      </c>
      <c r="F143">
        <f>IF(A143="","",IF(OR(NOT(ISNUMBER(B143)),NOT(ISNUMBER(C143))),"Check",IF(D143="","Not shipped",IF(NOT(ISNUMBER(D143)),"Check",IF(OR(D143&lt;B143,C143&lt;B143),"Check",IF(D143&lt;=C143,"On time","Late"))))))</f>
        <v/>
      </c>
    </row>
    <row r="144">
      <c r="B144" s="6" t="n"/>
      <c r="C144" s="6" t="n"/>
      <c r="D144" s="6" t="n"/>
      <c r="E144" s="7">
        <f>IF(F144="Late",D144-C144,IF(F144="On time",0,""))</f>
        <v/>
      </c>
      <c r="F144">
        <f>IF(A144="","",IF(OR(NOT(ISNUMBER(B144)),NOT(ISNUMBER(C144))),"Check",IF(D144="","Not shipped",IF(NOT(ISNUMBER(D144)),"Check",IF(OR(D144&lt;B144,C144&lt;B144),"Check",IF(D144&lt;=C144,"On time","Late"))))))</f>
        <v/>
      </c>
    </row>
    <row r="145">
      <c r="B145" s="6" t="n"/>
      <c r="C145" s="6" t="n"/>
      <c r="D145" s="6" t="n"/>
      <c r="E145" s="7">
        <f>IF(F145="Late",D145-C145,IF(F145="On time",0,""))</f>
        <v/>
      </c>
      <c r="F145">
        <f>IF(A145="","",IF(OR(NOT(ISNUMBER(B145)),NOT(ISNUMBER(C145))),"Check",IF(D145="","Not shipped",IF(NOT(ISNUMBER(D145)),"Check",IF(OR(D145&lt;B145,C145&lt;B145),"Check",IF(D145&lt;=C145,"On time","Late"))))))</f>
        <v/>
      </c>
    </row>
    <row r="146">
      <c r="B146" s="6" t="n"/>
      <c r="C146" s="6" t="n"/>
      <c r="D146" s="6" t="n"/>
      <c r="E146" s="7">
        <f>IF(F146="Late",D146-C146,IF(F146="On time",0,""))</f>
        <v/>
      </c>
      <c r="F146">
        <f>IF(A146="","",IF(OR(NOT(ISNUMBER(B146)),NOT(ISNUMBER(C146))),"Check",IF(D146="","Not shipped",IF(NOT(ISNUMBER(D146)),"Check",IF(OR(D146&lt;B146,C146&lt;B146),"Check",IF(D146&lt;=C146,"On time","Late"))))))</f>
        <v/>
      </c>
    </row>
    <row r="147">
      <c r="B147" s="6" t="n"/>
      <c r="C147" s="6" t="n"/>
      <c r="D147" s="6" t="n"/>
      <c r="E147" s="7">
        <f>IF(F147="Late",D147-C147,IF(F147="On time",0,""))</f>
        <v/>
      </c>
      <c r="F147">
        <f>IF(A147="","",IF(OR(NOT(ISNUMBER(B147)),NOT(ISNUMBER(C147))),"Check",IF(D147="","Not shipped",IF(NOT(ISNUMBER(D147)),"Check",IF(OR(D147&lt;B147,C147&lt;B147),"Check",IF(D147&lt;=C147,"On time","Late"))))))</f>
        <v/>
      </c>
    </row>
    <row r="148">
      <c r="B148" s="6" t="n"/>
      <c r="C148" s="6" t="n"/>
      <c r="D148" s="6" t="n"/>
      <c r="E148" s="7">
        <f>IF(F148="Late",D148-C148,IF(F148="On time",0,""))</f>
        <v/>
      </c>
      <c r="F148">
        <f>IF(A148="","",IF(OR(NOT(ISNUMBER(B148)),NOT(ISNUMBER(C148))),"Check",IF(D148="","Not shipped",IF(NOT(ISNUMBER(D148)),"Check",IF(OR(D148&lt;B148,C148&lt;B148),"Check",IF(D148&lt;=C148,"On time","Late"))))))</f>
        <v/>
      </c>
    </row>
    <row r="149">
      <c r="B149" s="6" t="n"/>
      <c r="C149" s="6" t="n"/>
      <c r="D149" s="6" t="n"/>
      <c r="E149" s="7">
        <f>IF(F149="Late",D149-C149,IF(F149="On time",0,""))</f>
        <v/>
      </c>
      <c r="F149">
        <f>IF(A149="","",IF(OR(NOT(ISNUMBER(B149)),NOT(ISNUMBER(C149))),"Check",IF(D149="","Not shipped",IF(NOT(ISNUMBER(D149)),"Check",IF(OR(D149&lt;B149,C149&lt;B149),"Check",IF(D149&lt;=C149,"On time","Late"))))))</f>
        <v/>
      </c>
    </row>
    <row r="150">
      <c r="B150" s="6" t="n"/>
      <c r="C150" s="6" t="n"/>
      <c r="D150" s="6" t="n"/>
      <c r="E150" s="7">
        <f>IF(F150="Late",D150-C150,IF(F150="On time",0,""))</f>
        <v/>
      </c>
      <c r="F150">
        <f>IF(A150="","",IF(OR(NOT(ISNUMBER(B150)),NOT(ISNUMBER(C150))),"Check",IF(D150="","Not shipped",IF(NOT(ISNUMBER(D150)),"Check",IF(OR(D150&lt;B150,C150&lt;B150),"Check",IF(D150&lt;=C150,"On time","Late"))))))</f>
        <v/>
      </c>
    </row>
    <row r="151">
      <c r="B151" s="6" t="n"/>
      <c r="C151" s="6" t="n"/>
      <c r="D151" s="6" t="n"/>
      <c r="E151" s="7">
        <f>IF(F151="Late",D151-C151,IF(F151="On time",0,""))</f>
        <v/>
      </c>
      <c r="F151">
        <f>IF(A151="","",IF(OR(NOT(ISNUMBER(B151)),NOT(ISNUMBER(C151))),"Check",IF(D151="","Not shipped",IF(NOT(ISNUMBER(D151)),"Check",IF(OR(D151&lt;B151,C151&lt;B151),"Check",IF(D151&lt;=C151,"On time","Late"))))))</f>
        <v/>
      </c>
    </row>
    <row r="152">
      <c r="B152" s="6" t="n"/>
      <c r="C152" s="6" t="n"/>
      <c r="D152" s="6" t="n"/>
      <c r="E152" s="7">
        <f>IF(F152="Late",D152-C152,IF(F152="On time",0,""))</f>
        <v/>
      </c>
      <c r="F152">
        <f>IF(A152="","",IF(OR(NOT(ISNUMBER(B152)),NOT(ISNUMBER(C152))),"Check",IF(D152="","Not shipped",IF(NOT(ISNUMBER(D152)),"Check",IF(OR(D152&lt;B152,C152&lt;B152),"Check",IF(D152&lt;=C152,"On time","Late"))))))</f>
        <v/>
      </c>
    </row>
    <row r="153">
      <c r="B153" s="6" t="n"/>
      <c r="C153" s="6" t="n"/>
      <c r="D153" s="6" t="n"/>
      <c r="E153" s="7">
        <f>IF(F153="Late",D153-C153,IF(F153="On time",0,""))</f>
        <v/>
      </c>
      <c r="F153">
        <f>IF(A153="","",IF(OR(NOT(ISNUMBER(B153)),NOT(ISNUMBER(C153))),"Check",IF(D153="","Not shipped",IF(NOT(ISNUMBER(D153)),"Check",IF(OR(D153&lt;B153,C153&lt;B153),"Check",IF(D153&lt;=C153,"On time","Late"))))))</f>
        <v/>
      </c>
    </row>
    <row r="154">
      <c r="B154" s="6" t="n"/>
      <c r="C154" s="6" t="n"/>
      <c r="D154" s="6" t="n"/>
      <c r="E154" s="7">
        <f>IF(F154="Late",D154-C154,IF(F154="On time",0,""))</f>
        <v/>
      </c>
      <c r="F154">
        <f>IF(A154="","",IF(OR(NOT(ISNUMBER(B154)),NOT(ISNUMBER(C154))),"Check",IF(D154="","Not shipped",IF(NOT(ISNUMBER(D154)),"Check",IF(OR(D154&lt;B154,C154&lt;B154),"Check",IF(D154&lt;=C154,"On time","Late"))))))</f>
        <v/>
      </c>
    </row>
    <row r="155">
      <c r="B155" s="6" t="n"/>
      <c r="C155" s="6" t="n"/>
      <c r="D155" s="6" t="n"/>
      <c r="E155" s="7">
        <f>IF(F155="Late",D155-C155,IF(F155="On time",0,""))</f>
        <v/>
      </c>
      <c r="F155">
        <f>IF(A155="","",IF(OR(NOT(ISNUMBER(B155)),NOT(ISNUMBER(C155))),"Check",IF(D155="","Not shipped",IF(NOT(ISNUMBER(D155)),"Check",IF(OR(D155&lt;B155,C155&lt;B155),"Check",IF(D155&lt;=C155,"On time","Late"))))))</f>
        <v/>
      </c>
    </row>
    <row r="156">
      <c r="B156" s="6" t="n"/>
      <c r="C156" s="6" t="n"/>
      <c r="D156" s="6" t="n"/>
      <c r="E156" s="7">
        <f>IF(F156="Late",D156-C156,IF(F156="On time",0,""))</f>
        <v/>
      </c>
      <c r="F156">
        <f>IF(A156="","",IF(OR(NOT(ISNUMBER(B156)),NOT(ISNUMBER(C156))),"Check",IF(D156="","Not shipped",IF(NOT(ISNUMBER(D156)),"Check",IF(OR(D156&lt;B156,C156&lt;B156),"Check",IF(D156&lt;=C156,"On time","Late"))))))</f>
        <v/>
      </c>
    </row>
    <row r="157">
      <c r="B157" s="6" t="n"/>
      <c r="C157" s="6" t="n"/>
      <c r="D157" s="6" t="n"/>
      <c r="E157" s="7">
        <f>IF(F157="Late",D157-C157,IF(F157="On time",0,""))</f>
        <v/>
      </c>
      <c r="F157">
        <f>IF(A157="","",IF(OR(NOT(ISNUMBER(B157)),NOT(ISNUMBER(C157))),"Check",IF(D157="","Not shipped",IF(NOT(ISNUMBER(D157)),"Check",IF(OR(D157&lt;B157,C157&lt;B157),"Check",IF(D157&lt;=C157,"On time","Late"))))))</f>
        <v/>
      </c>
    </row>
    <row r="158">
      <c r="B158" s="6" t="n"/>
      <c r="C158" s="6" t="n"/>
      <c r="D158" s="6" t="n"/>
      <c r="E158" s="7">
        <f>IF(F158="Late",D158-C158,IF(F158="On time",0,""))</f>
        <v/>
      </c>
      <c r="F158">
        <f>IF(A158="","",IF(OR(NOT(ISNUMBER(B158)),NOT(ISNUMBER(C158))),"Check",IF(D158="","Not shipped",IF(NOT(ISNUMBER(D158)),"Check",IF(OR(D158&lt;B158,C158&lt;B158),"Check",IF(D158&lt;=C158,"On time","Late"))))))</f>
        <v/>
      </c>
    </row>
    <row r="159">
      <c r="B159" s="6" t="n"/>
      <c r="C159" s="6" t="n"/>
      <c r="D159" s="6" t="n"/>
      <c r="E159" s="7">
        <f>IF(F159="Late",D159-C159,IF(F159="On time",0,""))</f>
        <v/>
      </c>
      <c r="F159">
        <f>IF(A159="","",IF(OR(NOT(ISNUMBER(B159)),NOT(ISNUMBER(C159))),"Check",IF(D159="","Not shipped",IF(NOT(ISNUMBER(D159)),"Check",IF(OR(D159&lt;B159,C159&lt;B159),"Check",IF(D159&lt;=C159,"On time","Late"))))))</f>
        <v/>
      </c>
    </row>
    <row r="160">
      <c r="B160" s="6" t="n"/>
      <c r="C160" s="6" t="n"/>
      <c r="D160" s="6" t="n"/>
      <c r="E160" s="7">
        <f>IF(F160="Late",D160-C160,IF(F160="On time",0,""))</f>
        <v/>
      </c>
      <c r="F160">
        <f>IF(A160="","",IF(OR(NOT(ISNUMBER(B160)),NOT(ISNUMBER(C160))),"Check",IF(D160="","Not shipped",IF(NOT(ISNUMBER(D160)),"Check",IF(OR(D160&lt;B160,C160&lt;B160),"Check",IF(D160&lt;=C160,"On time","Late"))))))</f>
        <v/>
      </c>
    </row>
    <row r="161">
      <c r="B161" s="6" t="n"/>
      <c r="C161" s="6" t="n"/>
      <c r="D161" s="6" t="n"/>
      <c r="E161" s="7">
        <f>IF(F161="Late",D161-C161,IF(F161="On time",0,""))</f>
        <v/>
      </c>
      <c r="F161">
        <f>IF(A161="","",IF(OR(NOT(ISNUMBER(B161)),NOT(ISNUMBER(C161))),"Check",IF(D161="","Not shipped",IF(NOT(ISNUMBER(D161)),"Check",IF(OR(D161&lt;B161,C161&lt;B161),"Check",IF(D161&lt;=C161,"On time","Late"))))))</f>
        <v/>
      </c>
    </row>
    <row r="162">
      <c r="B162" s="6" t="n"/>
      <c r="C162" s="6" t="n"/>
      <c r="D162" s="6" t="n"/>
      <c r="E162" s="7">
        <f>IF(F162="Late",D162-C162,IF(F162="On time",0,""))</f>
        <v/>
      </c>
      <c r="F162">
        <f>IF(A162="","",IF(OR(NOT(ISNUMBER(B162)),NOT(ISNUMBER(C162))),"Check",IF(D162="","Not shipped",IF(NOT(ISNUMBER(D162)),"Check",IF(OR(D162&lt;B162,C162&lt;B162),"Check",IF(D162&lt;=C162,"On time","Late"))))))</f>
        <v/>
      </c>
    </row>
    <row r="163">
      <c r="B163" s="6" t="n"/>
      <c r="C163" s="6" t="n"/>
      <c r="D163" s="6" t="n"/>
      <c r="E163" s="7">
        <f>IF(F163="Late",D163-C163,IF(F163="On time",0,""))</f>
        <v/>
      </c>
      <c r="F163">
        <f>IF(A163="","",IF(OR(NOT(ISNUMBER(B163)),NOT(ISNUMBER(C163))),"Check",IF(D163="","Not shipped",IF(NOT(ISNUMBER(D163)),"Check",IF(OR(D163&lt;B163,C163&lt;B163),"Check",IF(D163&lt;=C163,"On time","Late"))))))</f>
        <v/>
      </c>
    </row>
    <row r="164">
      <c r="B164" s="6" t="n"/>
      <c r="C164" s="6" t="n"/>
      <c r="D164" s="6" t="n"/>
      <c r="E164" s="7">
        <f>IF(F164="Late",D164-C164,IF(F164="On time",0,""))</f>
        <v/>
      </c>
      <c r="F164">
        <f>IF(A164="","",IF(OR(NOT(ISNUMBER(B164)),NOT(ISNUMBER(C164))),"Check",IF(D164="","Not shipped",IF(NOT(ISNUMBER(D164)),"Check",IF(OR(D164&lt;B164,C164&lt;B164),"Check",IF(D164&lt;=C164,"On time","Late"))))))</f>
        <v/>
      </c>
    </row>
    <row r="165">
      <c r="B165" s="6" t="n"/>
      <c r="C165" s="6" t="n"/>
      <c r="D165" s="6" t="n"/>
      <c r="E165" s="7">
        <f>IF(F165="Late",D165-C165,IF(F165="On time",0,""))</f>
        <v/>
      </c>
      <c r="F165">
        <f>IF(A165="","",IF(OR(NOT(ISNUMBER(B165)),NOT(ISNUMBER(C165))),"Check",IF(D165="","Not shipped",IF(NOT(ISNUMBER(D165)),"Check",IF(OR(D165&lt;B165,C165&lt;B165),"Check",IF(D165&lt;=C165,"On time","Late"))))))</f>
        <v/>
      </c>
    </row>
    <row r="166">
      <c r="B166" s="6" t="n"/>
      <c r="C166" s="6" t="n"/>
      <c r="D166" s="6" t="n"/>
      <c r="E166" s="7">
        <f>IF(F166="Late",D166-C166,IF(F166="On time",0,""))</f>
        <v/>
      </c>
      <c r="F166">
        <f>IF(A166="","",IF(OR(NOT(ISNUMBER(B166)),NOT(ISNUMBER(C166))),"Check",IF(D166="","Not shipped",IF(NOT(ISNUMBER(D166)),"Check",IF(OR(D166&lt;B166,C166&lt;B166),"Check",IF(D166&lt;=C166,"On time","Late"))))))</f>
        <v/>
      </c>
    </row>
    <row r="167">
      <c r="B167" s="6" t="n"/>
      <c r="C167" s="6" t="n"/>
      <c r="D167" s="6" t="n"/>
      <c r="E167" s="7">
        <f>IF(F167="Late",D167-C167,IF(F167="On time",0,""))</f>
        <v/>
      </c>
      <c r="F167">
        <f>IF(A167="","",IF(OR(NOT(ISNUMBER(B167)),NOT(ISNUMBER(C167))),"Check",IF(D167="","Not shipped",IF(NOT(ISNUMBER(D167)),"Check",IF(OR(D167&lt;B167,C167&lt;B167),"Check",IF(D167&lt;=C167,"On time","Late"))))))</f>
        <v/>
      </c>
    </row>
    <row r="168">
      <c r="B168" s="6" t="n"/>
      <c r="C168" s="6" t="n"/>
      <c r="D168" s="6" t="n"/>
      <c r="E168" s="7">
        <f>IF(F168="Late",D168-C168,IF(F168="On time",0,""))</f>
        <v/>
      </c>
      <c r="F168">
        <f>IF(A168="","",IF(OR(NOT(ISNUMBER(B168)),NOT(ISNUMBER(C168))),"Check",IF(D168="","Not shipped",IF(NOT(ISNUMBER(D168)),"Check",IF(OR(D168&lt;B168,C168&lt;B168),"Check",IF(D168&lt;=C168,"On time","Late"))))))</f>
        <v/>
      </c>
    </row>
    <row r="169">
      <c r="B169" s="6" t="n"/>
      <c r="C169" s="6" t="n"/>
      <c r="D169" s="6" t="n"/>
      <c r="E169" s="7">
        <f>IF(F169="Late",D169-C169,IF(F169="On time",0,""))</f>
        <v/>
      </c>
      <c r="F169">
        <f>IF(A169="","",IF(OR(NOT(ISNUMBER(B169)),NOT(ISNUMBER(C169))),"Check",IF(D169="","Not shipped",IF(NOT(ISNUMBER(D169)),"Check",IF(OR(D169&lt;B169,C169&lt;B169),"Check",IF(D169&lt;=C169,"On time","Late"))))))</f>
        <v/>
      </c>
    </row>
    <row r="170">
      <c r="B170" s="6" t="n"/>
      <c r="C170" s="6" t="n"/>
      <c r="D170" s="6" t="n"/>
      <c r="E170" s="7">
        <f>IF(F170="Late",D170-C170,IF(F170="On time",0,""))</f>
        <v/>
      </c>
      <c r="F170">
        <f>IF(A170="","",IF(OR(NOT(ISNUMBER(B170)),NOT(ISNUMBER(C170))),"Check",IF(D170="","Not shipped",IF(NOT(ISNUMBER(D170)),"Check",IF(OR(D170&lt;B170,C170&lt;B170),"Check",IF(D170&lt;=C170,"On time","Late"))))))</f>
        <v/>
      </c>
    </row>
    <row r="171">
      <c r="B171" s="6" t="n"/>
      <c r="C171" s="6" t="n"/>
      <c r="D171" s="6" t="n"/>
      <c r="E171" s="7">
        <f>IF(F171="Late",D171-C171,IF(F171="On time",0,""))</f>
        <v/>
      </c>
      <c r="F171">
        <f>IF(A171="","",IF(OR(NOT(ISNUMBER(B171)),NOT(ISNUMBER(C171))),"Check",IF(D171="","Not shipped",IF(NOT(ISNUMBER(D171)),"Check",IF(OR(D171&lt;B171,C171&lt;B171),"Check",IF(D171&lt;=C171,"On time","Late"))))))</f>
        <v/>
      </c>
    </row>
    <row r="172">
      <c r="B172" s="6" t="n"/>
      <c r="C172" s="6" t="n"/>
      <c r="D172" s="6" t="n"/>
      <c r="E172" s="7">
        <f>IF(F172="Late",D172-C172,IF(F172="On time",0,""))</f>
        <v/>
      </c>
      <c r="F172">
        <f>IF(A172="","",IF(OR(NOT(ISNUMBER(B172)),NOT(ISNUMBER(C172))),"Check",IF(D172="","Not shipped",IF(NOT(ISNUMBER(D172)),"Check",IF(OR(D172&lt;B172,C172&lt;B172),"Check",IF(D172&lt;=C172,"On time","Late"))))))</f>
        <v/>
      </c>
    </row>
    <row r="173">
      <c r="B173" s="6" t="n"/>
      <c r="C173" s="6" t="n"/>
      <c r="D173" s="6" t="n"/>
      <c r="E173" s="7">
        <f>IF(F173="Late",D173-C173,IF(F173="On time",0,""))</f>
        <v/>
      </c>
      <c r="F173">
        <f>IF(A173="","",IF(OR(NOT(ISNUMBER(B173)),NOT(ISNUMBER(C173))),"Check",IF(D173="","Not shipped",IF(NOT(ISNUMBER(D173)),"Check",IF(OR(D173&lt;B173,C173&lt;B173),"Check",IF(D173&lt;=C173,"On time","Late"))))))</f>
        <v/>
      </c>
    </row>
    <row r="174">
      <c r="B174" s="6" t="n"/>
      <c r="C174" s="6" t="n"/>
      <c r="D174" s="6" t="n"/>
      <c r="E174" s="7">
        <f>IF(F174="Late",D174-C174,IF(F174="On time",0,""))</f>
        <v/>
      </c>
      <c r="F174">
        <f>IF(A174="","",IF(OR(NOT(ISNUMBER(B174)),NOT(ISNUMBER(C174))),"Check",IF(D174="","Not shipped",IF(NOT(ISNUMBER(D174)),"Check",IF(OR(D174&lt;B174,C174&lt;B174),"Check",IF(D174&lt;=C174,"On time","Late"))))))</f>
        <v/>
      </c>
    </row>
    <row r="175">
      <c r="B175" s="6" t="n"/>
      <c r="C175" s="6" t="n"/>
      <c r="D175" s="6" t="n"/>
      <c r="E175" s="7">
        <f>IF(F175="Late",D175-C175,IF(F175="On time",0,""))</f>
        <v/>
      </c>
      <c r="F175">
        <f>IF(A175="","",IF(OR(NOT(ISNUMBER(B175)),NOT(ISNUMBER(C175))),"Check",IF(D175="","Not shipped",IF(NOT(ISNUMBER(D175)),"Check",IF(OR(D175&lt;B175,C175&lt;B175),"Check",IF(D175&lt;=C175,"On time","Late"))))))</f>
        <v/>
      </c>
    </row>
    <row r="176">
      <c r="B176" s="6" t="n"/>
      <c r="C176" s="6" t="n"/>
      <c r="D176" s="6" t="n"/>
      <c r="E176" s="7">
        <f>IF(F176="Late",D176-C176,IF(F176="On time",0,""))</f>
        <v/>
      </c>
      <c r="F176">
        <f>IF(A176="","",IF(OR(NOT(ISNUMBER(B176)),NOT(ISNUMBER(C176))),"Check",IF(D176="","Not shipped",IF(NOT(ISNUMBER(D176)),"Check",IF(OR(D176&lt;B176,C176&lt;B176),"Check",IF(D176&lt;=C176,"On time","Late"))))))</f>
        <v/>
      </c>
    </row>
    <row r="177">
      <c r="B177" s="6" t="n"/>
      <c r="C177" s="6" t="n"/>
      <c r="D177" s="6" t="n"/>
      <c r="E177" s="7">
        <f>IF(F177="Late",D177-C177,IF(F177="On time",0,""))</f>
        <v/>
      </c>
      <c r="F177">
        <f>IF(A177="","",IF(OR(NOT(ISNUMBER(B177)),NOT(ISNUMBER(C177))),"Check",IF(D177="","Not shipped",IF(NOT(ISNUMBER(D177)),"Check",IF(OR(D177&lt;B177,C177&lt;B177),"Check",IF(D177&lt;=C177,"On time","Late"))))))</f>
        <v/>
      </c>
    </row>
    <row r="178">
      <c r="B178" s="6" t="n"/>
      <c r="C178" s="6" t="n"/>
      <c r="D178" s="6" t="n"/>
      <c r="E178" s="7">
        <f>IF(F178="Late",D178-C178,IF(F178="On time",0,""))</f>
        <v/>
      </c>
      <c r="F178">
        <f>IF(A178="","",IF(OR(NOT(ISNUMBER(B178)),NOT(ISNUMBER(C178))),"Check",IF(D178="","Not shipped",IF(NOT(ISNUMBER(D178)),"Check",IF(OR(D178&lt;B178,C178&lt;B178),"Check",IF(D178&lt;=C178,"On time","Late"))))))</f>
        <v/>
      </c>
    </row>
    <row r="179">
      <c r="B179" s="6" t="n"/>
      <c r="C179" s="6" t="n"/>
      <c r="D179" s="6" t="n"/>
      <c r="E179" s="7">
        <f>IF(F179="Late",D179-C179,IF(F179="On time",0,""))</f>
        <v/>
      </c>
      <c r="F179">
        <f>IF(A179="","",IF(OR(NOT(ISNUMBER(B179)),NOT(ISNUMBER(C179))),"Check",IF(D179="","Not shipped",IF(NOT(ISNUMBER(D179)),"Check",IF(OR(D179&lt;B179,C179&lt;B179),"Check",IF(D179&lt;=C179,"On time","Late"))))))</f>
        <v/>
      </c>
    </row>
    <row r="180">
      <c r="B180" s="6" t="n"/>
      <c r="C180" s="6" t="n"/>
      <c r="D180" s="6" t="n"/>
      <c r="E180" s="7">
        <f>IF(F180="Late",D180-C180,IF(F180="On time",0,""))</f>
        <v/>
      </c>
      <c r="F180">
        <f>IF(A180="","",IF(OR(NOT(ISNUMBER(B180)),NOT(ISNUMBER(C180))),"Check",IF(D180="","Not shipped",IF(NOT(ISNUMBER(D180)),"Check",IF(OR(D180&lt;B180,C180&lt;B180),"Check",IF(D180&lt;=C180,"On time","Late"))))))</f>
        <v/>
      </c>
    </row>
    <row r="181">
      <c r="B181" s="6" t="n"/>
      <c r="C181" s="6" t="n"/>
      <c r="D181" s="6" t="n"/>
      <c r="E181" s="7">
        <f>IF(F181="Late",D181-C181,IF(F181="On time",0,""))</f>
        <v/>
      </c>
      <c r="F181">
        <f>IF(A181="","",IF(OR(NOT(ISNUMBER(B181)),NOT(ISNUMBER(C181))),"Check",IF(D181="","Not shipped",IF(NOT(ISNUMBER(D181)),"Check",IF(OR(D181&lt;B181,C181&lt;B181),"Check",IF(D181&lt;=C181,"On time","Late"))))))</f>
        <v/>
      </c>
    </row>
    <row r="182">
      <c r="B182" s="6" t="n"/>
      <c r="C182" s="6" t="n"/>
      <c r="D182" s="6" t="n"/>
      <c r="E182" s="7">
        <f>IF(F182="Late",D182-C182,IF(F182="On time",0,""))</f>
        <v/>
      </c>
      <c r="F182">
        <f>IF(A182="","",IF(OR(NOT(ISNUMBER(B182)),NOT(ISNUMBER(C182))),"Check",IF(D182="","Not shipped",IF(NOT(ISNUMBER(D182)),"Check",IF(OR(D182&lt;B182,C182&lt;B182),"Check",IF(D182&lt;=C182,"On time","Late"))))))</f>
        <v/>
      </c>
    </row>
    <row r="183">
      <c r="B183" s="6" t="n"/>
      <c r="C183" s="6" t="n"/>
      <c r="D183" s="6" t="n"/>
      <c r="E183" s="7">
        <f>IF(F183="Late",D183-C183,IF(F183="On time",0,""))</f>
        <v/>
      </c>
      <c r="F183">
        <f>IF(A183="","",IF(OR(NOT(ISNUMBER(B183)),NOT(ISNUMBER(C183))),"Check",IF(D183="","Not shipped",IF(NOT(ISNUMBER(D183)),"Check",IF(OR(D183&lt;B183,C183&lt;B183),"Check",IF(D183&lt;=C183,"On time","Late"))))))</f>
        <v/>
      </c>
    </row>
    <row r="184">
      <c r="B184" s="6" t="n"/>
      <c r="C184" s="6" t="n"/>
      <c r="D184" s="6" t="n"/>
      <c r="E184" s="7">
        <f>IF(F184="Late",D184-C184,IF(F184="On time",0,""))</f>
        <v/>
      </c>
      <c r="F184">
        <f>IF(A184="","",IF(OR(NOT(ISNUMBER(B184)),NOT(ISNUMBER(C184))),"Check",IF(D184="","Not shipped",IF(NOT(ISNUMBER(D184)),"Check",IF(OR(D184&lt;B184,C184&lt;B184),"Check",IF(D184&lt;=C184,"On time","Late"))))))</f>
        <v/>
      </c>
    </row>
    <row r="185">
      <c r="B185" s="6" t="n"/>
      <c r="C185" s="6" t="n"/>
      <c r="D185" s="6" t="n"/>
      <c r="E185" s="7">
        <f>IF(F185="Late",D185-C185,IF(F185="On time",0,""))</f>
        <v/>
      </c>
      <c r="F185">
        <f>IF(A185="","",IF(OR(NOT(ISNUMBER(B185)),NOT(ISNUMBER(C185))),"Check",IF(D185="","Not shipped",IF(NOT(ISNUMBER(D185)),"Check",IF(OR(D185&lt;B185,C185&lt;B185),"Check",IF(D185&lt;=C185,"On time","Late"))))))</f>
        <v/>
      </c>
    </row>
    <row r="186">
      <c r="B186" s="6" t="n"/>
      <c r="C186" s="6" t="n"/>
      <c r="D186" s="6" t="n"/>
      <c r="E186" s="7">
        <f>IF(F186="Late",D186-C186,IF(F186="On time",0,""))</f>
        <v/>
      </c>
      <c r="F186">
        <f>IF(A186="","",IF(OR(NOT(ISNUMBER(B186)),NOT(ISNUMBER(C186))),"Check",IF(D186="","Not shipped",IF(NOT(ISNUMBER(D186)),"Check",IF(OR(D186&lt;B186,C186&lt;B186),"Check",IF(D186&lt;=C186,"On time","Late"))))))</f>
        <v/>
      </c>
    </row>
    <row r="187">
      <c r="B187" s="6" t="n"/>
      <c r="C187" s="6" t="n"/>
      <c r="D187" s="6" t="n"/>
      <c r="E187" s="7">
        <f>IF(F187="Late",D187-C187,IF(F187="On time",0,""))</f>
        <v/>
      </c>
      <c r="F187">
        <f>IF(A187="","",IF(OR(NOT(ISNUMBER(B187)),NOT(ISNUMBER(C187))),"Check",IF(D187="","Not shipped",IF(NOT(ISNUMBER(D187)),"Check",IF(OR(D187&lt;B187,C187&lt;B187),"Check",IF(D187&lt;=C187,"On time","Late"))))))</f>
        <v/>
      </c>
    </row>
    <row r="188">
      <c r="B188" s="6" t="n"/>
      <c r="C188" s="6" t="n"/>
      <c r="D188" s="6" t="n"/>
      <c r="E188" s="7">
        <f>IF(F188="Late",D188-C188,IF(F188="On time",0,""))</f>
        <v/>
      </c>
      <c r="F188">
        <f>IF(A188="","",IF(OR(NOT(ISNUMBER(B188)),NOT(ISNUMBER(C188))),"Check",IF(D188="","Not shipped",IF(NOT(ISNUMBER(D188)),"Check",IF(OR(D188&lt;B188,C188&lt;B188),"Check",IF(D188&lt;=C188,"On time","Late"))))))</f>
        <v/>
      </c>
    </row>
    <row r="189">
      <c r="B189" s="6" t="n"/>
      <c r="C189" s="6" t="n"/>
      <c r="D189" s="6" t="n"/>
      <c r="E189" s="7">
        <f>IF(F189="Late",D189-C189,IF(F189="On time",0,""))</f>
        <v/>
      </c>
      <c r="F189">
        <f>IF(A189="","",IF(OR(NOT(ISNUMBER(B189)),NOT(ISNUMBER(C189))),"Check",IF(D189="","Not shipped",IF(NOT(ISNUMBER(D189)),"Check",IF(OR(D189&lt;B189,C189&lt;B189),"Check",IF(D189&lt;=C189,"On time","Late"))))))</f>
        <v/>
      </c>
    </row>
    <row r="190">
      <c r="B190" s="6" t="n"/>
      <c r="C190" s="6" t="n"/>
      <c r="D190" s="6" t="n"/>
      <c r="E190" s="7">
        <f>IF(F190="Late",D190-C190,IF(F190="On time",0,""))</f>
        <v/>
      </c>
      <c r="F190">
        <f>IF(A190="","",IF(OR(NOT(ISNUMBER(B190)),NOT(ISNUMBER(C190))),"Check",IF(D190="","Not shipped",IF(NOT(ISNUMBER(D190)),"Check",IF(OR(D190&lt;B190,C190&lt;B190),"Check",IF(D190&lt;=C190,"On time","Late"))))))</f>
        <v/>
      </c>
    </row>
    <row r="191">
      <c r="B191" s="6" t="n"/>
      <c r="C191" s="6" t="n"/>
      <c r="D191" s="6" t="n"/>
      <c r="E191" s="7">
        <f>IF(F191="Late",D191-C191,IF(F191="On time",0,""))</f>
        <v/>
      </c>
      <c r="F191">
        <f>IF(A191="","",IF(OR(NOT(ISNUMBER(B191)),NOT(ISNUMBER(C191))),"Check",IF(D191="","Not shipped",IF(NOT(ISNUMBER(D191)),"Check",IF(OR(D191&lt;B191,C191&lt;B191),"Check",IF(D191&lt;=C191,"On time","Late"))))))</f>
        <v/>
      </c>
    </row>
    <row r="192">
      <c r="B192" s="6" t="n"/>
      <c r="C192" s="6" t="n"/>
      <c r="D192" s="6" t="n"/>
      <c r="E192" s="7">
        <f>IF(F192="Late",D192-C192,IF(F192="On time",0,""))</f>
        <v/>
      </c>
      <c r="F192">
        <f>IF(A192="","",IF(OR(NOT(ISNUMBER(B192)),NOT(ISNUMBER(C192))),"Check",IF(D192="","Not shipped",IF(NOT(ISNUMBER(D192)),"Check",IF(OR(D192&lt;B192,C192&lt;B192),"Check",IF(D192&lt;=C192,"On time","Late"))))))</f>
        <v/>
      </c>
    </row>
    <row r="193">
      <c r="B193" s="6" t="n"/>
      <c r="C193" s="6" t="n"/>
      <c r="D193" s="6" t="n"/>
      <c r="E193" s="7">
        <f>IF(F193="Late",D193-C193,IF(F193="On time",0,""))</f>
        <v/>
      </c>
      <c r="F193">
        <f>IF(A193="","",IF(OR(NOT(ISNUMBER(B193)),NOT(ISNUMBER(C193))),"Check",IF(D193="","Not shipped",IF(NOT(ISNUMBER(D193)),"Check",IF(OR(D193&lt;B193,C193&lt;B193),"Check",IF(D193&lt;=C193,"On time","Late"))))))</f>
        <v/>
      </c>
    </row>
    <row r="194">
      <c r="B194" s="6" t="n"/>
      <c r="C194" s="6" t="n"/>
      <c r="D194" s="6" t="n"/>
      <c r="E194" s="7">
        <f>IF(F194="Late",D194-C194,IF(F194="On time",0,""))</f>
        <v/>
      </c>
      <c r="F194">
        <f>IF(A194="","",IF(OR(NOT(ISNUMBER(B194)),NOT(ISNUMBER(C194))),"Check",IF(D194="","Not shipped",IF(NOT(ISNUMBER(D194)),"Check",IF(OR(D194&lt;B194,C194&lt;B194),"Check",IF(D194&lt;=C194,"On time","Late"))))))</f>
        <v/>
      </c>
    </row>
    <row r="195">
      <c r="B195" s="6" t="n"/>
      <c r="C195" s="6" t="n"/>
      <c r="D195" s="6" t="n"/>
      <c r="E195" s="7">
        <f>IF(F195="Late",D195-C195,IF(F195="On time",0,""))</f>
        <v/>
      </c>
      <c r="F195">
        <f>IF(A195="","",IF(OR(NOT(ISNUMBER(B195)),NOT(ISNUMBER(C195))),"Check",IF(D195="","Not shipped",IF(NOT(ISNUMBER(D195)),"Check",IF(OR(D195&lt;B195,C195&lt;B195),"Check",IF(D195&lt;=C195,"On time","Late"))))))</f>
        <v/>
      </c>
    </row>
    <row r="196">
      <c r="B196" s="6" t="n"/>
      <c r="C196" s="6" t="n"/>
      <c r="D196" s="6" t="n"/>
      <c r="E196" s="7">
        <f>IF(F196="Late",D196-C196,IF(F196="On time",0,""))</f>
        <v/>
      </c>
      <c r="F196">
        <f>IF(A196="","",IF(OR(NOT(ISNUMBER(B196)),NOT(ISNUMBER(C196))),"Check",IF(D196="","Not shipped",IF(NOT(ISNUMBER(D196)),"Check",IF(OR(D196&lt;B196,C196&lt;B196),"Check",IF(D196&lt;=C196,"On time","Late"))))))</f>
        <v/>
      </c>
    </row>
    <row r="197">
      <c r="B197" s="6" t="n"/>
      <c r="C197" s="6" t="n"/>
      <c r="D197" s="6" t="n"/>
      <c r="E197" s="7">
        <f>IF(F197="Late",D197-C197,IF(F197="On time",0,""))</f>
        <v/>
      </c>
      <c r="F197">
        <f>IF(A197="","",IF(OR(NOT(ISNUMBER(B197)),NOT(ISNUMBER(C197))),"Check",IF(D197="","Not shipped",IF(NOT(ISNUMBER(D197)),"Check",IF(OR(D197&lt;B197,C197&lt;B197),"Check",IF(D197&lt;=C197,"On time","Late"))))))</f>
        <v/>
      </c>
    </row>
    <row r="198">
      <c r="B198" s="6" t="n"/>
      <c r="C198" s="6" t="n"/>
      <c r="D198" s="6" t="n"/>
      <c r="E198" s="7">
        <f>IF(F198="Late",D198-C198,IF(F198="On time",0,""))</f>
        <v/>
      </c>
      <c r="F198">
        <f>IF(A198="","",IF(OR(NOT(ISNUMBER(B198)),NOT(ISNUMBER(C198))),"Check",IF(D198="","Not shipped",IF(NOT(ISNUMBER(D198)),"Check",IF(OR(D198&lt;B198,C198&lt;B198),"Check",IF(D198&lt;=C198,"On time","Late"))))))</f>
        <v/>
      </c>
    </row>
    <row r="199">
      <c r="B199" s="6" t="n"/>
      <c r="C199" s="6" t="n"/>
      <c r="D199" s="6" t="n"/>
      <c r="E199" s="7">
        <f>IF(F199="Late",D199-C199,IF(F199="On time",0,""))</f>
        <v/>
      </c>
      <c r="F199">
        <f>IF(A199="","",IF(OR(NOT(ISNUMBER(B199)),NOT(ISNUMBER(C199))),"Check",IF(D199="","Not shipped",IF(NOT(ISNUMBER(D199)),"Check",IF(OR(D199&lt;B199,C199&lt;B199),"Check",IF(D199&lt;=C199,"On time","Late"))))))</f>
        <v/>
      </c>
    </row>
    <row r="200">
      <c r="B200" s="6" t="n"/>
      <c r="C200" s="6" t="n"/>
      <c r="D200" s="6" t="n"/>
      <c r="E200" s="7">
        <f>IF(F200="Late",D200-C200,IF(F200="On time",0,""))</f>
        <v/>
      </c>
      <c r="F200">
        <f>IF(A200="","",IF(OR(NOT(ISNUMBER(B200)),NOT(ISNUMBER(C200))),"Check",IF(D200="","Not shipped",IF(NOT(ISNUMBER(D200)),"Check",IF(OR(D200&lt;B200,C200&lt;B200),"Check",IF(D200&lt;=C200,"On time","Late"))))))</f>
        <v/>
      </c>
    </row>
  </sheetData>
  <conditionalFormatting sqref="A2:F200">
    <cfRule type="expression" priority="1" dxfId="0">
      <formula>$F2="Late"</formula>
    </cfRule>
  </conditionalFormatting>
  <conditionalFormatting sqref="F2:F200">
    <cfRule type="expression" priority="2" dxfId="0">
      <formula>$F2="Check"</formula>
    </cfRule>
  </conditionalFormatting>
  <pageMargins left="0.75" right="0.75" top="1" bottom="1" header="0.5" footer="0.5"/>
  <pageSetup orientation="portrait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</cols>
  <sheetData>
    <row r="1">
      <c r="A1" s="8" t="inlineStr">
        <is>
          <t>Shipping summary</t>
        </is>
      </c>
    </row>
    <row r="2">
      <c r="A2" s="9" t="inlineStr">
        <is>
          <t>Orders listed</t>
        </is>
      </c>
      <c r="B2" s="10">
        <f>COUNTA(Orders!A2:A200)</f>
        <v/>
      </c>
    </row>
    <row r="3">
      <c r="A3" s="9" t="inlineStr">
        <is>
          <t>Orders with a shipped date</t>
        </is>
      </c>
      <c r="B3" s="10">
        <f>COUNT(Orders!D2:D200)</f>
        <v/>
      </c>
    </row>
    <row r="4">
      <c r="A4" s="9" t="inlineStr">
        <is>
          <t>Shipped on time (on or before ship-by)</t>
        </is>
      </c>
      <c r="B4" s="10">
        <f>COUNTIF(Orders!$F$2:$F$200,"On time")</f>
        <v/>
      </c>
    </row>
    <row r="5">
      <c r="A5" s="9" t="inlineStr">
        <is>
          <t>Shipped late</t>
        </is>
      </c>
      <c r="B5" s="10">
        <f>COUNTIF(Orders!$F$2:$F$200,"Late")</f>
        <v/>
      </c>
    </row>
    <row r="6">
      <c r="A6" s="9" t="inlineStr">
        <is>
          <t>Not shipped yet (left out of the rate)</t>
        </is>
      </c>
      <c r="B6" s="10">
        <f>COUNTIF(Orders!$F$2:$F$200,"Not shipped")</f>
        <v/>
      </c>
    </row>
    <row r="7">
      <c r="A7" s="9" t="inlineStr">
        <is>
          <t>Rows to check</t>
        </is>
      </c>
      <c r="B7" s="10">
        <f>COUNTIF(Orders!$F$2:$F$200,"Check")</f>
        <v/>
      </c>
    </row>
    <row r="8">
      <c r="A8" s="9" t="inlineStr">
        <is>
          <t>On-time shipping rate</t>
        </is>
      </c>
      <c r="B8" s="11">
        <f>IF(B4+B5=0,"",B4/(B4+B5))</f>
        <v/>
      </c>
    </row>
    <row r="9">
      <c r="A9" s="9" t="inlineStr">
        <is>
          <t>Average days late (late orders only)</t>
        </is>
      </c>
      <c r="B9" s="12">
        <f>IFERROR(AVERAGEIF(Orders!E2:E200,"&gt;0"),0)</f>
        <v/>
      </c>
    </row>
    <row r="10">
      <c r="A10" s="9" t="inlineStr">
        <is>
          <t>Most days late</t>
        </is>
      </c>
      <c r="B10" s="10">
        <f>MAX(Orders!E2:E200)</f>
        <v/>
      </c>
    </row>
    <row r="11">
      <c r="A11" s="9" t="inlineStr">
        <is>
          <t>Check: on time + late = shipped, no rows to check</t>
        </is>
      </c>
      <c r="B11" s="13">
        <f>IF(AND(B4+B5=B3,B7=0),"OK","CHECK")</f>
        <v/>
      </c>
    </row>
  </sheetData>
  <conditionalFormatting sqref="B11">
    <cfRule type="expression" priority="1" dxfId="0">
      <formula>B11="CHECK"</formula>
    </cfRule>
  </conditionalFormatting>
  <pageMargins left="0.75" right="0.75" top="1" bottom="1" header="0.5" footer="0.5"/>
  <pageSetup orientation="portrait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1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4" t="inlineStr">
        <is>
          <t>Tidy Tabs: On-Time Shipping Rate From Ship-By and Shipped Dates</t>
        </is>
      </c>
    </row>
    <row r="2">
      <c r="A2" s="15" t="inlineStr"/>
    </row>
    <row r="3">
      <c r="A3" s="15" t="inlineStr">
        <is>
          <t>1. Orders tab: paste or type Order ID, Order date, Ship-by date and Shipped date in A to D (yellow). Rows 2 to 200 have formulas ready. Leave Shipped date blank for orders not shipped yet.</t>
        </is>
      </c>
    </row>
    <row r="4">
      <c r="A4" s="15" t="inlineStr">
        <is>
          <t>2. Status F2 compares the dates: On time when Shipped date is on or before Ship-by date, Late when it is after, Not shipped when it is blank.</t>
        </is>
      </c>
    </row>
    <row r="5">
      <c r="A5" s="15" t="inlineStr">
        <is>
          <t>3. F2 shows Check when a date is typed as text, or when the shipped or ship-by date is before the order date. Check rows stay out of the counts.</t>
        </is>
      </c>
    </row>
    <row r="6">
      <c r="A6" s="15" t="inlineStr">
        <is>
          <t>4. Days late E2 is Shipped date minus Ship-by date for late orders and 0 for on-time orders. Late rows are colored.</t>
        </is>
      </c>
    </row>
    <row r="7">
      <c r="A7" s="15" t="inlineStr">
        <is>
          <t>5. Summary tab: B8 is the on-time rate, on time divided by (on time + late). Orders not shipped yet are left out. With no shipped orders the rate stays blank instead of #DIV/0!.</t>
        </is>
      </c>
    </row>
    <row r="8">
      <c r="A8" s="15" t="inlineStr">
        <is>
          <t>6. B9 is the average days late among late orders (0 when none are late) and B10 is the longest delay.</t>
        </is>
      </c>
    </row>
    <row r="9">
      <c r="A9" s="15" t="inlineStr">
        <is>
          <t>7. B11 shows OK when on time plus late equals the orders with a shipped date and no row needs checking.</t>
        </is>
      </c>
    </row>
    <row r="10">
      <c r="A10" s="15" t="inlineStr">
        <is>
          <t>8. Dates must be real dates. A date typed as text (usually left-aligned) shows Check. Times of day are not used.</t>
        </is>
      </c>
    </row>
    <row r="11">
      <c r="A11" s="15" t="inlineStr">
        <is>
          <t>9. Marketplaces set and measure their own shipping targets. Use their seller help pages for the official numbers; this sheet only compares your own dates.</t>
        </is>
      </c>
    </row>
    <row r="12">
      <c r="A12" s="15" t="inlineStr">
        <is>
          <t>10. The print area covers the first 40 orders. Change the print area to print more.</t>
        </is>
      </c>
    </row>
    <row r="13">
      <c r="A13" s="15" t="inlineStr"/>
    </row>
    <row r="14">
      <c r="A14" s="15" t="inlineStr">
        <is>
          <t>Orders and dates are fictional. Checked in LibreOffice Calc only; not opened in Excel or Google Sheets.</t>
        </is>
      </c>
    </row>
    <row r="15">
      <c r="A15" s="15" t="inlineStr">
        <is>
          <t>Google Sheets: File &gt; Import &gt; Upload this .xlsx.</t>
        </is>
      </c>
    </row>
  </sheetData>
  <pageMargins left="0.75" right="0.75" top="1" bottom="1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2026-10-17T07:35:54Z</dcterms:created>
  <dcterms:modified xsi:type="dcterms:W3CDTF">2026-10-17T07:35:54Z</dcterms:modified>
</cp:coreProperties>
</file>