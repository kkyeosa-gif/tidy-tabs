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s" sheetId="1" state="visible" r:id="rId1"/>
    <sheet xmlns:r="http://schemas.openxmlformats.org/officeDocument/2006/relationships" name="Ranges" sheetId="2" state="visible" r:id="rId2"/>
    <sheet xmlns:r="http://schemas.openxmlformats.org/officeDocument/2006/relationships" name="How to use" sheetId="3" state="visible" r:id="rId3"/>
  </sheets>
  <definedNames>
    <definedName name="_xlnm.Print_Titles" localSheetId="0">'Orders'!$1:$1</definedName>
    <definedName name="_xlnm.Print_Area" localSheetId="0">'Orders'!$A$1:$C$41</definedName>
    <definedName name="_xlnm.Print_Titles" localSheetId="1">'Ranges'!$1:$1</definedName>
  </definedNames>
  <calcPr calcId="124519" fullCalcOnLoad="1"/>
</workbook>
</file>

<file path=xl/styles.xml><?xml version="1.0" encoding="utf-8"?>
<styleSheet xmlns="http://schemas.openxmlformats.org/spreadsheetml/2006/main">
  <numFmts count="4">
    <numFmt numFmtId="164" formatCode="yyyy-mm-dd"/>
    <numFmt numFmtId="165" formatCode="mm/dd/yyyy"/>
    <numFmt numFmtId="166" formatCode="&quot;$&quot;#,##0.00"/>
    <numFmt numFmtId="167" formatCode="0.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0" fillId="3" borderId="0" pivotButton="0" quotePrefix="0" xfId="0"/>
    <xf numFmtId="165" fontId="0" fillId="3" borderId="0" pivotButton="0" quotePrefix="0" xfId="0"/>
    <xf numFmtId="166" fontId="0" fillId="3" borderId="0" pivotButton="0" quotePrefix="0" xfId="0"/>
    <xf numFmtId="166" fontId="0" fillId="4" borderId="0" pivotButton="0" quotePrefix="0" xfId="0"/>
    <xf numFmtId="0" fontId="0" fillId="4" borderId="0" pivotButton="0" quotePrefix="0" xfId="0"/>
    <xf numFmtId="167" fontId="0" fillId="4" borderId="0" pivotButton="0" quotePrefix="0" xfId="0"/>
    <xf numFmtId="0" fontId="2" fillId="4" borderId="0" pivotButton="0" quotePrefix="0" xfId="0"/>
    <xf numFmtId="166" fontId="2" fillId="4" borderId="0" pivotButton="0" quotePrefix="0" xfId="0"/>
    <xf numFmtId="167" fontId="2" fillId="4" borderId="0" pivotButton="0" quotePrefix="0" xfId="0"/>
    <xf numFmtId="0" fontId="2" fillId="0" borderId="0" pivotButton="0" quotePrefix="0" xfId="0"/>
    <xf numFmtId="1" fontId="0" fillId="4" borderId="0" applyAlignment="1" pivotButton="0" quotePrefix="0" xfId="0">
      <alignment horizontal="right"/>
    </xf>
    <xf numFmtId="0" fontId="0" fillId="4" borderId="0" applyAlignment="1" pivotButton="0" quotePrefix="0" xfId="0">
      <alignment horizontal="right"/>
    </xf>
    <xf numFmtId="166" fontId="0" fillId="4" borderId="0" applyAlignment="1" pivotButton="0" quotePrefix="0" xfId="0">
      <alignment horizontal="right"/>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00"/>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s>
  <sheetData>
    <row r="1" ht="30" customHeight="1">
      <c r="A1" s="1" t="inlineStr">
        <is>
          <t>Order ID</t>
        </is>
      </c>
      <c r="B1" s="1" t="inlineStr">
        <is>
          <t>Date</t>
        </is>
      </c>
      <c r="C1" s="1" t="inlineStr">
        <is>
          <t>Amount</t>
        </is>
      </c>
    </row>
    <row r="2">
      <c r="A2" s="2" t="inlineStr">
        <is>
          <t>ORD-5001</t>
        </is>
      </c>
      <c r="B2" s="3" t="n">
        <v>46266</v>
      </c>
      <c r="C2" s="4" t="n">
        <v>12</v>
      </c>
    </row>
    <row r="3">
      <c r="A3" s="2" t="inlineStr">
        <is>
          <t>ORD-5002</t>
        </is>
      </c>
      <c r="B3" s="3" t="n">
        <v>46267</v>
      </c>
      <c r="C3" s="4" t="n">
        <v>24</v>
      </c>
    </row>
    <row r="4">
      <c r="A4" s="2" t="inlineStr">
        <is>
          <t>ORD-5003</t>
        </is>
      </c>
      <c r="B4" s="3" t="n">
        <v>46268</v>
      </c>
      <c r="C4" s="4" t="n">
        <v>36.5</v>
      </c>
    </row>
    <row r="5">
      <c r="A5" s="2" t="inlineStr">
        <is>
          <t>ORD-5004</t>
        </is>
      </c>
      <c r="B5" s="3" t="n">
        <v>46269</v>
      </c>
      <c r="C5" s="4" t="n">
        <v>8</v>
      </c>
    </row>
    <row r="6">
      <c r="A6" s="2" t="inlineStr">
        <is>
          <t>ORD-5005</t>
        </is>
      </c>
      <c r="B6" s="3" t="n">
        <v>46270</v>
      </c>
      <c r="C6" s="4" t="n">
        <v>52</v>
      </c>
    </row>
    <row r="7">
      <c r="A7" s="2" t="inlineStr">
        <is>
          <t>ORD-5006</t>
        </is>
      </c>
      <c r="B7" s="3" t="n">
        <v>46271</v>
      </c>
      <c r="C7" s="4" t="n">
        <v>25</v>
      </c>
    </row>
    <row r="8">
      <c r="A8" s="2" t="inlineStr">
        <is>
          <t>ORD-5007</t>
        </is>
      </c>
      <c r="B8" s="3" t="n">
        <v>46272</v>
      </c>
      <c r="C8" s="4" t="n">
        <v>18.5</v>
      </c>
    </row>
    <row r="9">
      <c r="A9" s="2" t="inlineStr">
        <is>
          <t>ORD-5008</t>
        </is>
      </c>
      <c r="B9" s="3" t="n">
        <v>46273</v>
      </c>
      <c r="C9" s="4" t="n">
        <v>74</v>
      </c>
    </row>
    <row r="10">
      <c r="A10" s="2" t="inlineStr">
        <is>
          <t>ORD-5009</t>
        </is>
      </c>
      <c r="B10" s="3" t="n">
        <v>46274</v>
      </c>
      <c r="C10" s="4" t="n">
        <v>4</v>
      </c>
    </row>
    <row r="11">
      <c r="A11" s="2" t="inlineStr">
        <is>
          <t>ORD-5010</t>
        </is>
      </c>
      <c r="B11" s="3" t="n">
        <v>46275</v>
      </c>
      <c r="C11" s="4" t="n">
        <v>31</v>
      </c>
    </row>
    <row r="12">
      <c r="A12" s="2" t="inlineStr">
        <is>
          <t>ORD-5011</t>
        </is>
      </c>
      <c r="B12" s="3" t="n">
        <v>46276</v>
      </c>
      <c r="C12" s="4" t="n">
        <v>140</v>
      </c>
    </row>
    <row r="13">
      <c r="A13" s="2" t="inlineStr">
        <is>
          <t>ORD-5012</t>
        </is>
      </c>
      <c r="B13" s="3" t="n">
        <v>46277</v>
      </c>
      <c r="C13" s="4" t="n">
        <v>22</v>
      </c>
    </row>
    <row r="14">
      <c r="A14" s="2" t="inlineStr">
        <is>
          <t>ORD-5013</t>
        </is>
      </c>
      <c r="B14" s="3" t="n">
        <v>46278</v>
      </c>
      <c r="C14" s="4" t="n">
        <v>49.99</v>
      </c>
    </row>
    <row r="15">
      <c r="A15" s="2" t="inlineStr">
        <is>
          <t>ORD-5014</t>
        </is>
      </c>
      <c r="B15" s="3" t="n">
        <v>46279</v>
      </c>
      <c r="C15" s="4" t="n">
        <v>60</v>
      </c>
    </row>
    <row r="16">
      <c r="A16" s="2" t="inlineStr">
        <is>
          <t>ORD-5015</t>
        </is>
      </c>
      <c r="B16" s="3" t="n">
        <v>46280</v>
      </c>
      <c r="C16" s="4" t="n">
        <v>15</v>
      </c>
    </row>
    <row r="17">
      <c r="A17" s="2" t="inlineStr">
        <is>
          <t>ORD-5016</t>
        </is>
      </c>
      <c r="B17" s="3" t="n">
        <v>46281</v>
      </c>
      <c r="C17" s="4" t="n">
        <v>28.5</v>
      </c>
    </row>
    <row r="18">
      <c r="A18" s="2" t="inlineStr">
        <is>
          <t>ORD-5017</t>
        </is>
      </c>
      <c r="B18" s="3" t="n">
        <v>46282</v>
      </c>
      <c r="C18" s="4" t="n">
        <v>50</v>
      </c>
    </row>
    <row r="19">
      <c r="A19" s="2" t="inlineStr">
        <is>
          <t>ORD-5018</t>
        </is>
      </c>
      <c r="B19" s="3" t="n">
        <v>46283</v>
      </c>
      <c r="C19" s="4" t="n">
        <v>9</v>
      </c>
    </row>
    <row r="20">
      <c r="A20" s="2" t="inlineStr">
        <is>
          <t>ORD-5019</t>
        </is>
      </c>
      <c r="B20" s="3" t="n">
        <v>46284</v>
      </c>
      <c r="C20" s="4" t="n">
        <v>87.5</v>
      </c>
    </row>
    <row r="21">
      <c r="A21" s="2" t="inlineStr">
        <is>
          <t>ORD-5020</t>
        </is>
      </c>
      <c r="B21" s="3" t="n">
        <v>46285</v>
      </c>
      <c r="C21" s="4" t="n">
        <v>19.99</v>
      </c>
    </row>
    <row r="22">
      <c r="A22" s="2" t="inlineStr">
        <is>
          <t>ORD-5021</t>
        </is>
      </c>
      <c r="B22" s="3" t="n">
        <v>46286</v>
      </c>
      <c r="C22" s="4" t="n">
        <v>33</v>
      </c>
    </row>
    <row r="23">
      <c r="A23" s="2" t="inlineStr">
        <is>
          <t>ORD-5022</t>
        </is>
      </c>
      <c r="B23" s="3" t="n">
        <v>46287</v>
      </c>
      <c r="C23" s="4" t="n">
        <v>41</v>
      </c>
    </row>
    <row r="24">
      <c r="A24" s="2" t="inlineStr">
        <is>
          <t>ORD-5023</t>
        </is>
      </c>
      <c r="B24" s="3" t="n">
        <v>46288</v>
      </c>
      <c r="C24" s="4" t="n">
        <v>100</v>
      </c>
    </row>
    <row r="25">
      <c r="A25" s="2" t="inlineStr">
        <is>
          <t>ORD-5024</t>
        </is>
      </c>
      <c r="B25" s="3" t="n">
        <v>46289</v>
      </c>
      <c r="C25" s="4" t="n">
        <v>14</v>
      </c>
    </row>
    <row r="26">
      <c r="A26" s="2" t="inlineStr">
        <is>
          <t>ORD-5025</t>
        </is>
      </c>
      <c r="B26" s="3" t="n">
        <v>46290</v>
      </c>
      <c r="C26" s="4" t="n">
        <v>26</v>
      </c>
    </row>
    <row r="27">
      <c r="A27" s="2" t="inlineStr">
        <is>
          <t>ORD-5026</t>
        </is>
      </c>
      <c r="B27" s="3" t="n">
        <v>46291</v>
      </c>
      <c r="C27" s="4" t="n">
        <v>65</v>
      </c>
    </row>
    <row r="28">
      <c r="A28" s="2" t="inlineStr">
        <is>
          <t>ORD-5027</t>
        </is>
      </c>
      <c r="B28" s="3" t="n">
        <v>46292</v>
      </c>
      <c r="C28" s="4" t="n">
        <v>11</v>
      </c>
    </row>
    <row r="29">
      <c r="A29" s="2" t="inlineStr">
        <is>
          <t>ORD-5028</t>
        </is>
      </c>
      <c r="B29" s="3" t="n">
        <v>46293</v>
      </c>
      <c r="C29" s="4" t="n">
        <v>38</v>
      </c>
    </row>
    <row r="30">
      <c r="A30" s="2" t="inlineStr">
        <is>
          <t>ORD-5029</t>
        </is>
      </c>
      <c r="B30" s="3" t="n">
        <v>46294</v>
      </c>
      <c r="C30" s="4" t="n">
        <v>125</v>
      </c>
    </row>
    <row r="31">
      <c r="A31" s="2" t="inlineStr">
        <is>
          <t>ORD-5030</t>
        </is>
      </c>
      <c r="B31" s="3" t="n">
        <v>46295</v>
      </c>
      <c r="C31" s="4" t="n">
        <v>20</v>
      </c>
    </row>
    <row r="32">
      <c r="A32" s="2" t="inlineStr">
        <is>
          <t>ORD-5031</t>
        </is>
      </c>
      <c r="B32" s="3" t="n">
        <v>46296</v>
      </c>
      <c r="C32" s="4" t="n">
        <v>45</v>
      </c>
    </row>
    <row r="33">
      <c r="A33" s="2" t="inlineStr">
        <is>
          <t>ORD-5032</t>
        </is>
      </c>
      <c r="B33" s="3" t="n">
        <v>46297</v>
      </c>
      <c r="C33" s="4" t="n">
        <v>6.5</v>
      </c>
    </row>
    <row r="34">
      <c r="A34" s="2" t="inlineStr">
        <is>
          <t>ORD-5033</t>
        </is>
      </c>
      <c r="B34" s="3" t="n">
        <v>46298</v>
      </c>
      <c r="C34" s="4" t="n">
        <v>55</v>
      </c>
    </row>
    <row r="35">
      <c r="A35" s="2" t="inlineStr">
        <is>
          <t>ORD-5034</t>
        </is>
      </c>
      <c r="B35" s="3" t="n">
        <v>46299</v>
      </c>
      <c r="C35" s="4" t="n">
        <v>17</v>
      </c>
    </row>
    <row r="36">
      <c r="A36" s="2" t="inlineStr">
        <is>
          <t>ORD-5035</t>
        </is>
      </c>
      <c r="B36" s="3" t="n">
        <v>46300</v>
      </c>
      <c r="C36" s="4" t="n">
        <v>29</v>
      </c>
    </row>
    <row r="37">
      <c r="A37" s="2" t="inlineStr">
        <is>
          <t>ORD-5036</t>
        </is>
      </c>
      <c r="B37" s="3" t="n">
        <v>46301</v>
      </c>
      <c r="C37" s="4" t="n">
        <v>72</v>
      </c>
    </row>
    <row r="38">
      <c r="A38" s="2" t="inlineStr">
        <is>
          <t>ORD-5037</t>
        </is>
      </c>
      <c r="B38" s="3" t="n">
        <v>46302</v>
      </c>
      <c r="C38" s="4" t="n">
        <v>23.5</v>
      </c>
    </row>
    <row r="39">
      <c r="A39" s="2" t="inlineStr">
        <is>
          <t>ORD-5038</t>
        </is>
      </c>
      <c r="B39" s="3" t="n">
        <v>46303</v>
      </c>
      <c r="C39" s="4" t="n">
        <v>98</v>
      </c>
    </row>
    <row r="40">
      <c r="A40" s="2" t="inlineStr">
        <is>
          <t>ORD-5039</t>
        </is>
      </c>
      <c r="B40" s="3" t="n">
        <v>46304</v>
      </c>
      <c r="C40" s="4" t="n">
        <v>13</v>
      </c>
    </row>
    <row r="41">
      <c r="A41" s="2" t="inlineStr">
        <is>
          <t>ORD-5040</t>
        </is>
      </c>
      <c r="B41" s="3" t="n">
        <v>46305</v>
      </c>
      <c r="C41" s="4" t="n">
        <v>35</v>
      </c>
    </row>
    <row r="42">
      <c r="A42" s="2" t="n"/>
      <c r="B42" s="3" t="n"/>
      <c r="C42" s="4" t="n"/>
    </row>
    <row r="43">
      <c r="A43" s="2" t="n"/>
      <c r="B43" s="3" t="n"/>
      <c r="C43" s="4" t="n"/>
    </row>
    <row r="44">
      <c r="A44" s="2" t="n"/>
      <c r="B44" s="3" t="n"/>
      <c r="C44" s="4" t="n"/>
    </row>
    <row r="45">
      <c r="A45" s="2" t="n"/>
      <c r="B45" s="3" t="n"/>
      <c r="C45" s="4" t="n"/>
    </row>
    <row r="46">
      <c r="A46" s="2" t="n"/>
      <c r="B46" s="3" t="n"/>
      <c r="C46" s="4" t="n"/>
    </row>
    <row r="47">
      <c r="A47" s="2" t="n"/>
      <c r="B47" s="3" t="n"/>
      <c r="C47" s="4" t="n"/>
    </row>
    <row r="48">
      <c r="A48" s="2" t="n"/>
      <c r="B48" s="3" t="n"/>
      <c r="C48" s="4" t="n"/>
    </row>
    <row r="49">
      <c r="A49" s="2" t="n"/>
      <c r="B49" s="3" t="n"/>
      <c r="C49" s="4" t="n"/>
    </row>
    <row r="50">
      <c r="A50" s="2" t="n"/>
      <c r="B50" s="3" t="n"/>
      <c r="C50" s="4" t="n"/>
    </row>
    <row r="51">
      <c r="A51" s="2" t="n"/>
      <c r="B51" s="3" t="n"/>
      <c r="C51" s="4" t="n"/>
    </row>
    <row r="52">
      <c r="A52" s="2" t="n"/>
      <c r="B52" s="3" t="n"/>
      <c r="C52" s="4" t="n"/>
    </row>
    <row r="53">
      <c r="A53" s="2" t="n"/>
      <c r="B53" s="3" t="n"/>
      <c r="C53" s="4" t="n"/>
    </row>
    <row r="54">
      <c r="A54" s="2" t="n"/>
      <c r="B54" s="3" t="n"/>
      <c r="C54" s="4" t="n"/>
    </row>
    <row r="55">
      <c r="A55" s="2" t="n"/>
      <c r="B55" s="3" t="n"/>
      <c r="C55" s="4" t="n"/>
    </row>
    <row r="56">
      <c r="A56" s="2" t="n"/>
      <c r="B56" s="3" t="n"/>
      <c r="C56" s="4" t="n"/>
    </row>
    <row r="57">
      <c r="A57" s="2" t="n"/>
      <c r="B57" s="3" t="n"/>
      <c r="C57" s="4" t="n"/>
    </row>
    <row r="58">
      <c r="A58" s="2" t="n"/>
      <c r="B58" s="3" t="n"/>
      <c r="C58" s="4" t="n"/>
    </row>
    <row r="59">
      <c r="A59" s="2" t="n"/>
      <c r="B59" s="3" t="n"/>
      <c r="C59" s="4" t="n"/>
    </row>
    <row r="60">
      <c r="A60" s="2" t="n"/>
      <c r="B60" s="3" t="n"/>
      <c r="C60" s="4" t="n"/>
    </row>
    <row r="61">
      <c r="A61" s="2" t="n"/>
      <c r="B61" s="3" t="n"/>
      <c r="C61" s="4" t="n"/>
    </row>
    <row r="62">
      <c r="A62" s="2" t="n"/>
      <c r="B62" s="3" t="n"/>
      <c r="C62" s="4" t="n"/>
    </row>
    <row r="63">
      <c r="A63" s="2" t="n"/>
      <c r="B63" s="3" t="n"/>
      <c r="C63" s="4" t="n"/>
    </row>
    <row r="64">
      <c r="A64" s="2" t="n"/>
      <c r="B64" s="3" t="n"/>
      <c r="C64" s="4" t="n"/>
    </row>
    <row r="65">
      <c r="A65" s="2" t="n"/>
      <c r="B65" s="3" t="n"/>
      <c r="C65" s="4" t="n"/>
    </row>
    <row r="66">
      <c r="A66" s="2" t="n"/>
      <c r="B66" s="3" t="n"/>
      <c r="C66" s="4" t="n"/>
    </row>
    <row r="67">
      <c r="A67" s="2" t="n"/>
      <c r="B67" s="3" t="n"/>
      <c r="C67" s="4" t="n"/>
    </row>
    <row r="68">
      <c r="A68" s="2" t="n"/>
      <c r="B68" s="3" t="n"/>
      <c r="C68" s="4" t="n"/>
    </row>
    <row r="69">
      <c r="A69" s="2" t="n"/>
      <c r="B69" s="3" t="n"/>
      <c r="C69" s="4" t="n"/>
    </row>
    <row r="70">
      <c r="A70" s="2" t="n"/>
      <c r="B70" s="3" t="n"/>
      <c r="C70" s="4" t="n"/>
    </row>
    <row r="71">
      <c r="A71" s="2" t="n"/>
      <c r="B71" s="3" t="n"/>
      <c r="C71" s="4" t="n"/>
    </row>
    <row r="72">
      <c r="A72" s="2" t="n"/>
      <c r="B72" s="3" t="n"/>
      <c r="C72" s="4" t="n"/>
    </row>
    <row r="73">
      <c r="A73" s="2" t="n"/>
      <c r="B73" s="3" t="n"/>
      <c r="C73" s="4" t="n"/>
    </row>
    <row r="74">
      <c r="A74" s="2" t="n"/>
      <c r="B74" s="3" t="n"/>
      <c r="C74" s="4" t="n"/>
    </row>
    <row r="75">
      <c r="A75" s="2" t="n"/>
      <c r="B75" s="3" t="n"/>
      <c r="C75" s="4" t="n"/>
    </row>
    <row r="76">
      <c r="A76" s="2" t="n"/>
      <c r="B76" s="3" t="n"/>
      <c r="C76" s="4" t="n"/>
    </row>
    <row r="77">
      <c r="A77" s="2" t="n"/>
      <c r="B77" s="3" t="n"/>
      <c r="C77" s="4" t="n"/>
    </row>
    <row r="78">
      <c r="A78" s="2" t="n"/>
      <c r="B78" s="3" t="n"/>
      <c r="C78" s="4" t="n"/>
    </row>
    <row r="79">
      <c r="A79" s="2" t="n"/>
      <c r="B79" s="3" t="n"/>
      <c r="C79" s="4" t="n"/>
    </row>
    <row r="80">
      <c r="A80" s="2" t="n"/>
      <c r="B80" s="3" t="n"/>
      <c r="C80" s="4" t="n"/>
    </row>
    <row r="81">
      <c r="A81" s="2" t="n"/>
      <c r="B81" s="3" t="n"/>
      <c r="C81" s="4" t="n"/>
    </row>
    <row r="82">
      <c r="A82" s="2" t="n"/>
      <c r="B82" s="3" t="n"/>
      <c r="C82" s="4" t="n"/>
    </row>
    <row r="83">
      <c r="A83" s="2" t="n"/>
      <c r="B83" s="3" t="n"/>
      <c r="C83" s="4" t="n"/>
    </row>
    <row r="84">
      <c r="A84" s="2" t="n"/>
      <c r="B84" s="3" t="n"/>
      <c r="C84" s="4" t="n"/>
    </row>
    <row r="85">
      <c r="A85" s="2" t="n"/>
      <c r="B85" s="3" t="n"/>
      <c r="C85" s="4" t="n"/>
    </row>
    <row r="86">
      <c r="A86" s="2" t="n"/>
      <c r="B86" s="3" t="n"/>
      <c r="C86" s="4" t="n"/>
    </row>
    <row r="87">
      <c r="A87" s="2" t="n"/>
      <c r="B87" s="3" t="n"/>
      <c r="C87" s="4" t="n"/>
    </row>
    <row r="88">
      <c r="A88" s="2" t="n"/>
      <c r="B88" s="3" t="n"/>
      <c r="C88" s="4" t="n"/>
    </row>
    <row r="89">
      <c r="A89" s="2" t="n"/>
      <c r="B89" s="3" t="n"/>
      <c r="C89" s="4" t="n"/>
    </row>
    <row r="90">
      <c r="A90" s="2" t="n"/>
      <c r="B90" s="3" t="n"/>
      <c r="C90" s="4" t="n"/>
    </row>
    <row r="91">
      <c r="A91" s="2" t="n"/>
      <c r="B91" s="3" t="n"/>
      <c r="C91" s="4" t="n"/>
    </row>
    <row r="92">
      <c r="A92" s="2" t="n"/>
      <c r="B92" s="3" t="n"/>
      <c r="C92" s="4" t="n"/>
    </row>
    <row r="93">
      <c r="A93" s="2" t="n"/>
      <c r="B93" s="3" t="n"/>
      <c r="C93" s="4" t="n"/>
    </row>
    <row r="94">
      <c r="A94" s="2" t="n"/>
      <c r="B94" s="3" t="n"/>
      <c r="C94" s="4" t="n"/>
    </row>
    <row r="95">
      <c r="A95" s="2" t="n"/>
      <c r="B95" s="3" t="n"/>
      <c r="C95" s="4" t="n"/>
    </row>
    <row r="96">
      <c r="A96" s="2" t="n"/>
      <c r="B96" s="3" t="n"/>
      <c r="C96" s="4" t="n"/>
    </row>
    <row r="97">
      <c r="A97" s="2" t="n"/>
      <c r="B97" s="3" t="n"/>
      <c r="C97" s="4" t="n"/>
    </row>
    <row r="98">
      <c r="A98" s="2" t="n"/>
      <c r="B98" s="3" t="n"/>
      <c r="C98" s="4" t="n"/>
    </row>
    <row r="99">
      <c r="A99" s="2" t="n"/>
      <c r="B99" s="3" t="n"/>
      <c r="C99" s="4" t="n"/>
    </row>
    <row r="100">
      <c r="A100" s="2" t="n"/>
      <c r="B100" s="3" t="n"/>
      <c r="C100" s="4" t="n"/>
    </row>
    <row r="101">
      <c r="A101" s="2" t="n"/>
      <c r="B101" s="3" t="n"/>
      <c r="C101" s="4" t="n"/>
    </row>
    <row r="102">
      <c r="A102" s="2" t="n"/>
      <c r="B102" s="3" t="n"/>
      <c r="C102" s="4" t="n"/>
    </row>
    <row r="103">
      <c r="A103" s="2" t="n"/>
      <c r="B103" s="3" t="n"/>
      <c r="C103" s="4" t="n"/>
    </row>
    <row r="104">
      <c r="A104" s="2" t="n"/>
      <c r="B104" s="3" t="n"/>
      <c r="C104" s="4" t="n"/>
    </row>
    <row r="105">
      <c r="A105" s="2" t="n"/>
      <c r="B105" s="3" t="n"/>
      <c r="C105" s="4" t="n"/>
    </row>
    <row r="106">
      <c r="A106" s="2" t="n"/>
      <c r="B106" s="3" t="n"/>
      <c r="C106" s="4" t="n"/>
    </row>
    <row r="107">
      <c r="A107" s="2" t="n"/>
      <c r="B107" s="3" t="n"/>
      <c r="C107" s="4" t="n"/>
    </row>
    <row r="108">
      <c r="A108" s="2" t="n"/>
      <c r="B108" s="3" t="n"/>
      <c r="C108" s="4" t="n"/>
    </row>
    <row r="109">
      <c r="A109" s="2" t="n"/>
      <c r="B109" s="3" t="n"/>
      <c r="C109" s="4" t="n"/>
    </row>
    <row r="110">
      <c r="A110" s="2" t="n"/>
      <c r="B110" s="3" t="n"/>
      <c r="C110" s="4" t="n"/>
    </row>
    <row r="111">
      <c r="A111" s="2" t="n"/>
      <c r="B111" s="3" t="n"/>
      <c r="C111" s="4" t="n"/>
    </row>
    <row r="112">
      <c r="A112" s="2" t="n"/>
      <c r="B112" s="3" t="n"/>
      <c r="C112" s="4" t="n"/>
    </row>
    <row r="113">
      <c r="A113" s="2" t="n"/>
      <c r="B113" s="3" t="n"/>
      <c r="C113" s="4" t="n"/>
    </row>
    <row r="114">
      <c r="A114" s="2" t="n"/>
      <c r="B114" s="3" t="n"/>
      <c r="C114" s="4" t="n"/>
    </row>
    <row r="115">
      <c r="A115" s="2" t="n"/>
      <c r="B115" s="3" t="n"/>
      <c r="C115" s="4" t="n"/>
    </row>
    <row r="116">
      <c r="A116" s="2" t="n"/>
      <c r="B116" s="3" t="n"/>
      <c r="C116" s="4" t="n"/>
    </row>
    <row r="117">
      <c r="A117" s="2" t="n"/>
      <c r="B117" s="3" t="n"/>
      <c r="C117" s="4" t="n"/>
    </row>
    <row r="118">
      <c r="A118" s="2" t="n"/>
      <c r="B118" s="3" t="n"/>
      <c r="C118" s="4" t="n"/>
    </row>
    <row r="119">
      <c r="A119" s="2" t="n"/>
      <c r="B119" s="3" t="n"/>
      <c r="C119" s="4" t="n"/>
    </row>
    <row r="120">
      <c r="A120" s="2" t="n"/>
      <c r="B120" s="3" t="n"/>
      <c r="C120" s="4" t="n"/>
    </row>
    <row r="121">
      <c r="A121" s="2" t="n"/>
      <c r="B121" s="3" t="n"/>
      <c r="C121" s="4" t="n"/>
    </row>
    <row r="122">
      <c r="A122" s="2" t="n"/>
      <c r="B122" s="3" t="n"/>
      <c r="C122" s="4" t="n"/>
    </row>
    <row r="123">
      <c r="A123" s="2" t="n"/>
      <c r="B123" s="3" t="n"/>
      <c r="C123" s="4" t="n"/>
    </row>
    <row r="124">
      <c r="A124" s="2" t="n"/>
      <c r="B124" s="3" t="n"/>
      <c r="C124" s="4" t="n"/>
    </row>
    <row r="125">
      <c r="A125" s="2" t="n"/>
      <c r="B125" s="3" t="n"/>
      <c r="C125" s="4" t="n"/>
    </row>
    <row r="126">
      <c r="A126" s="2" t="n"/>
      <c r="B126" s="3" t="n"/>
      <c r="C126" s="4" t="n"/>
    </row>
    <row r="127">
      <c r="A127" s="2" t="n"/>
      <c r="B127" s="3" t="n"/>
      <c r="C127" s="4" t="n"/>
    </row>
    <row r="128">
      <c r="A128" s="2" t="n"/>
      <c r="B128" s="3" t="n"/>
      <c r="C128" s="4" t="n"/>
    </row>
    <row r="129">
      <c r="A129" s="2" t="n"/>
      <c r="B129" s="3" t="n"/>
      <c r="C129" s="4" t="n"/>
    </row>
    <row r="130">
      <c r="A130" s="2" t="n"/>
      <c r="B130" s="3" t="n"/>
      <c r="C130" s="4" t="n"/>
    </row>
    <row r="131">
      <c r="A131" s="2" t="n"/>
      <c r="B131" s="3" t="n"/>
      <c r="C131" s="4" t="n"/>
    </row>
    <row r="132">
      <c r="A132" s="2" t="n"/>
      <c r="B132" s="3" t="n"/>
      <c r="C132" s="4" t="n"/>
    </row>
    <row r="133">
      <c r="A133" s="2" t="n"/>
      <c r="B133" s="3" t="n"/>
      <c r="C133" s="4" t="n"/>
    </row>
    <row r="134">
      <c r="A134" s="2" t="n"/>
      <c r="B134" s="3" t="n"/>
      <c r="C134" s="4" t="n"/>
    </row>
    <row r="135">
      <c r="A135" s="2" t="n"/>
      <c r="B135" s="3" t="n"/>
      <c r="C135" s="4" t="n"/>
    </row>
    <row r="136">
      <c r="A136" s="2" t="n"/>
      <c r="B136" s="3" t="n"/>
      <c r="C136" s="4" t="n"/>
    </row>
    <row r="137">
      <c r="A137" s="2" t="n"/>
      <c r="B137" s="3" t="n"/>
      <c r="C137" s="4" t="n"/>
    </row>
    <row r="138">
      <c r="A138" s="2" t="n"/>
      <c r="B138" s="3" t="n"/>
      <c r="C138" s="4" t="n"/>
    </row>
    <row r="139">
      <c r="A139" s="2" t="n"/>
      <c r="B139" s="3" t="n"/>
      <c r="C139" s="4" t="n"/>
    </row>
    <row r="140">
      <c r="A140" s="2" t="n"/>
      <c r="B140" s="3" t="n"/>
      <c r="C140" s="4" t="n"/>
    </row>
    <row r="141">
      <c r="A141" s="2" t="n"/>
      <c r="B141" s="3" t="n"/>
      <c r="C141" s="4" t="n"/>
    </row>
    <row r="142">
      <c r="A142" s="2" t="n"/>
      <c r="B142" s="3" t="n"/>
      <c r="C142" s="4" t="n"/>
    </row>
    <row r="143">
      <c r="A143" s="2" t="n"/>
      <c r="B143" s="3" t="n"/>
      <c r="C143" s="4" t="n"/>
    </row>
    <row r="144">
      <c r="A144" s="2" t="n"/>
      <c r="B144" s="3" t="n"/>
      <c r="C144" s="4" t="n"/>
    </row>
    <row r="145">
      <c r="A145" s="2" t="n"/>
      <c r="B145" s="3" t="n"/>
      <c r="C145" s="4" t="n"/>
    </row>
    <row r="146">
      <c r="A146" s="2" t="n"/>
      <c r="B146" s="3" t="n"/>
      <c r="C146" s="4" t="n"/>
    </row>
    <row r="147">
      <c r="A147" s="2" t="n"/>
      <c r="B147" s="3" t="n"/>
      <c r="C147" s="4" t="n"/>
    </row>
    <row r="148">
      <c r="A148" s="2" t="n"/>
      <c r="B148" s="3" t="n"/>
      <c r="C148" s="4" t="n"/>
    </row>
    <row r="149">
      <c r="A149" s="2" t="n"/>
      <c r="B149" s="3" t="n"/>
      <c r="C149" s="4" t="n"/>
    </row>
    <row r="150">
      <c r="A150" s="2" t="n"/>
      <c r="B150" s="3" t="n"/>
      <c r="C150" s="4" t="n"/>
    </row>
    <row r="151">
      <c r="A151" s="2" t="n"/>
      <c r="B151" s="3" t="n"/>
      <c r="C151" s="4" t="n"/>
    </row>
    <row r="152">
      <c r="A152" s="2" t="n"/>
      <c r="B152" s="3" t="n"/>
      <c r="C152" s="4" t="n"/>
    </row>
    <row r="153">
      <c r="A153" s="2" t="n"/>
      <c r="B153" s="3" t="n"/>
      <c r="C153" s="4" t="n"/>
    </row>
    <row r="154">
      <c r="A154" s="2" t="n"/>
      <c r="B154" s="3" t="n"/>
      <c r="C154" s="4" t="n"/>
    </row>
    <row r="155">
      <c r="A155" s="2" t="n"/>
      <c r="B155" s="3" t="n"/>
      <c r="C155" s="4" t="n"/>
    </row>
    <row r="156">
      <c r="A156" s="2" t="n"/>
      <c r="B156" s="3" t="n"/>
      <c r="C156" s="4" t="n"/>
    </row>
    <row r="157">
      <c r="A157" s="2" t="n"/>
      <c r="B157" s="3" t="n"/>
      <c r="C157" s="4" t="n"/>
    </row>
    <row r="158">
      <c r="A158" s="2" t="n"/>
      <c r="B158" s="3" t="n"/>
      <c r="C158" s="4" t="n"/>
    </row>
    <row r="159">
      <c r="A159" s="2" t="n"/>
      <c r="B159" s="3" t="n"/>
      <c r="C159" s="4" t="n"/>
    </row>
    <row r="160">
      <c r="A160" s="2" t="n"/>
      <c r="B160" s="3" t="n"/>
      <c r="C160" s="4" t="n"/>
    </row>
    <row r="161">
      <c r="A161" s="2" t="n"/>
      <c r="B161" s="3" t="n"/>
      <c r="C161" s="4" t="n"/>
    </row>
    <row r="162">
      <c r="A162" s="2" t="n"/>
      <c r="B162" s="3" t="n"/>
      <c r="C162" s="4" t="n"/>
    </row>
    <row r="163">
      <c r="A163" s="2" t="n"/>
      <c r="B163" s="3" t="n"/>
      <c r="C163" s="4" t="n"/>
    </row>
    <row r="164">
      <c r="A164" s="2" t="n"/>
      <c r="B164" s="3" t="n"/>
      <c r="C164" s="4" t="n"/>
    </row>
    <row r="165">
      <c r="A165" s="2" t="n"/>
      <c r="B165" s="3" t="n"/>
      <c r="C165" s="4" t="n"/>
    </row>
    <row r="166">
      <c r="A166" s="2" t="n"/>
      <c r="B166" s="3" t="n"/>
      <c r="C166" s="4" t="n"/>
    </row>
    <row r="167">
      <c r="A167" s="2" t="n"/>
      <c r="B167" s="3" t="n"/>
      <c r="C167" s="4" t="n"/>
    </row>
    <row r="168">
      <c r="A168" s="2" t="n"/>
      <c r="B168" s="3" t="n"/>
      <c r="C168" s="4" t="n"/>
    </row>
    <row r="169">
      <c r="A169" s="2" t="n"/>
      <c r="B169" s="3" t="n"/>
      <c r="C169" s="4" t="n"/>
    </row>
    <row r="170">
      <c r="A170" s="2" t="n"/>
      <c r="B170" s="3" t="n"/>
      <c r="C170" s="4" t="n"/>
    </row>
    <row r="171">
      <c r="A171" s="2" t="n"/>
      <c r="B171" s="3" t="n"/>
      <c r="C171" s="4" t="n"/>
    </row>
    <row r="172">
      <c r="A172" s="2" t="n"/>
      <c r="B172" s="3" t="n"/>
      <c r="C172" s="4" t="n"/>
    </row>
    <row r="173">
      <c r="A173" s="2" t="n"/>
      <c r="B173" s="3" t="n"/>
      <c r="C173" s="4" t="n"/>
    </row>
    <row r="174">
      <c r="A174" s="2" t="n"/>
      <c r="B174" s="3" t="n"/>
      <c r="C174" s="4" t="n"/>
    </row>
    <row r="175">
      <c r="A175" s="2" t="n"/>
      <c r="B175" s="3" t="n"/>
      <c r="C175" s="4" t="n"/>
    </row>
    <row r="176">
      <c r="A176" s="2" t="n"/>
      <c r="B176" s="3" t="n"/>
      <c r="C176" s="4" t="n"/>
    </row>
    <row r="177">
      <c r="A177" s="2" t="n"/>
      <c r="B177" s="3" t="n"/>
      <c r="C177" s="4" t="n"/>
    </row>
    <row r="178">
      <c r="A178" s="2" t="n"/>
      <c r="B178" s="3" t="n"/>
      <c r="C178" s="4" t="n"/>
    </row>
    <row r="179">
      <c r="A179" s="2" t="n"/>
      <c r="B179" s="3" t="n"/>
      <c r="C179" s="4" t="n"/>
    </row>
    <row r="180">
      <c r="A180" s="2" t="n"/>
      <c r="B180" s="3" t="n"/>
      <c r="C180" s="4" t="n"/>
    </row>
    <row r="181">
      <c r="A181" s="2" t="n"/>
      <c r="B181" s="3" t="n"/>
      <c r="C181" s="4" t="n"/>
    </row>
    <row r="182">
      <c r="A182" s="2" t="n"/>
      <c r="B182" s="3" t="n"/>
      <c r="C182" s="4" t="n"/>
    </row>
    <row r="183">
      <c r="A183" s="2" t="n"/>
      <c r="B183" s="3" t="n"/>
      <c r="C183" s="4" t="n"/>
    </row>
    <row r="184">
      <c r="A184" s="2" t="n"/>
      <c r="B184" s="3" t="n"/>
      <c r="C184" s="4" t="n"/>
    </row>
    <row r="185">
      <c r="A185" s="2" t="n"/>
      <c r="B185" s="3" t="n"/>
      <c r="C185" s="4" t="n"/>
    </row>
    <row r="186">
      <c r="A186" s="2" t="n"/>
      <c r="B186" s="3" t="n"/>
      <c r="C186" s="4" t="n"/>
    </row>
    <row r="187">
      <c r="A187" s="2" t="n"/>
      <c r="B187" s="3" t="n"/>
      <c r="C187" s="4" t="n"/>
    </row>
    <row r="188">
      <c r="A188" s="2" t="n"/>
      <c r="B188" s="3" t="n"/>
      <c r="C188" s="4" t="n"/>
    </row>
    <row r="189">
      <c r="A189" s="2" t="n"/>
      <c r="B189" s="3" t="n"/>
      <c r="C189" s="4" t="n"/>
    </row>
    <row r="190">
      <c r="A190" s="2" t="n"/>
      <c r="B190" s="3" t="n"/>
      <c r="C190" s="4" t="n"/>
    </row>
    <row r="191">
      <c r="A191" s="2" t="n"/>
      <c r="B191" s="3" t="n"/>
      <c r="C191" s="4" t="n"/>
    </row>
    <row r="192">
      <c r="A192" s="2" t="n"/>
      <c r="B192" s="3" t="n"/>
      <c r="C192" s="4" t="n"/>
    </row>
    <row r="193">
      <c r="A193" s="2" t="n"/>
      <c r="B193" s="3" t="n"/>
      <c r="C193" s="4" t="n"/>
    </row>
    <row r="194">
      <c r="A194" s="2" t="n"/>
      <c r="B194" s="3" t="n"/>
      <c r="C194" s="4" t="n"/>
    </row>
    <row r="195">
      <c r="A195" s="2" t="n"/>
      <c r="B195" s="3" t="n"/>
      <c r="C195" s="4" t="n"/>
    </row>
    <row r="196">
      <c r="A196" s="2" t="n"/>
      <c r="B196" s="3" t="n"/>
      <c r="C196" s="4" t="n"/>
    </row>
    <row r="197">
      <c r="A197" s="2" t="n"/>
      <c r="B197" s="3" t="n"/>
      <c r="C197" s="4" t="n"/>
    </row>
    <row r="198">
      <c r="A198" s="2" t="n"/>
      <c r="B198" s="3" t="n"/>
      <c r="C198" s="4" t="n"/>
    </row>
    <row r="199">
      <c r="A199" s="2" t="n"/>
      <c r="B199" s="3" t="n"/>
      <c r="C199" s="4" t="n"/>
    </row>
    <row r="200">
      <c r="A200" s="2" t="n"/>
      <c r="B200" s="3" t="n"/>
      <c r="C200" s="4" t="n"/>
    </row>
  </sheetData>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G22"/>
  <sheetViews>
    <sheetView workbookViewId="0">
      <selection activeCell="A1" sqref="A1"/>
    </sheetView>
  </sheetViews>
  <sheetFormatPr baseColWidth="8" defaultRowHeight="15"/>
  <cols>
    <col width="38" customWidth="1" min="1" max="1"/>
    <col width="20" customWidth="1" min="2" max="2"/>
    <col width="26" customWidth="1" min="3" max="3"/>
    <col width="10" customWidth="1" min="4" max="4"/>
    <col width="16" customWidth="1" min="5" max="5"/>
    <col width="14" customWidth="1" min="6" max="6"/>
    <col width="14" customWidth="1" min="7" max="7"/>
  </cols>
  <sheetData>
    <row r="1" ht="32" customHeight="1">
      <c r="A1" s="1" t="inlineStr">
        <is>
          <t>From (typed)</t>
        </is>
      </c>
      <c r="B1" s="1" t="inlineStr">
        <is>
          <t>Up to, not including</t>
        </is>
      </c>
      <c r="C1" s="1" t="inlineStr">
        <is>
          <t>Range</t>
        </is>
      </c>
      <c r="D1" s="1" t="inlineStr">
        <is>
          <t>Orders</t>
        </is>
      </c>
      <c r="E1" s="1" t="inlineStr">
        <is>
          <t>Sales in range</t>
        </is>
      </c>
      <c r="F1" s="1" t="inlineStr">
        <is>
          <t>Share of orders</t>
        </is>
      </c>
      <c r="G1" s="1" t="inlineStr">
        <is>
          <t>Share of sales</t>
        </is>
      </c>
    </row>
    <row r="2">
      <c r="A2" s="4" t="n">
        <v>0</v>
      </c>
      <c r="B2" s="5">
        <f>A3</f>
        <v/>
      </c>
      <c r="C2" s="6">
        <f>IF(AND(ISNUMBER(A2),ISNUMBER(B2)),TEXT(A2,"$#,##0.00")&amp;" up to "&amp;TEXT(B2,"$#,##0.00"),"")</f>
        <v/>
      </c>
      <c r="D2" s="6">
        <f>COUNTIFS(Orders!$C$2:$C$200,"&gt;="&amp;A2,Orders!$C$2:$C$200,"&lt;"&amp;B2)</f>
        <v/>
      </c>
      <c r="E2" s="5">
        <f>SUMIFS(Orders!$C$2:$C$200,Orders!$C$2:$C$200,"&gt;="&amp;A2,Orders!$C$2:$C$200,"&lt;"&amp;B2)</f>
        <v/>
      </c>
      <c r="F2" s="7">
        <f>IF($D$7&gt;0,D2/$D$7,"")</f>
        <v/>
      </c>
      <c r="G2" s="7">
        <f>IF($E$7&lt;&gt;0,E2/$E$7,"")</f>
        <v/>
      </c>
    </row>
    <row r="3">
      <c r="A3" s="4" t="n">
        <v>25</v>
      </c>
      <c r="B3" s="5">
        <f>A4</f>
        <v/>
      </c>
      <c r="C3" s="6">
        <f>IF(AND(ISNUMBER(A3),ISNUMBER(B3)),TEXT(A3,"$#,##0.00")&amp;" up to "&amp;TEXT(B3,"$#,##0.00"),"")</f>
        <v/>
      </c>
      <c r="D3" s="6">
        <f>COUNTIFS(Orders!$C$2:$C$200,"&gt;="&amp;A3,Orders!$C$2:$C$200,"&lt;"&amp;B3)</f>
        <v/>
      </c>
      <c r="E3" s="5">
        <f>SUMIFS(Orders!$C$2:$C$200,Orders!$C$2:$C$200,"&gt;="&amp;A3,Orders!$C$2:$C$200,"&lt;"&amp;B3)</f>
        <v/>
      </c>
      <c r="F3" s="7">
        <f>IF($D$7&gt;0,D3/$D$7,"")</f>
        <v/>
      </c>
      <c r="G3" s="7">
        <f>IF($E$7&lt;&gt;0,E3/$E$7,"")</f>
        <v/>
      </c>
    </row>
    <row r="4">
      <c r="A4" s="4" t="n">
        <v>50</v>
      </c>
      <c r="B4" s="5">
        <f>A5</f>
        <v/>
      </c>
      <c r="C4" s="6">
        <f>IF(AND(ISNUMBER(A4),ISNUMBER(B4)),TEXT(A4,"$#,##0.00")&amp;" up to "&amp;TEXT(B4,"$#,##0.00"),"")</f>
        <v/>
      </c>
      <c r="D4" s="6">
        <f>COUNTIFS(Orders!$C$2:$C$200,"&gt;="&amp;A4,Orders!$C$2:$C$200,"&lt;"&amp;B4)</f>
        <v/>
      </c>
      <c r="E4" s="5">
        <f>SUMIFS(Orders!$C$2:$C$200,Orders!$C$2:$C$200,"&gt;="&amp;A4,Orders!$C$2:$C$200,"&lt;"&amp;B4)</f>
        <v/>
      </c>
      <c r="F4" s="7">
        <f>IF($D$7&gt;0,D4/$D$7,"")</f>
        <v/>
      </c>
      <c r="G4" s="7">
        <f>IF($E$7&lt;&gt;0,E4/$E$7,"")</f>
        <v/>
      </c>
    </row>
    <row r="5">
      <c r="A5" s="4" t="n">
        <v>100</v>
      </c>
      <c r="B5" s="5" t="inlineStr">
        <is>
          <t>and up</t>
        </is>
      </c>
      <c r="C5" s="6">
        <f>IF(ISNUMBER(A5),TEXT(A5,"$#,##0.00")&amp;" and up","")</f>
        <v/>
      </c>
      <c r="D5" s="6">
        <f>COUNTIFS(Orders!$C$2:$C$200,"&gt;="&amp;A5)</f>
        <v/>
      </c>
      <c r="E5" s="5">
        <f>SUMIFS(Orders!$C$2:$C$200,Orders!$C$2:$C$200,"&gt;="&amp;A5)</f>
        <v/>
      </c>
      <c r="F5" s="7">
        <f>IF($D$7&gt;0,D5/$D$7,"")</f>
        <v/>
      </c>
      <c r="G5" s="7">
        <f>IF($E$7&lt;&gt;0,E5/$E$7,"")</f>
        <v/>
      </c>
    </row>
    <row r="6">
      <c r="A6" s="6" t="inlineStr">
        <is>
          <t>Below</t>
        </is>
      </c>
      <c r="B6" s="5">
        <f>A2</f>
        <v/>
      </c>
      <c r="C6" s="6">
        <f>IF(ISNUMBER(A2),"Below "&amp;TEXT(A2,"$#,##0.00"),"")</f>
        <v/>
      </c>
      <c r="D6" s="6">
        <f>COUNTIFS(Orders!$C$2:$C$200,"&lt;"&amp;A2)</f>
        <v/>
      </c>
      <c r="E6" s="5">
        <f>SUMIFS(Orders!$C$2:$C$200,Orders!$C$2:$C$200,"&lt;"&amp;A2)</f>
        <v/>
      </c>
      <c r="F6" s="7">
        <f>IF($D$7&gt;0,D6/$D$7,"")</f>
        <v/>
      </c>
      <c r="G6" s="7">
        <f>IF($E$7&lt;&gt;0,E6/$E$7,"")</f>
        <v/>
      </c>
    </row>
    <row r="7">
      <c r="A7" s="8" t="inlineStr">
        <is>
          <t>Total</t>
        </is>
      </c>
      <c r="B7" s="8" t="n"/>
      <c r="C7" s="8" t="n"/>
      <c r="D7" s="8">
        <f>SUM(D2:D6)</f>
        <v/>
      </c>
      <c r="E7" s="9">
        <f>SUM(E2:E6)</f>
        <v/>
      </c>
      <c r="F7" s="10">
        <f>IF($D$7&gt;0,D7/$D$7,"")</f>
        <v/>
      </c>
      <c r="G7" s="10">
        <f>IF($E$7&lt;&gt;0,E7/$E$7,"")</f>
        <v/>
      </c>
    </row>
    <row r="9">
      <c r="A9" s="11" t="inlineStr">
        <is>
          <t>Numeric amounts on Orders</t>
        </is>
      </c>
      <c r="B9" s="12">
        <f>COUNT(Orders!$C$2:$C$200)</f>
        <v/>
      </c>
    </row>
    <row r="10">
      <c r="A10" s="11" t="inlineStr">
        <is>
          <t>Text amounts (not counted)</t>
        </is>
      </c>
      <c r="B10" s="12">
        <f>COUNTA(Orders!$C$2:$C$200)-B9</f>
        <v/>
      </c>
    </row>
    <row r="11">
      <c r="A11" s="11" t="inlineStr">
        <is>
          <t>Limits typed in order</t>
        </is>
      </c>
      <c r="B11" s="13">
        <f>IF(AND(COUNT(A2:A5)=4,A2&lt;A3,A3&lt;A4,A4&lt;A5),"OK","Check limits")</f>
        <v/>
      </c>
    </row>
    <row r="12">
      <c r="A12" s="11" t="inlineStr">
        <is>
          <t>Sales on Orders</t>
        </is>
      </c>
      <c r="B12" s="14">
        <f>SUM(Orders!$C$2:$C$200)</f>
        <v/>
      </c>
    </row>
    <row r="13">
      <c r="A13" s="11" t="inlineStr">
        <is>
          <t>Check: ranges add up to the orders list</t>
        </is>
      </c>
      <c r="B13" s="13">
        <f>IF(AND(B11="OK",B10=0,D7=B9,ABS(E7-B12)&lt;0.005,COUNTIF(E18:E22,"OK")=5),"OK","CHECK")</f>
        <v/>
      </c>
    </row>
    <row r="15">
      <c r="A15" s="11" t="inlineStr">
        <is>
          <t>Optional cross-check with FREQUENCY (array formula in C18:C22; amounts in whole cents)</t>
        </is>
      </c>
    </row>
    <row r="17" ht="32" customHeight="1">
      <c r="A17" s="1" t="inlineStr">
        <is>
          <t>Bin top (limit minus $0.01)</t>
        </is>
      </c>
      <c r="B17" s="1" t="inlineStr">
        <is>
          <t>Range</t>
        </is>
      </c>
      <c r="C17" s="1" t="inlineStr">
        <is>
          <t>FREQUENCY</t>
        </is>
      </c>
      <c r="D17" s="1" t="inlineStr">
        <is>
          <t>COUNTIFS</t>
        </is>
      </c>
      <c r="E17" s="1" t="inlineStr">
        <is>
          <t>Same?</t>
        </is>
      </c>
    </row>
    <row r="18">
      <c r="A18" s="5">
        <f>IF(ISNUMBER(A2),ROUND(A2-0.01,2),0)</f>
        <v/>
      </c>
      <c r="B18" s="6">
        <f>C6</f>
        <v/>
      </c>
      <c r="C18" s="6">
        <f t="array" ref="C18:C22">IF(COUNT(Orders!$C$2:$C$200)=0,0,IFERROR(FREQUENCY(Orders!$C$2:$C$200,A18:A21),""))</f>
        <v/>
      </c>
      <c r="D18" s="6">
        <f>D6</f>
        <v/>
      </c>
      <c r="E18" s="6">
        <f>IF(C18=D18,"OK","Differs")</f>
        <v/>
      </c>
    </row>
    <row r="19">
      <c r="A19" s="5">
        <f>IF(ISNUMBER(A3),ROUND(A3-0.01,2),0)</f>
        <v/>
      </c>
      <c r="B19" s="6">
        <f>C2</f>
        <v/>
      </c>
      <c r="C19" s="6" t="n"/>
      <c r="D19" s="6">
        <f>D2</f>
        <v/>
      </c>
      <c r="E19" s="6">
        <f>IF(C19=D19,"OK","Differs")</f>
        <v/>
      </c>
    </row>
    <row r="20">
      <c r="A20" s="5">
        <f>IF(ISNUMBER(A4),ROUND(A4-0.01,2),0)</f>
        <v/>
      </c>
      <c r="B20" s="6">
        <f>C3</f>
        <v/>
      </c>
      <c r="C20" s="6" t="n"/>
      <c r="D20" s="6">
        <f>D3</f>
        <v/>
      </c>
      <c r="E20" s="6">
        <f>IF(C20=D20,"OK","Differs")</f>
        <v/>
      </c>
    </row>
    <row r="21">
      <c r="A21" s="5">
        <f>IF(ISNUMBER(A5),ROUND(A5-0.01,2),0)</f>
        <v/>
      </c>
      <c r="B21" s="6">
        <f>C4</f>
        <v/>
      </c>
      <c r="C21" s="6" t="n"/>
      <c r="D21" s="6">
        <f>D4</f>
        <v/>
      </c>
      <c r="E21" s="6">
        <f>IF(C21=D21,"OK","Differs")</f>
        <v/>
      </c>
    </row>
    <row r="22">
      <c r="A22" s="6" t="n"/>
      <c r="B22" s="6">
        <f>C5</f>
        <v/>
      </c>
      <c r="C22" s="6" t="n"/>
      <c r="D22" s="6">
        <f>D5</f>
        <v/>
      </c>
      <c r="E22" s="6">
        <f>IF(C22=D22,"OK","Differs")</f>
        <v/>
      </c>
    </row>
  </sheetData>
  <conditionalFormatting sqref="B13">
    <cfRule type="expression" priority="1" dxfId="0">
      <formula>AND(B13&lt;&gt;"OK",B13&lt;&gt;"")</formula>
    </cfRule>
  </conditionalFormatting>
  <conditionalFormatting sqref="B11">
    <cfRule type="expression" priority="2" dxfId="0">
      <formula>B11&lt;&gt;"OK"</formula>
    </cfRule>
  </conditionalFormatting>
  <conditionalFormatting sqref="E18:E22">
    <cfRule type="expression" priority="3" dxfId="0">
      <formula>E18="Differs"</formula>
    </cfRule>
  </conditionalFormatting>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4"/>
  <sheetViews>
    <sheetView workbookViewId="0">
      <selection activeCell="A1" sqref="A1"/>
    </sheetView>
  </sheetViews>
  <sheetFormatPr baseColWidth="8" defaultRowHeight="15"/>
  <cols>
    <col width="100" customWidth="1" min="1" max="1"/>
  </cols>
  <sheetData>
    <row r="1">
      <c r="A1" s="15" t="inlineStr">
        <is>
          <t>Tidy Tabs: Count Orders by Dollar Amount Range With COUNTIFS</t>
        </is>
      </c>
    </row>
    <row r="2">
      <c r="A2" s="16" t="inlineStr"/>
    </row>
    <row r="3">
      <c r="A3" s="16" t="inlineStr">
        <is>
          <t>1. Orders tab: one row per order, amount in column C (yellow, rows 2 to 200). Amounts only, no $ typed as text.</t>
        </is>
      </c>
    </row>
    <row r="4">
      <c r="A4" s="16" t="inlineStr">
        <is>
          <t>2. Ranges tab, A2:A5: type the lower limit of each range (yellow). Keep them in ascending order. B2:B4 take the next row's limit; the last range has no upper limit.</t>
        </is>
      </c>
    </row>
    <row r="5">
      <c r="A5" s="16" t="inlineStr">
        <is>
          <t>3. Orders in a range: =COUNTIFS(Orders!$C$2:$C$200,"&gt;="&amp;A2,Orders!$C$2:$C$200,"&lt;"&amp;B2). The range includes its lower limit and stops just before the upper one, so an order of exactly $25.00 counts in the range that starts at $25.00, never in two ranges.</t>
        </is>
      </c>
    </row>
    <row r="6">
      <c r="A6" s="16" t="inlineStr">
        <is>
          <t>4. Sales in the range use SUMIFS with the same two tests (column E). Shares in F and G are the range divided by the total.</t>
        </is>
      </c>
    </row>
    <row r="7">
      <c r="A7" s="16" t="inlineStr">
        <is>
          <t>5. Row 6 counts everything below the first limit, such as a $0.00 order or a negative refund, so no order is lost. Row 7 is the total.</t>
        </is>
      </c>
    </row>
    <row r="8">
      <c r="A8" s="16" t="inlineStr">
        <is>
          <t>6. B13 shows OK when the limits are in order, no amount is text, the counts add up to the numeric amounts on Orders, the sales add up to the sum of the Orders column, and the FREQUENCY cross-check agrees with COUNTIFS in every range.</t>
        </is>
      </c>
    </row>
    <row r="9">
      <c r="A9" s="16" t="inlineStr">
        <is>
          <t>7. The FREQUENCY cross-check (C18:C22) is an array formula. FREQUENCY counts values up to and including each bin, so each bin top is the limit minus $0.01, which assumes amounts in whole cents. Excel older than 365 needs Ctrl+Shift+Enter for array formulas; the cross-check is optional.</t>
        </is>
      </c>
    </row>
    <row r="10">
      <c r="A10" s="16" t="inlineStr">
        <is>
          <t>8. COUNTIFS skips text amounts and blank cells. A text amount makes B10 more than 0 and B13 shows CHECK.</t>
        </is>
      </c>
    </row>
    <row r="11">
      <c r="A11" s="16" t="inlineStr">
        <is>
          <t>9. Counts only: this says how many orders fall in each range in this sample, not what a good mix is.</t>
        </is>
      </c>
    </row>
    <row r="12">
      <c r="A12" s="16" t="inlineStr"/>
    </row>
    <row r="13">
      <c r="A13" s="16" t="inlineStr">
        <is>
          <t>Orders and amounts are fictional. Checked in LibreOffice Calc only; not opened in Excel or Google Sheets.</t>
        </is>
      </c>
    </row>
    <row r="14">
      <c r="A14" s="16"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2026-10-20T07:45:00Z</dcterms:created>
  <dcterms:modified xmlns:dcterms="http://purl.org/dc/terms/" xmlns:xsi="http://www.w3.org/2001/XMLSchema-instance" xsi:type="dcterms:W3CDTF">2026-10-20T07:45:00Z</dcterms:modified>
</cp:coreProperties>
</file>