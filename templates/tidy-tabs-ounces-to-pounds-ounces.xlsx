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'Weights'!$1:$1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1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9" customWidth="1" min="3" max="3"/>
    <col width="16" customWidth="1" min="4" max="4"/>
    <col width="16" customWidth="1" min="5" max="5"/>
    <col width="4" customWidth="1" min="6" max="6"/>
    <col width="34" customWidth="1" min="7" max="7"/>
    <col width="16" customWidth="1" min="8" max="8"/>
  </cols>
  <sheetData>
    <row r="1" ht="30" customHeight="1">
      <c r="A1" s="1" t="inlineStr">
        <is>
          <t>Item</t>
        </is>
      </c>
      <c r="B1" s="1" t="inlineStr">
        <is>
          <t>Packed ounces</t>
        </is>
      </c>
      <c r="C1" s="1" t="inlineStr">
        <is>
          <t>Pounds</t>
        </is>
      </c>
      <c r="D1" s="1" t="inlineStr">
        <is>
          <t>Leftover ounces</t>
        </is>
      </c>
      <c r="E1" s="1" t="inlineStr">
        <is>
          <t>Label</t>
        </is>
      </c>
      <c r="G1" s="2" t="inlineStr">
        <is>
          <t>Whole shipment</t>
        </is>
      </c>
    </row>
    <row r="2">
      <c r="A2" t="inlineStr">
        <is>
          <t>Lavender candle box</t>
        </is>
      </c>
      <c r="B2" s="3" t="n">
        <v>50</v>
      </c>
      <c r="C2" s="4">
        <f>IF(B2="","",INT(B2/16))</f>
        <v/>
      </c>
      <c r="D2" s="5">
        <f>IF(B2="","",MOD(B2,16))</f>
        <v/>
      </c>
      <c r="E2" s="4">
        <f>IF(B2="","",INT(B2/16)&amp;" lb "&amp;MOD(B2,16)&amp;" oz")</f>
        <v/>
      </c>
      <c r="G2" t="inlineStr">
        <is>
          <t>Packages with a weight</t>
        </is>
      </c>
      <c r="H2" s="6">
        <f>COUNT(B2:B30)</f>
        <v/>
      </c>
    </row>
    <row r="3">
      <c r="A3" t="inlineStr">
        <is>
          <t>Oat soap bundle</t>
        </is>
      </c>
      <c r="B3" s="3" t="n">
        <v>16</v>
      </c>
      <c r="C3" s="4">
        <f>IF(B3="","",INT(B3/16))</f>
        <v/>
      </c>
      <c r="D3" s="5">
        <f>IF(B3="","",MOD(B3,16))</f>
        <v/>
      </c>
      <c r="E3" s="4">
        <f>IF(B3="","",INT(B3/16)&amp;" lb "&amp;MOD(B3,16)&amp;" oz")</f>
        <v/>
      </c>
      <c r="G3" t="inlineStr">
        <is>
          <t>Total ounces</t>
        </is>
      </c>
      <c r="H3" s="5">
        <f>ROUND(SUM(B2:B30),2)</f>
        <v/>
      </c>
    </row>
    <row r="4">
      <c r="A4" t="inlineStr">
        <is>
          <t>Earring card</t>
        </is>
      </c>
      <c r="B4" s="3" t="n">
        <v>3.5</v>
      </c>
      <c r="C4" s="4">
        <f>IF(B4="","",INT(B4/16))</f>
        <v/>
      </c>
      <c r="D4" s="5">
        <f>IF(B4="","",MOD(B4,16))</f>
        <v/>
      </c>
      <c r="E4" s="4">
        <f>IF(B4="","",INT(B4/16)&amp;" lb "&amp;MOD(B4,16)&amp;" oz")</f>
        <v/>
      </c>
      <c r="G4" t="inlineStr">
        <is>
          <t>Total pounds</t>
        </is>
      </c>
      <c r="H4" s="6">
        <f>INT(H3/16)</f>
        <v/>
      </c>
    </row>
    <row r="5">
      <c r="A5" t="inlineStr">
        <is>
          <t>Canvas tote bag</t>
        </is>
      </c>
      <c r="B5" s="3" t="n">
        <v>22</v>
      </c>
      <c r="C5" s="4">
        <f>IF(B5="","",INT(B5/16))</f>
        <v/>
      </c>
      <c r="D5" s="5">
        <f>IF(B5="","",MOD(B5,16))</f>
        <v/>
      </c>
      <c r="E5" s="4">
        <f>IF(B5="","",INT(B5/16)&amp;" lb "&amp;MOD(B5,16)&amp;" oz")</f>
        <v/>
      </c>
      <c r="G5" t="inlineStr">
        <is>
          <t>Leftover ounces</t>
        </is>
      </c>
      <c r="H5" s="5">
        <f>ROUND(MOD(H3,16),2)</f>
        <v/>
      </c>
    </row>
    <row r="6">
      <c r="A6" t="inlineStr">
        <is>
          <t>Ceramic mug pair</t>
        </is>
      </c>
      <c r="B6" s="3" t="n">
        <v>41</v>
      </c>
      <c r="C6" s="4">
        <f>IF(B6="","",INT(B6/16))</f>
        <v/>
      </c>
      <c r="D6" s="5">
        <f>IF(B6="","",MOD(B6,16))</f>
        <v/>
      </c>
      <c r="E6" s="4">
        <f>IF(B6="","",INT(B6/16)&amp;" lb "&amp;MOD(B6,16)&amp;" oz")</f>
        <v/>
      </c>
      <c r="G6" t="inlineStr">
        <is>
          <t>Total label</t>
        </is>
      </c>
      <c r="H6" s="4">
        <f>H4&amp;" lb "&amp;H5&amp;" oz"</f>
        <v/>
      </c>
    </row>
    <row r="7">
      <c r="A7" t="inlineStr">
        <is>
          <t>Wax melt case</t>
        </is>
      </c>
      <c r="B7" s="3" t="n">
        <v>96</v>
      </c>
      <c r="C7" s="4">
        <f>IF(B7="","",INT(B7/16))</f>
        <v/>
      </c>
      <c r="D7" s="5">
        <f>IF(B7="","",MOD(B7,16))</f>
        <v/>
      </c>
      <c r="E7" s="4">
        <f>IF(B7="","",INT(B7/16)&amp;" lb "&amp;MOD(B7,16)&amp;" oz")</f>
        <v/>
      </c>
      <c r="G7" t="inlineStr">
        <is>
          <t>Check: pounds and ounces add back up</t>
        </is>
      </c>
      <c r="H7" s="4">
        <f>IF(ROUND(SUM(C2:C30)*16+SUM(D2:D30)-H3,6)=0,"OK","CHECK")</f>
        <v/>
      </c>
    </row>
    <row r="8">
      <c r="A8" t="inlineStr">
        <is>
          <t>Greeting card set</t>
        </is>
      </c>
      <c r="B8" s="3" t="n">
        <v>12.25</v>
      </c>
      <c r="C8" s="4">
        <f>IF(B8="","",INT(B8/16))</f>
        <v/>
      </c>
      <c r="D8" s="5">
        <f>IF(B8="","",MOD(B8,16))</f>
        <v/>
      </c>
      <c r="E8" s="4">
        <f>IF(B8="","",INT(B8/16)&amp;" lb "&amp;MOD(B8,16)&amp;" oz")</f>
        <v/>
      </c>
    </row>
    <row r="9">
      <c r="A9" t="inlineStr">
        <is>
          <t>Tea towel</t>
        </is>
      </c>
      <c r="B9" s="3" t="n">
        <v>9</v>
      </c>
      <c r="C9" s="4">
        <f>IF(B9="","",INT(B9/16))</f>
        <v/>
      </c>
      <c r="D9" s="5">
        <f>IF(B9="","",MOD(B9,16))</f>
        <v/>
      </c>
      <c r="E9" s="4">
        <f>IF(B9="","",INT(B9/16)&amp;" lb "&amp;MOD(B9,16)&amp;" oz")</f>
        <v/>
      </c>
    </row>
    <row r="10">
      <c r="A10" t="inlineStr">
        <is>
          <t>Gift crate</t>
        </is>
      </c>
      <c r="B10" s="3" t="n">
        <v>135</v>
      </c>
      <c r="C10" s="4">
        <f>IF(B10="","",INT(B10/16))</f>
        <v/>
      </c>
      <c r="D10" s="5">
        <f>IF(B10="","",MOD(B10,16))</f>
        <v/>
      </c>
      <c r="E10" s="4">
        <f>IF(B10="","",INT(B10/16)&amp;" lb "&amp;MOD(B10,16)&amp;" oz")</f>
        <v/>
      </c>
    </row>
    <row r="11">
      <c r="A11" t="inlineStr">
        <is>
          <t>Print tube</t>
        </is>
      </c>
      <c r="B11" s="3" t="n">
        <v>28</v>
      </c>
      <c r="C11" s="4">
        <f>IF(B11="","",INT(B11/16))</f>
        <v/>
      </c>
      <c r="D11" s="5">
        <f>IF(B11="","",MOD(B11,16))</f>
        <v/>
      </c>
      <c r="E11" s="4">
        <f>IF(B11="","",INT(B11/16)&amp;" lb "&amp;MOD(B11,16)&amp;" oz")</f>
        <v/>
      </c>
    </row>
    <row r="12">
      <c r="B12" s="3" t="n"/>
      <c r="C12" s="4">
        <f>IF(B12="","",INT(B12/16))</f>
        <v/>
      </c>
      <c r="D12" s="5">
        <f>IF(B12="","",MOD(B12,16))</f>
        <v/>
      </c>
      <c r="E12" s="4">
        <f>IF(B12="","",INT(B12/16)&amp;" lb "&amp;MOD(B12,16)&amp;" oz")</f>
        <v/>
      </c>
    </row>
    <row r="13">
      <c r="B13" s="3" t="n"/>
      <c r="C13" s="4">
        <f>IF(B13="","",INT(B13/16))</f>
        <v/>
      </c>
      <c r="D13" s="5">
        <f>IF(B13="","",MOD(B13,16))</f>
        <v/>
      </c>
      <c r="E13" s="4">
        <f>IF(B13="","",INT(B13/16)&amp;" lb "&amp;MOD(B13,16)&amp;" oz")</f>
        <v/>
      </c>
    </row>
    <row r="14">
      <c r="B14" s="3" t="n"/>
      <c r="C14" s="4">
        <f>IF(B14="","",INT(B14/16))</f>
        <v/>
      </c>
      <c r="D14" s="5">
        <f>IF(B14="","",MOD(B14,16))</f>
        <v/>
      </c>
      <c r="E14" s="4">
        <f>IF(B14="","",INT(B14/16)&amp;" lb "&amp;MOD(B14,16)&amp;" oz")</f>
        <v/>
      </c>
    </row>
    <row r="15">
      <c r="B15" s="3" t="n"/>
      <c r="C15" s="4">
        <f>IF(B15="","",INT(B15/16))</f>
        <v/>
      </c>
      <c r="D15" s="5">
        <f>IF(B15="","",MOD(B15,16))</f>
        <v/>
      </c>
      <c r="E15" s="4">
        <f>IF(B15="","",INT(B15/16)&amp;" lb "&amp;MOD(B15,16)&amp;" oz")</f>
        <v/>
      </c>
    </row>
    <row r="16">
      <c r="B16" s="3" t="n"/>
      <c r="C16" s="4">
        <f>IF(B16="","",INT(B16/16))</f>
        <v/>
      </c>
      <c r="D16" s="5">
        <f>IF(B16="","",MOD(B16,16))</f>
        <v/>
      </c>
      <c r="E16" s="4">
        <f>IF(B16="","",INT(B16/16)&amp;" lb "&amp;MOD(B16,16)&amp;" oz")</f>
        <v/>
      </c>
    </row>
    <row r="17">
      <c r="B17" s="3" t="n"/>
      <c r="C17" s="4">
        <f>IF(B17="","",INT(B17/16))</f>
        <v/>
      </c>
      <c r="D17" s="5">
        <f>IF(B17="","",MOD(B17,16))</f>
        <v/>
      </c>
      <c r="E17" s="4">
        <f>IF(B17="","",INT(B17/16)&amp;" lb "&amp;MOD(B17,16)&amp;" oz")</f>
        <v/>
      </c>
    </row>
    <row r="18">
      <c r="B18" s="3" t="n"/>
      <c r="C18" s="4">
        <f>IF(B18="","",INT(B18/16))</f>
        <v/>
      </c>
      <c r="D18" s="5">
        <f>IF(B18="","",MOD(B18,16))</f>
        <v/>
      </c>
      <c r="E18" s="4">
        <f>IF(B18="","",INT(B18/16)&amp;" lb "&amp;MOD(B18,16)&amp;" oz")</f>
        <v/>
      </c>
    </row>
    <row r="19">
      <c r="B19" s="3" t="n"/>
      <c r="C19" s="4">
        <f>IF(B19="","",INT(B19/16))</f>
        <v/>
      </c>
      <c r="D19" s="5">
        <f>IF(B19="","",MOD(B19,16))</f>
        <v/>
      </c>
      <c r="E19" s="4">
        <f>IF(B19="","",INT(B19/16)&amp;" lb "&amp;MOD(B19,16)&amp;" oz")</f>
        <v/>
      </c>
    </row>
    <row r="20">
      <c r="B20" s="3" t="n"/>
      <c r="C20" s="4">
        <f>IF(B20="","",INT(B20/16))</f>
        <v/>
      </c>
      <c r="D20" s="5">
        <f>IF(B20="","",MOD(B20,16))</f>
        <v/>
      </c>
      <c r="E20" s="4">
        <f>IF(B20="","",INT(B20/16)&amp;" lb "&amp;MOD(B20,16)&amp;" oz")</f>
        <v/>
      </c>
    </row>
    <row r="21">
      <c r="B21" s="3" t="n"/>
      <c r="C21" s="4">
        <f>IF(B21="","",INT(B21/16))</f>
        <v/>
      </c>
      <c r="D21" s="5">
        <f>IF(B21="","",MOD(B21,16))</f>
        <v/>
      </c>
      <c r="E21" s="4">
        <f>IF(B21="","",INT(B21/16)&amp;" lb "&amp;MOD(B21,16)&amp;" oz")</f>
        <v/>
      </c>
    </row>
    <row r="22">
      <c r="B22" s="3" t="n"/>
      <c r="C22" s="4">
        <f>IF(B22="","",INT(B22/16))</f>
        <v/>
      </c>
      <c r="D22" s="5">
        <f>IF(B22="","",MOD(B22,16))</f>
        <v/>
      </c>
      <c r="E22" s="4">
        <f>IF(B22="","",INT(B22/16)&amp;" lb "&amp;MOD(B22,16)&amp;" oz")</f>
        <v/>
      </c>
    </row>
    <row r="23">
      <c r="B23" s="3" t="n"/>
      <c r="C23" s="4">
        <f>IF(B23="","",INT(B23/16))</f>
        <v/>
      </c>
      <c r="D23" s="5">
        <f>IF(B23="","",MOD(B23,16))</f>
        <v/>
      </c>
      <c r="E23" s="4">
        <f>IF(B23="","",INT(B23/16)&amp;" lb "&amp;MOD(B23,16)&amp;" oz")</f>
        <v/>
      </c>
    </row>
    <row r="24">
      <c r="B24" s="3" t="n"/>
      <c r="C24" s="4">
        <f>IF(B24="","",INT(B24/16))</f>
        <v/>
      </c>
      <c r="D24" s="5">
        <f>IF(B24="","",MOD(B24,16))</f>
        <v/>
      </c>
      <c r="E24" s="4">
        <f>IF(B24="","",INT(B24/16)&amp;" lb "&amp;MOD(B24,16)&amp;" oz")</f>
        <v/>
      </c>
    </row>
    <row r="25">
      <c r="B25" s="3" t="n"/>
      <c r="C25" s="4">
        <f>IF(B25="","",INT(B25/16))</f>
        <v/>
      </c>
      <c r="D25" s="5">
        <f>IF(B25="","",MOD(B25,16))</f>
        <v/>
      </c>
      <c r="E25" s="4">
        <f>IF(B25="","",INT(B25/16)&amp;" lb "&amp;MOD(B25,16)&amp;" oz")</f>
        <v/>
      </c>
    </row>
    <row r="26">
      <c r="B26" s="3" t="n"/>
      <c r="C26" s="4">
        <f>IF(B26="","",INT(B26/16))</f>
        <v/>
      </c>
      <c r="D26" s="5">
        <f>IF(B26="","",MOD(B26,16))</f>
        <v/>
      </c>
      <c r="E26" s="4">
        <f>IF(B26="","",INT(B26/16)&amp;" lb "&amp;MOD(B26,16)&amp;" oz")</f>
        <v/>
      </c>
    </row>
    <row r="27">
      <c r="B27" s="3" t="n"/>
      <c r="C27" s="4">
        <f>IF(B27="","",INT(B27/16))</f>
        <v/>
      </c>
      <c r="D27" s="5">
        <f>IF(B27="","",MOD(B27,16))</f>
        <v/>
      </c>
      <c r="E27" s="4">
        <f>IF(B27="","",INT(B27/16)&amp;" lb "&amp;MOD(B27,16)&amp;" oz")</f>
        <v/>
      </c>
    </row>
    <row r="28">
      <c r="B28" s="3" t="n"/>
      <c r="C28" s="4">
        <f>IF(B28="","",INT(B28/16))</f>
        <v/>
      </c>
      <c r="D28" s="5">
        <f>IF(B28="","",MOD(B28,16))</f>
        <v/>
      </c>
      <c r="E28" s="4">
        <f>IF(B28="","",INT(B28/16)&amp;" lb "&amp;MOD(B28,16)&amp;" oz")</f>
        <v/>
      </c>
    </row>
    <row r="29">
      <c r="B29" s="3" t="n"/>
      <c r="C29" s="4">
        <f>IF(B29="","",INT(B29/16))</f>
        <v/>
      </c>
      <c r="D29" s="5">
        <f>IF(B29="","",MOD(B29,16))</f>
        <v/>
      </c>
      <c r="E29" s="4">
        <f>IF(B29="","",INT(B29/16)&amp;" lb "&amp;MOD(B29,16)&amp;" oz")</f>
        <v/>
      </c>
    </row>
    <row r="30">
      <c r="B30" s="3" t="n"/>
      <c r="C30" s="4">
        <f>IF(B30="","",INT(B30/16))</f>
        <v/>
      </c>
      <c r="D30" s="5">
        <f>IF(B30="","",MOD(B30,16))</f>
        <v/>
      </c>
      <c r="E30" s="4">
        <f>IF(B30="","",INT(B30/16)&amp;" lb "&amp;MOD(B30,16)&amp;" oz")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Ounces to Pounds and Ounces With INT and MOD</t>
        </is>
      </c>
    </row>
    <row r="2">
      <c r="A2" s="8" t="inlineStr"/>
    </row>
    <row r="3">
      <c r="A3" s="8" t="inlineStr">
        <is>
          <t>1. Weights tab: type each item and its packed weight in ounces. Yellow cells are yours (B2:B30). Gray cells are formulas.</t>
        </is>
      </c>
    </row>
    <row r="4">
      <c r="A4" s="8" t="inlineStr">
        <is>
          <t>2. C2: =IF(B2="","",INT(B2/16)) gives the whole pounds. 16 ounces make 1 pound.</t>
        </is>
      </c>
    </row>
    <row r="5">
      <c r="A5" s="8" t="inlineStr">
        <is>
          <t>3. D2: =IF(B2="","",MOD(B2,16)) gives the ounces left over after the whole pounds.</t>
        </is>
      </c>
    </row>
    <row r="6">
      <c r="A6" s="8" t="inlineStr">
        <is>
          <t>4. E2: =IF(B2="","",INT(B2/16)&amp;" lb "&amp;MOD(B2,16)&amp;" oz") joins them into text such as 3 lb 2 oz.</t>
        </is>
      </c>
    </row>
    <row r="7">
      <c r="A7" s="8" t="inlineStr">
        <is>
          <t>5. H3 to H6 do the same for the total of all packages (rounded to 2 decimals so totals do not show long decimals). H7 turns the pounds and ounces back into ounces and shows CHECK if they do not match the total.</t>
        </is>
      </c>
    </row>
    <row r="8">
      <c r="A8" s="8" t="inlineStr">
        <is>
          <t>6. The label in column E is text. Use columns C and D when you need numbers for a label printer or a carrier form.</t>
        </is>
      </c>
    </row>
    <row r="9">
      <c r="A9" s="8" t="inlineStr">
        <is>
          <t>7. A blank weight stays blank. A weight of 0 shows 0 lb 0 oz.</t>
        </is>
      </c>
    </row>
    <row r="10">
      <c r="A10" s="8" t="inlineStr">
        <is>
          <t>8. This only converts units. It does not look up a carrier rate or a weight limit. Read those on your carrier's own pages.</t>
        </is>
      </c>
    </row>
    <row r="11">
      <c r="A11" s="8" t="inlineStr"/>
    </row>
    <row r="12">
      <c r="A12" s="8" t="inlineStr">
        <is>
          <t>Items and weights are fictional. Checked in LibreOffice Calc only; not opened in Excel or Google Sheets.</t>
        </is>
      </c>
    </row>
    <row r="13">
      <c r="A13" s="8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2026-10-13T07:28:02Z</dcterms:created>
  <dcterms:modified xmlns:dcterms="http://purl.org/dc/terms/" xmlns:xsi="http://www.w3.org/2001/XMLSchema-instance" xsi:type="dcterms:W3CDTF">2026-10-13T07:28:02Z</dcterms:modified>
</cp:coreProperties>
</file>