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Fence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'Orders'!$1:$1</definedName>
    <definedName name="_xlnm.Print_Area" localSheetId="0">'Orders'!$A$1:$D$41</definedName>
    <definedName name="_xlnm.Print_Titles" localSheetId="1">'Fences'!$1:$1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  <sz val="12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166" fontId="0" fillId="4" borderId="0" applyAlignment="1" pivotButton="0" quotePrefix="0" xfId="0">
      <alignment horizontal="right"/>
    </xf>
    <xf numFmtId="167" fontId="0" fillId="3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</font>
      <fill>
        <patternFill patternType="solid">
          <fgColor rgb="00FFE699"/>
          <bgColor rgb="00FFE69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</cols>
  <sheetData>
    <row r="1" ht="30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Flag</t>
        </is>
      </c>
    </row>
    <row r="2">
      <c r="A2" s="2" t="inlineStr">
        <is>
          <t>ORD-4101</t>
        </is>
      </c>
      <c r="B2" s="3" t="n">
        <v>46279</v>
      </c>
      <c r="C2" s="4" t="n">
        <v>42.5</v>
      </c>
      <c r="D2" s="5">
        <f>IF(C2="","",IF(NOT(ISNUMBER(C2)),"Check",IF(NOT(AND(ISNUMBER(Fences!$B$6),ISNUMBER(Fences!$B$7))),"Check",IF(OR(C2&gt;Fences!$B$6,C2&lt;Fences!$B$7),"Review","OK"))))</f>
        <v/>
      </c>
    </row>
    <row r="3">
      <c r="A3" s="2" t="inlineStr">
        <is>
          <t>ORD-4102</t>
        </is>
      </c>
      <c r="B3" s="3" t="n">
        <v>46280</v>
      </c>
      <c r="C3" s="4" t="n">
        <v>58</v>
      </c>
      <c r="D3" s="5">
        <f>IF(C3="","",IF(NOT(ISNUMBER(C3)),"Check",IF(NOT(AND(ISNUMBER(Fences!$B$6),ISNUMBER(Fences!$B$7))),"Check",IF(OR(C3&gt;Fences!$B$6,C3&lt;Fences!$B$7),"Review","OK"))))</f>
        <v/>
      </c>
    </row>
    <row r="4">
      <c r="A4" s="2" t="inlineStr">
        <is>
          <t>ORD-4103</t>
        </is>
      </c>
      <c r="B4" s="3" t="n">
        <v>46281</v>
      </c>
      <c r="C4" s="4" t="n">
        <v>49.99</v>
      </c>
      <c r="D4" s="5">
        <f>IF(C4="","",IF(NOT(ISNUMBER(C4)),"Check",IF(NOT(AND(ISNUMBER(Fences!$B$6),ISNUMBER(Fences!$B$7))),"Check",IF(OR(C4&gt;Fences!$B$6,C4&lt;Fences!$B$7),"Review","OK"))))</f>
        <v/>
      </c>
    </row>
    <row r="5">
      <c r="A5" s="2" t="inlineStr">
        <is>
          <t>ORD-4104</t>
        </is>
      </c>
      <c r="B5" s="3" t="n">
        <v>46282</v>
      </c>
      <c r="C5" s="4" t="n">
        <v>61.25</v>
      </c>
      <c r="D5" s="5">
        <f>IF(C5="","",IF(NOT(ISNUMBER(C5)),"Check",IF(NOT(AND(ISNUMBER(Fences!$B$6),ISNUMBER(Fences!$B$7))),"Check",IF(OR(C5&gt;Fences!$B$6,C5&lt;Fences!$B$7),"Review","OK"))))</f>
        <v/>
      </c>
    </row>
    <row r="6">
      <c r="A6" s="2" t="inlineStr">
        <is>
          <t>ORD-4105</t>
        </is>
      </c>
      <c r="B6" s="3" t="n">
        <v>46283</v>
      </c>
      <c r="C6" s="4" t="n">
        <v>37</v>
      </c>
      <c r="D6" s="5">
        <f>IF(C6="","",IF(NOT(ISNUMBER(C6)),"Check",IF(NOT(AND(ISNUMBER(Fences!$B$6),ISNUMBER(Fences!$B$7))),"Check",IF(OR(C6&gt;Fences!$B$6,C6&lt;Fences!$B$7),"Review","OK"))))</f>
        <v/>
      </c>
    </row>
    <row r="7">
      <c r="A7" s="2" t="inlineStr">
        <is>
          <t>ORD-4106</t>
        </is>
      </c>
      <c r="B7" s="3" t="n">
        <v>46284</v>
      </c>
      <c r="C7" s="4" t="n">
        <v>54.75</v>
      </c>
      <c r="D7" s="5">
        <f>IF(C7="","",IF(NOT(ISNUMBER(C7)),"Check",IF(NOT(AND(ISNUMBER(Fences!$B$6),ISNUMBER(Fences!$B$7))),"Check",IF(OR(C7&gt;Fences!$B$6,C7&lt;Fences!$B$7),"Review","OK"))))</f>
        <v/>
      </c>
    </row>
    <row r="8">
      <c r="A8" s="2" t="inlineStr">
        <is>
          <t>ORD-4107</t>
        </is>
      </c>
      <c r="B8" s="3" t="n">
        <v>46285</v>
      </c>
      <c r="C8" s="4" t="n">
        <v>68</v>
      </c>
      <c r="D8" s="5">
        <f>IF(C8="","",IF(NOT(ISNUMBER(C8)),"Check",IF(NOT(AND(ISNUMBER(Fences!$B$6),ISNUMBER(Fences!$B$7))),"Check",IF(OR(C8&gt;Fences!$B$6,C8&lt;Fences!$B$7),"Review","OK"))))</f>
        <v/>
      </c>
    </row>
    <row r="9">
      <c r="A9" s="2" t="inlineStr">
        <is>
          <t>ORD-4108</t>
        </is>
      </c>
      <c r="B9" s="3" t="n">
        <v>46286</v>
      </c>
      <c r="C9" s="4" t="n">
        <v>45.5</v>
      </c>
      <c r="D9" s="5">
        <f>IF(C9="","",IF(NOT(ISNUMBER(C9)),"Check",IF(NOT(AND(ISNUMBER(Fences!$B$6),ISNUMBER(Fences!$B$7))),"Check",IF(OR(C9&gt;Fences!$B$6,C9&lt;Fences!$B$7),"Review","OK"))))</f>
        <v/>
      </c>
    </row>
    <row r="10">
      <c r="A10" s="2" t="inlineStr">
        <is>
          <t>ORD-4109</t>
        </is>
      </c>
      <c r="B10" s="3" t="n">
        <v>46287</v>
      </c>
      <c r="C10" s="4" t="n">
        <v>52</v>
      </c>
      <c r="D10" s="5">
        <f>IF(C10="","",IF(NOT(ISNUMBER(C10)),"Check",IF(NOT(AND(ISNUMBER(Fences!$B$6),ISNUMBER(Fences!$B$7))),"Check",IF(OR(C10&gt;Fences!$B$6,C10&lt;Fences!$B$7),"Review","OK"))))</f>
        <v/>
      </c>
    </row>
    <row r="11">
      <c r="A11" s="2" t="inlineStr">
        <is>
          <t>ORD-4110</t>
        </is>
      </c>
      <c r="B11" s="3" t="n">
        <v>46288</v>
      </c>
      <c r="C11" s="4" t="n">
        <v>39.95</v>
      </c>
      <c r="D11" s="5">
        <f>IF(C11="","",IF(NOT(ISNUMBER(C11)),"Check",IF(NOT(AND(ISNUMBER(Fences!$B$6),ISNUMBER(Fences!$B$7))),"Check",IF(OR(C11&gt;Fences!$B$6,C11&lt;Fences!$B$7),"Review","OK"))))</f>
        <v/>
      </c>
    </row>
    <row r="12">
      <c r="A12" s="2" t="inlineStr">
        <is>
          <t>ORD-4111</t>
        </is>
      </c>
      <c r="B12" s="3" t="n">
        <v>46289</v>
      </c>
      <c r="C12" s="4" t="n">
        <v>500</v>
      </c>
      <c r="D12" s="5">
        <f>IF(C12="","",IF(NOT(ISNUMBER(C12)),"Check",IF(NOT(AND(ISNUMBER(Fences!$B$6),ISNUMBER(Fences!$B$7))),"Check",IF(OR(C12&gt;Fences!$B$6,C12&lt;Fences!$B$7),"Review","OK"))))</f>
        <v/>
      </c>
    </row>
    <row r="13">
      <c r="A13" s="2" t="inlineStr">
        <is>
          <t>ORD-4112</t>
        </is>
      </c>
      <c r="B13" s="3" t="n">
        <v>46290</v>
      </c>
      <c r="C13" s="4" t="n">
        <v>71.5</v>
      </c>
      <c r="D13" s="5">
        <f>IF(C13="","",IF(NOT(ISNUMBER(C13)),"Check",IF(NOT(AND(ISNUMBER(Fences!$B$6),ISNUMBER(Fences!$B$7))),"Check",IF(OR(C13&gt;Fences!$B$6,C13&lt;Fences!$B$7),"Review","OK"))))</f>
        <v/>
      </c>
    </row>
    <row r="14">
      <c r="A14" s="2" t="inlineStr">
        <is>
          <t>ORD-4113</t>
        </is>
      </c>
      <c r="B14" s="3" t="n">
        <v>46291</v>
      </c>
      <c r="C14" s="4" t="n">
        <v>48</v>
      </c>
      <c r="D14" s="5">
        <f>IF(C14="","",IF(NOT(ISNUMBER(C14)),"Check",IF(NOT(AND(ISNUMBER(Fences!$B$6),ISNUMBER(Fences!$B$7))),"Check",IF(OR(C14&gt;Fences!$B$6,C14&lt;Fences!$B$7),"Review","OK"))))</f>
        <v/>
      </c>
    </row>
    <row r="15">
      <c r="A15" s="2" t="inlineStr">
        <is>
          <t>ORD-4114</t>
        </is>
      </c>
      <c r="B15" s="3" t="n">
        <v>46292</v>
      </c>
      <c r="C15" s="4" t="n">
        <v>56.25</v>
      </c>
      <c r="D15" s="5">
        <f>IF(C15="","",IF(NOT(ISNUMBER(C15)),"Check",IF(NOT(AND(ISNUMBER(Fences!$B$6),ISNUMBER(Fences!$B$7))),"Check",IF(OR(C15&gt;Fences!$B$6,C15&lt;Fences!$B$7),"Review","OK"))))</f>
        <v/>
      </c>
    </row>
    <row r="16">
      <c r="A16" s="2" t="inlineStr">
        <is>
          <t>ORD-4115</t>
        </is>
      </c>
      <c r="B16" s="3" t="n">
        <v>46293</v>
      </c>
      <c r="C16" s="4" t="n">
        <v>63</v>
      </c>
      <c r="D16" s="5">
        <f>IF(C16="","",IF(NOT(ISNUMBER(C16)),"Check",IF(NOT(AND(ISNUMBER(Fences!$B$6),ISNUMBER(Fences!$B$7))),"Check",IF(OR(C16&gt;Fences!$B$6,C16&lt;Fences!$B$7),"Review","OK"))))</f>
        <v/>
      </c>
    </row>
    <row r="17">
      <c r="A17" s="2" t="inlineStr">
        <is>
          <t>ORD-4116</t>
        </is>
      </c>
      <c r="B17" s="3" t="n">
        <v>46294</v>
      </c>
      <c r="C17" s="4" t="n">
        <v>44</v>
      </c>
      <c r="D17" s="5">
        <f>IF(C17="","",IF(NOT(ISNUMBER(C17)),"Check",IF(NOT(AND(ISNUMBER(Fences!$B$6),ISNUMBER(Fences!$B$7))),"Check",IF(OR(C17&gt;Fences!$B$6,C17&lt;Fences!$B$7),"Review","OK"))))</f>
        <v/>
      </c>
    </row>
    <row r="18">
      <c r="A18" s="2" t="inlineStr">
        <is>
          <t>ORD-4117</t>
        </is>
      </c>
      <c r="B18" s="3" t="n">
        <v>46295</v>
      </c>
      <c r="C18" s="4" t="n">
        <v>50</v>
      </c>
      <c r="D18" s="5">
        <f>IF(C18="","",IF(NOT(ISNUMBER(C18)),"Check",IF(NOT(AND(ISNUMBER(Fences!$B$6),ISNUMBER(Fences!$B$7))),"Check",IF(OR(C18&gt;Fences!$B$6,C18&lt;Fences!$B$7),"Review","OK"))))</f>
        <v/>
      </c>
    </row>
    <row r="19">
      <c r="A19" s="2" t="inlineStr">
        <is>
          <t>ORD-4118</t>
        </is>
      </c>
      <c r="B19" s="3" t="n">
        <v>46296</v>
      </c>
      <c r="C19" s="4" t="n">
        <v>35.5</v>
      </c>
      <c r="D19" s="5">
        <f>IF(C19="","",IF(NOT(ISNUMBER(C19)),"Check",IF(NOT(AND(ISNUMBER(Fences!$B$6),ISNUMBER(Fences!$B$7))),"Check",IF(OR(C19&gt;Fences!$B$6,C19&lt;Fences!$B$7),"Review","OK"))))</f>
        <v/>
      </c>
    </row>
    <row r="20">
      <c r="A20" s="2" t="inlineStr">
        <is>
          <t>ORD-4119</t>
        </is>
      </c>
      <c r="B20" s="3" t="n">
        <v>46297</v>
      </c>
      <c r="C20" s="4" t="n">
        <v>59.9</v>
      </c>
      <c r="D20" s="5">
        <f>IF(C20="","",IF(NOT(ISNUMBER(C20)),"Check",IF(NOT(AND(ISNUMBER(Fences!$B$6),ISNUMBER(Fences!$B$7))),"Check",IF(OR(C20&gt;Fences!$B$6,C20&lt;Fences!$B$7),"Review","OK"))))</f>
        <v/>
      </c>
    </row>
    <row r="21">
      <c r="A21" s="2" t="inlineStr">
        <is>
          <t>ORD-4120</t>
        </is>
      </c>
      <c r="B21" s="3" t="n">
        <v>46298</v>
      </c>
      <c r="C21" s="4" t="n">
        <v>66.75</v>
      </c>
      <c r="D21" s="5">
        <f>IF(C21="","",IF(NOT(ISNUMBER(C21)),"Check",IF(NOT(AND(ISNUMBER(Fences!$B$6),ISNUMBER(Fences!$B$7))),"Check",IF(OR(C21&gt;Fences!$B$6,C21&lt;Fences!$B$7),"Review","OK"))))</f>
        <v/>
      </c>
    </row>
    <row r="22">
      <c r="A22" s="2" t="inlineStr">
        <is>
          <t>ORD-4121</t>
        </is>
      </c>
      <c r="B22" s="3" t="n">
        <v>46299</v>
      </c>
      <c r="C22" s="4" t="n">
        <v>4.9</v>
      </c>
      <c r="D22" s="5">
        <f>IF(C22="","",IF(NOT(ISNUMBER(C22)),"Check",IF(NOT(AND(ISNUMBER(Fences!$B$6),ISNUMBER(Fences!$B$7))),"Check",IF(OR(C22&gt;Fences!$B$6,C22&lt;Fences!$B$7),"Review","OK"))))</f>
        <v/>
      </c>
    </row>
    <row r="23">
      <c r="A23" s="2" t="inlineStr">
        <is>
          <t>ORD-4122</t>
        </is>
      </c>
      <c r="B23" s="3" t="n">
        <v>46300</v>
      </c>
      <c r="C23" s="4" t="n">
        <v>47.25</v>
      </c>
      <c r="D23" s="5">
        <f>IF(C23="","",IF(NOT(ISNUMBER(C23)),"Check",IF(NOT(AND(ISNUMBER(Fences!$B$6),ISNUMBER(Fences!$B$7))),"Check",IF(OR(C23&gt;Fences!$B$6,C23&lt;Fences!$B$7),"Review","OK"))))</f>
        <v/>
      </c>
    </row>
    <row r="24">
      <c r="A24" s="2" t="inlineStr">
        <is>
          <t>ORD-4123</t>
        </is>
      </c>
      <c r="B24" s="3" t="n">
        <v>46301</v>
      </c>
      <c r="C24" s="4" t="n">
        <v>53.5</v>
      </c>
      <c r="D24" s="5">
        <f>IF(C24="","",IF(NOT(ISNUMBER(C24)),"Check",IF(NOT(AND(ISNUMBER(Fences!$B$6),ISNUMBER(Fences!$B$7))),"Check",IF(OR(C24&gt;Fences!$B$6,C24&lt;Fences!$B$7),"Review","OK"))))</f>
        <v/>
      </c>
    </row>
    <row r="25">
      <c r="A25" s="2" t="inlineStr">
        <is>
          <t>ORD-4124</t>
        </is>
      </c>
      <c r="B25" s="3" t="n">
        <v>46302</v>
      </c>
      <c r="C25" s="4" t="n">
        <v>40</v>
      </c>
      <c r="D25" s="5">
        <f>IF(C25="","",IF(NOT(ISNUMBER(C25)),"Check",IF(NOT(AND(ISNUMBER(Fences!$B$6),ISNUMBER(Fences!$B$7))),"Check",IF(OR(C25&gt;Fences!$B$6,C25&lt;Fences!$B$7),"Review","OK"))))</f>
        <v/>
      </c>
    </row>
    <row r="26">
      <c r="A26" s="2" t="inlineStr">
        <is>
          <t>ORD-4125</t>
        </is>
      </c>
      <c r="B26" s="3" t="n">
        <v>46303</v>
      </c>
      <c r="C26" s="4" t="n">
        <v>57</v>
      </c>
      <c r="D26" s="5">
        <f>IF(C26="","",IF(NOT(ISNUMBER(C26)),"Check",IF(NOT(AND(ISNUMBER(Fences!$B$6),ISNUMBER(Fences!$B$7))),"Check",IF(OR(C26&gt;Fences!$B$6,C26&lt;Fences!$B$7),"Review","OK"))))</f>
        <v/>
      </c>
    </row>
    <row r="27">
      <c r="A27" s="2" t="inlineStr">
        <is>
          <t>ORD-4126</t>
        </is>
      </c>
      <c r="B27" s="3" t="n">
        <v>46304</v>
      </c>
      <c r="C27" s="4" t="n">
        <v>62.5</v>
      </c>
      <c r="D27" s="5">
        <f>IF(C27="","",IF(NOT(ISNUMBER(C27)),"Check",IF(NOT(AND(ISNUMBER(Fences!$B$6),ISNUMBER(Fences!$B$7))),"Check",IF(OR(C27&gt;Fences!$B$6,C27&lt;Fences!$B$7),"Review","OK"))))</f>
        <v/>
      </c>
    </row>
    <row r="28">
      <c r="A28" s="2" t="inlineStr">
        <is>
          <t>ORD-4127</t>
        </is>
      </c>
      <c r="B28" s="3" t="n">
        <v>46305</v>
      </c>
      <c r="C28" s="4" t="n">
        <v>46</v>
      </c>
      <c r="D28" s="5">
        <f>IF(C28="","",IF(NOT(ISNUMBER(C28)),"Check",IF(NOT(AND(ISNUMBER(Fences!$B$6),ISNUMBER(Fences!$B$7))),"Check",IF(OR(C28&gt;Fences!$B$6,C28&lt;Fences!$B$7),"Review","OK"))))</f>
        <v/>
      </c>
    </row>
    <row r="29">
      <c r="A29" s="2" t="inlineStr">
        <is>
          <t>ORD-4128</t>
        </is>
      </c>
      <c r="B29" s="3" t="n">
        <v>46306</v>
      </c>
      <c r="C29" s="4" t="n">
        <v>74</v>
      </c>
      <c r="D29" s="5">
        <f>IF(C29="","",IF(NOT(ISNUMBER(C29)),"Check",IF(NOT(AND(ISNUMBER(Fences!$B$6),ISNUMBER(Fences!$B$7))),"Check",IF(OR(C29&gt;Fences!$B$6,C29&lt;Fences!$B$7),"Review","OK"))))</f>
        <v/>
      </c>
    </row>
    <row r="30">
      <c r="A30" s="2" t="inlineStr">
        <is>
          <t>ORD-4129</t>
        </is>
      </c>
      <c r="B30" s="3" t="n">
        <v>46307</v>
      </c>
      <c r="C30" s="4" t="n">
        <v>51.25</v>
      </c>
      <c r="D30" s="5">
        <f>IF(C30="","",IF(NOT(ISNUMBER(C30)),"Check",IF(NOT(AND(ISNUMBER(Fences!$B$6),ISNUMBER(Fences!$B$7))),"Check",IF(OR(C30&gt;Fences!$B$6,C30&lt;Fences!$B$7),"Review","OK"))))</f>
        <v/>
      </c>
    </row>
    <row r="31">
      <c r="A31" s="2" t="inlineStr">
        <is>
          <t>ORD-4130</t>
        </is>
      </c>
      <c r="B31" s="3" t="n">
        <v>46308</v>
      </c>
      <c r="C31" s="4" t="n">
        <v>38.75</v>
      </c>
      <c r="D31" s="5">
        <f>IF(C31="","",IF(NOT(ISNUMBER(C31)),"Check",IF(NOT(AND(ISNUMBER(Fences!$B$6),ISNUMBER(Fences!$B$7))),"Check",IF(OR(C31&gt;Fences!$B$6,C31&lt;Fences!$B$7),"Review","OK"))))</f>
        <v/>
      </c>
    </row>
    <row r="32">
      <c r="A32" s="2" t="n"/>
      <c r="B32" s="3" t="n"/>
      <c r="C32" s="4" t="n"/>
      <c r="D32" s="5">
        <f>IF(C32="","",IF(NOT(ISNUMBER(C32)),"Check",IF(NOT(AND(ISNUMBER(Fences!$B$6),ISNUMBER(Fences!$B$7))),"Check",IF(OR(C32&gt;Fences!$B$6,C32&lt;Fences!$B$7),"Review","OK"))))</f>
        <v/>
      </c>
    </row>
    <row r="33">
      <c r="A33" s="2" t="n"/>
      <c r="B33" s="3" t="n"/>
      <c r="C33" s="4" t="n"/>
      <c r="D33" s="5">
        <f>IF(C33="","",IF(NOT(ISNUMBER(C33)),"Check",IF(NOT(AND(ISNUMBER(Fences!$B$6),ISNUMBER(Fences!$B$7))),"Check",IF(OR(C33&gt;Fences!$B$6,C33&lt;Fences!$B$7),"Review","OK"))))</f>
        <v/>
      </c>
    </row>
    <row r="34">
      <c r="A34" s="2" t="n"/>
      <c r="B34" s="3" t="n"/>
      <c r="C34" s="4" t="n"/>
      <c r="D34" s="5">
        <f>IF(C34="","",IF(NOT(ISNUMBER(C34)),"Check",IF(NOT(AND(ISNUMBER(Fences!$B$6),ISNUMBER(Fences!$B$7))),"Check",IF(OR(C34&gt;Fences!$B$6,C34&lt;Fences!$B$7),"Review","OK"))))</f>
        <v/>
      </c>
    </row>
    <row r="35">
      <c r="A35" s="2" t="n"/>
      <c r="B35" s="3" t="n"/>
      <c r="C35" s="4" t="n"/>
      <c r="D35" s="5">
        <f>IF(C35="","",IF(NOT(ISNUMBER(C35)),"Check",IF(NOT(AND(ISNUMBER(Fences!$B$6),ISNUMBER(Fences!$B$7))),"Check",IF(OR(C35&gt;Fences!$B$6,C35&lt;Fences!$B$7),"Review","OK"))))</f>
        <v/>
      </c>
    </row>
    <row r="36">
      <c r="A36" s="2" t="n"/>
      <c r="B36" s="3" t="n"/>
      <c r="C36" s="4" t="n"/>
      <c r="D36" s="5">
        <f>IF(C36="","",IF(NOT(ISNUMBER(C36)),"Check",IF(NOT(AND(ISNUMBER(Fences!$B$6),ISNUMBER(Fences!$B$7))),"Check",IF(OR(C36&gt;Fences!$B$6,C36&lt;Fences!$B$7),"Review","OK"))))</f>
        <v/>
      </c>
    </row>
    <row r="37">
      <c r="A37" s="2" t="n"/>
      <c r="B37" s="3" t="n"/>
      <c r="C37" s="4" t="n"/>
      <c r="D37" s="5">
        <f>IF(C37="","",IF(NOT(ISNUMBER(C37)),"Check",IF(NOT(AND(ISNUMBER(Fences!$B$6),ISNUMBER(Fences!$B$7))),"Check",IF(OR(C37&gt;Fences!$B$6,C37&lt;Fences!$B$7),"Review","OK"))))</f>
        <v/>
      </c>
    </row>
    <row r="38">
      <c r="A38" s="2" t="n"/>
      <c r="B38" s="3" t="n"/>
      <c r="C38" s="4" t="n"/>
      <c r="D38" s="5">
        <f>IF(C38="","",IF(NOT(ISNUMBER(C38)),"Check",IF(NOT(AND(ISNUMBER(Fences!$B$6),ISNUMBER(Fences!$B$7))),"Check",IF(OR(C38&gt;Fences!$B$6,C38&lt;Fences!$B$7),"Review","OK"))))</f>
        <v/>
      </c>
    </row>
    <row r="39">
      <c r="A39" s="2" t="n"/>
      <c r="B39" s="3" t="n"/>
      <c r="C39" s="4" t="n"/>
      <c r="D39" s="5">
        <f>IF(C39="","",IF(NOT(ISNUMBER(C39)),"Check",IF(NOT(AND(ISNUMBER(Fences!$B$6),ISNUMBER(Fences!$B$7))),"Check",IF(OR(C39&gt;Fences!$B$6,C39&lt;Fences!$B$7),"Review","OK"))))</f>
        <v/>
      </c>
    </row>
    <row r="40">
      <c r="A40" s="2" t="n"/>
      <c r="B40" s="3" t="n"/>
      <c r="C40" s="4" t="n"/>
      <c r="D40" s="5">
        <f>IF(C40="","",IF(NOT(ISNUMBER(C40)),"Check",IF(NOT(AND(ISNUMBER(Fences!$B$6),ISNUMBER(Fences!$B$7))),"Check",IF(OR(C40&gt;Fences!$B$6,C40&lt;Fences!$B$7),"Review","OK"))))</f>
        <v/>
      </c>
    </row>
    <row r="41">
      <c r="A41" s="2" t="n"/>
      <c r="B41" s="3" t="n"/>
      <c r="C41" s="4" t="n"/>
      <c r="D41" s="5">
        <f>IF(C41="","",IF(NOT(ISNUMBER(C41)),"Check",IF(NOT(AND(ISNUMBER(Fences!$B$6),ISNUMBER(Fences!$B$7))),"Check",IF(OR(C41&gt;Fences!$B$6,C41&lt;Fences!$B$7),"Review","OK"))))</f>
        <v/>
      </c>
    </row>
    <row r="42">
      <c r="A42" s="2" t="n"/>
      <c r="B42" s="3" t="n"/>
      <c r="C42" s="4" t="n"/>
      <c r="D42" s="5">
        <f>IF(C42="","",IF(NOT(ISNUMBER(C42)),"Check",IF(NOT(AND(ISNUMBER(Fences!$B$6),ISNUMBER(Fences!$B$7))),"Check",IF(OR(C42&gt;Fences!$B$6,C42&lt;Fences!$B$7),"Review","OK"))))</f>
        <v/>
      </c>
    </row>
    <row r="43">
      <c r="A43" s="2" t="n"/>
      <c r="B43" s="3" t="n"/>
      <c r="C43" s="4" t="n"/>
      <c r="D43" s="5">
        <f>IF(C43="","",IF(NOT(ISNUMBER(C43)),"Check",IF(NOT(AND(ISNUMBER(Fences!$B$6),ISNUMBER(Fences!$B$7))),"Check",IF(OR(C43&gt;Fences!$B$6,C43&lt;Fences!$B$7),"Review","OK"))))</f>
        <v/>
      </c>
    </row>
    <row r="44">
      <c r="A44" s="2" t="n"/>
      <c r="B44" s="3" t="n"/>
      <c r="C44" s="4" t="n"/>
      <c r="D44" s="5">
        <f>IF(C44="","",IF(NOT(ISNUMBER(C44)),"Check",IF(NOT(AND(ISNUMBER(Fences!$B$6),ISNUMBER(Fences!$B$7))),"Check",IF(OR(C44&gt;Fences!$B$6,C44&lt;Fences!$B$7),"Review","OK"))))</f>
        <v/>
      </c>
    </row>
    <row r="45">
      <c r="A45" s="2" t="n"/>
      <c r="B45" s="3" t="n"/>
      <c r="C45" s="4" t="n"/>
      <c r="D45" s="5">
        <f>IF(C45="","",IF(NOT(ISNUMBER(C45)),"Check",IF(NOT(AND(ISNUMBER(Fences!$B$6),ISNUMBER(Fences!$B$7))),"Check",IF(OR(C45&gt;Fences!$B$6,C45&lt;Fences!$B$7),"Review","OK"))))</f>
        <v/>
      </c>
    </row>
    <row r="46">
      <c r="A46" s="2" t="n"/>
      <c r="B46" s="3" t="n"/>
      <c r="C46" s="4" t="n"/>
      <c r="D46" s="5">
        <f>IF(C46="","",IF(NOT(ISNUMBER(C46)),"Check",IF(NOT(AND(ISNUMBER(Fences!$B$6),ISNUMBER(Fences!$B$7))),"Check",IF(OR(C46&gt;Fences!$B$6,C46&lt;Fences!$B$7),"Review","OK"))))</f>
        <v/>
      </c>
    </row>
    <row r="47">
      <c r="A47" s="2" t="n"/>
      <c r="B47" s="3" t="n"/>
      <c r="C47" s="4" t="n"/>
      <c r="D47" s="5">
        <f>IF(C47="","",IF(NOT(ISNUMBER(C47)),"Check",IF(NOT(AND(ISNUMBER(Fences!$B$6),ISNUMBER(Fences!$B$7))),"Check",IF(OR(C47&gt;Fences!$B$6,C47&lt;Fences!$B$7),"Review","OK"))))</f>
        <v/>
      </c>
    </row>
    <row r="48">
      <c r="A48" s="2" t="n"/>
      <c r="B48" s="3" t="n"/>
      <c r="C48" s="4" t="n"/>
      <c r="D48" s="5">
        <f>IF(C48="","",IF(NOT(ISNUMBER(C48)),"Check",IF(NOT(AND(ISNUMBER(Fences!$B$6),ISNUMBER(Fences!$B$7))),"Check",IF(OR(C48&gt;Fences!$B$6,C48&lt;Fences!$B$7),"Review","OK"))))</f>
        <v/>
      </c>
    </row>
    <row r="49">
      <c r="A49" s="2" t="n"/>
      <c r="B49" s="3" t="n"/>
      <c r="C49" s="4" t="n"/>
      <c r="D49" s="5">
        <f>IF(C49="","",IF(NOT(ISNUMBER(C49)),"Check",IF(NOT(AND(ISNUMBER(Fences!$B$6),ISNUMBER(Fences!$B$7))),"Check",IF(OR(C49&gt;Fences!$B$6,C49&lt;Fences!$B$7),"Review","OK"))))</f>
        <v/>
      </c>
    </row>
    <row r="50">
      <c r="A50" s="2" t="n"/>
      <c r="B50" s="3" t="n"/>
      <c r="C50" s="4" t="n"/>
      <c r="D50" s="5">
        <f>IF(C50="","",IF(NOT(ISNUMBER(C50)),"Check",IF(NOT(AND(ISNUMBER(Fences!$B$6),ISNUMBER(Fences!$B$7))),"Check",IF(OR(C50&gt;Fences!$B$6,C50&lt;Fences!$B$7),"Review","OK"))))</f>
        <v/>
      </c>
    </row>
    <row r="51">
      <c r="A51" s="2" t="n"/>
      <c r="B51" s="3" t="n"/>
      <c r="C51" s="4" t="n"/>
      <c r="D51" s="5">
        <f>IF(C51="","",IF(NOT(ISNUMBER(C51)),"Check",IF(NOT(AND(ISNUMBER(Fences!$B$6),ISNUMBER(Fences!$B$7))),"Check",IF(OR(C51&gt;Fences!$B$6,C51&lt;Fences!$B$7),"Review","OK"))))</f>
        <v/>
      </c>
    </row>
    <row r="52">
      <c r="A52" s="2" t="n"/>
      <c r="B52" s="3" t="n"/>
      <c r="C52" s="4" t="n"/>
      <c r="D52" s="5">
        <f>IF(C52="","",IF(NOT(ISNUMBER(C52)),"Check",IF(NOT(AND(ISNUMBER(Fences!$B$6),ISNUMBER(Fences!$B$7))),"Check",IF(OR(C52&gt;Fences!$B$6,C52&lt;Fences!$B$7),"Review","OK"))))</f>
        <v/>
      </c>
    </row>
    <row r="53">
      <c r="A53" s="2" t="n"/>
      <c r="B53" s="3" t="n"/>
      <c r="C53" s="4" t="n"/>
      <c r="D53" s="5">
        <f>IF(C53="","",IF(NOT(ISNUMBER(C53)),"Check",IF(NOT(AND(ISNUMBER(Fences!$B$6),ISNUMBER(Fences!$B$7))),"Check",IF(OR(C53&gt;Fences!$B$6,C53&lt;Fences!$B$7),"Review","OK"))))</f>
        <v/>
      </c>
    </row>
    <row r="54">
      <c r="A54" s="2" t="n"/>
      <c r="B54" s="3" t="n"/>
      <c r="C54" s="4" t="n"/>
      <c r="D54" s="5">
        <f>IF(C54="","",IF(NOT(ISNUMBER(C54)),"Check",IF(NOT(AND(ISNUMBER(Fences!$B$6),ISNUMBER(Fences!$B$7))),"Check",IF(OR(C54&gt;Fences!$B$6,C54&lt;Fences!$B$7),"Review","OK"))))</f>
        <v/>
      </c>
    </row>
    <row r="55">
      <c r="A55" s="2" t="n"/>
      <c r="B55" s="3" t="n"/>
      <c r="C55" s="4" t="n"/>
      <c r="D55" s="5">
        <f>IF(C55="","",IF(NOT(ISNUMBER(C55)),"Check",IF(NOT(AND(ISNUMBER(Fences!$B$6),ISNUMBER(Fences!$B$7))),"Check",IF(OR(C55&gt;Fences!$B$6,C55&lt;Fences!$B$7),"Review","OK"))))</f>
        <v/>
      </c>
    </row>
    <row r="56">
      <c r="A56" s="2" t="n"/>
      <c r="B56" s="3" t="n"/>
      <c r="C56" s="4" t="n"/>
      <c r="D56" s="5">
        <f>IF(C56="","",IF(NOT(ISNUMBER(C56)),"Check",IF(NOT(AND(ISNUMBER(Fences!$B$6),ISNUMBER(Fences!$B$7))),"Check",IF(OR(C56&gt;Fences!$B$6,C56&lt;Fences!$B$7),"Review","OK"))))</f>
        <v/>
      </c>
    </row>
    <row r="57">
      <c r="A57" s="2" t="n"/>
      <c r="B57" s="3" t="n"/>
      <c r="C57" s="4" t="n"/>
      <c r="D57" s="5">
        <f>IF(C57="","",IF(NOT(ISNUMBER(C57)),"Check",IF(NOT(AND(ISNUMBER(Fences!$B$6),ISNUMBER(Fences!$B$7))),"Check",IF(OR(C57&gt;Fences!$B$6,C57&lt;Fences!$B$7),"Review","OK"))))</f>
        <v/>
      </c>
    </row>
    <row r="58">
      <c r="A58" s="2" t="n"/>
      <c r="B58" s="3" t="n"/>
      <c r="C58" s="4" t="n"/>
      <c r="D58" s="5">
        <f>IF(C58="","",IF(NOT(ISNUMBER(C58)),"Check",IF(NOT(AND(ISNUMBER(Fences!$B$6),ISNUMBER(Fences!$B$7))),"Check",IF(OR(C58&gt;Fences!$B$6,C58&lt;Fences!$B$7),"Review","OK"))))</f>
        <v/>
      </c>
    </row>
    <row r="59">
      <c r="A59" s="2" t="n"/>
      <c r="B59" s="3" t="n"/>
      <c r="C59" s="4" t="n"/>
      <c r="D59" s="5">
        <f>IF(C59="","",IF(NOT(ISNUMBER(C59)),"Check",IF(NOT(AND(ISNUMBER(Fences!$B$6),ISNUMBER(Fences!$B$7))),"Check",IF(OR(C59&gt;Fences!$B$6,C59&lt;Fences!$B$7),"Review","OK"))))</f>
        <v/>
      </c>
    </row>
    <row r="60">
      <c r="A60" s="2" t="n"/>
      <c r="B60" s="3" t="n"/>
      <c r="C60" s="4" t="n"/>
      <c r="D60" s="5">
        <f>IF(C60="","",IF(NOT(ISNUMBER(C60)),"Check",IF(NOT(AND(ISNUMBER(Fences!$B$6),ISNUMBER(Fences!$B$7))),"Check",IF(OR(C60&gt;Fences!$B$6,C60&lt;Fences!$B$7),"Review","OK"))))</f>
        <v/>
      </c>
    </row>
    <row r="61">
      <c r="A61" s="2" t="n"/>
      <c r="B61" s="3" t="n"/>
      <c r="C61" s="4" t="n"/>
      <c r="D61" s="5">
        <f>IF(C61="","",IF(NOT(ISNUMBER(C61)),"Check",IF(NOT(AND(ISNUMBER(Fences!$B$6),ISNUMBER(Fences!$B$7))),"Check",IF(OR(C61&gt;Fences!$B$6,C61&lt;Fences!$B$7),"Review","OK"))))</f>
        <v/>
      </c>
    </row>
    <row r="62">
      <c r="A62" s="2" t="n"/>
      <c r="B62" s="3" t="n"/>
      <c r="C62" s="4" t="n"/>
      <c r="D62" s="5">
        <f>IF(C62="","",IF(NOT(ISNUMBER(C62)),"Check",IF(NOT(AND(ISNUMBER(Fences!$B$6),ISNUMBER(Fences!$B$7))),"Check",IF(OR(C62&gt;Fences!$B$6,C62&lt;Fences!$B$7),"Review","OK"))))</f>
        <v/>
      </c>
    </row>
    <row r="63">
      <c r="A63" s="2" t="n"/>
      <c r="B63" s="3" t="n"/>
      <c r="C63" s="4" t="n"/>
      <c r="D63" s="5">
        <f>IF(C63="","",IF(NOT(ISNUMBER(C63)),"Check",IF(NOT(AND(ISNUMBER(Fences!$B$6),ISNUMBER(Fences!$B$7))),"Check",IF(OR(C63&gt;Fences!$B$6,C63&lt;Fences!$B$7),"Review","OK"))))</f>
        <v/>
      </c>
    </row>
    <row r="64">
      <c r="A64" s="2" t="n"/>
      <c r="B64" s="3" t="n"/>
      <c r="C64" s="4" t="n"/>
      <c r="D64" s="5">
        <f>IF(C64="","",IF(NOT(ISNUMBER(C64)),"Check",IF(NOT(AND(ISNUMBER(Fences!$B$6),ISNUMBER(Fences!$B$7))),"Check",IF(OR(C64&gt;Fences!$B$6,C64&lt;Fences!$B$7),"Review","OK"))))</f>
        <v/>
      </c>
    </row>
    <row r="65">
      <c r="A65" s="2" t="n"/>
      <c r="B65" s="3" t="n"/>
      <c r="C65" s="4" t="n"/>
      <c r="D65" s="5">
        <f>IF(C65="","",IF(NOT(ISNUMBER(C65)),"Check",IF(NOT(AND(ISNUMBER(Fences!$B$6),ISNUMBER(Fences!$B$7))),"Check",IF(OR(C65&gt;Fences!$B$6,C65&lt;Fences!$B$7),"Review","OK"))))</f>
        <v/>
      </c>
    </row>
    <row r="66">
      <c r="A66" s="2" t="n"/>
      <c r="B66" s="3" t="n"/>
      <c r="C66" s="4" t="n"/>
      <c r="D66" s="5">
        <f>IF(C66="","",IF(NOT(ISNUMBER(C66)),"Check",IF(NOT(AND(ISNUMBER(Fences!$B$6),ISNUMBER(Fences!$B$7))),"Check",IF(OR(C66&gt;Fences!$B$6,C66&lt;Fences!$B$7),"Review","OK"))))</f>
        <v/>
      </c>
    </row>
    <row r="67">
      <c r="A67" s="2" t="n"/>
      <c r="B67" s="3" t="n"/>
      <c r="C67" s="4" t="n"/>
      <c r="D67" s="5">
        <f>IF(C67="","",IF(NOT(ISNUMBER(C67)),"Check",IF(NOT(AND(ISNUMBER(Fences!$B$6),ISNUMBER(Fences!$B$7))),"Check",IF(OR(C67&gt;Fences!$B$6,C67&lt;Fences!$B$7),"Review","OK"))))</f>
        <v/>
      </c>
    </row>
    <row r="68">
      <c r="A68" s="2" t="n"/>
      <c r="B68" s="3" t="n"/>
      <c r="C68" s="4" t="n"/>
      <c r="D68" s="5">
        <f>IF(C68="","",IF(NOT(ISNUMBER(C68)),"Check",IF(NOT(AND(ISNUMBER(Fences!$B$6),ISNUMBER(Fences!$B$7))),"Check",IF(OR(C68&gt;Fences!$B$6,C68&lt;Fences!$B$7),"Review","OK"))))</f>
        <v/>
      </c>
    </row>
    <row r="69">
      <c r="A69" s="2" t="n"/>
      <c r="B69" s="3" t="n"/>
      <c r="C69" s="4" t="n"/>
      <c r="D69" s="5">
        <f>IF(C69="","",IF(NOT(ISNUMBER(C69)),"Check",IF(NOT(AND(ISNUMBER(Fences!$B$6),ISNUMBER(Fences!$B$7))),"Check",IF(OR(C69&gt;Fences!$B$6,C69&lt;Fences!$B$7),"Review","OK"))))</f>
        <v/>
      </c>
    </row>
    <row r="70">
      <c r="A70" s="2" t="n"/>
      <c r="B70" s="3" t="n"/>
      <c r="C70" s="4" t="n"/>
      <c r="D70" s="5">
        <f>IF(C70="","",IF(NOT(ISNUMBER(C70)),"Check",IF(NOT(AND(ISNUMBER(Fences!$B$6),ISNUMBER(Fences!$B$7))),"Check",IF(OR(C70&gt;Fences!$B$6,C70&lt;Fences!$B$7),"Review","OK"))))</f>
        <v/>
      </c>
    </row>
    <row r="71">
      <c r="A71" s="2" t="n"/>
      <c r="B71" s="3" t="n"/>
      <c r="C71" s="4" t="n"/>
      <c r="D71" s="5">
        <f>IF(C71="","",IF(NOT(ISNUMBER(C71)),"Check",IF(NOT(AND(ISNUMBER(Fences!$B$6),ISNUMBER(Fences!$B$7))),"Check",IF(OR(C71&gt;Fences!$B$6,C71&lt;Fences!$B$7),"Review","OK"))))</f>
        <v/>
      </c>
    </row>
    <row r="72">
      <c r="A72" s="2" t="n"/>
      <c r="B72" s="3" t="n"/>
      <c r="C72" s="4" t="n"/>
      <c r="D72" s="5">
        <f>IF(C72="","",IF(NOT(ISNUMBER(C72)),"Check",IF(NOT(AND(ISNUMBER(Fences!$B$6),ISNUMBER(Fences!$B$7))),"Check",IF(OR(C72&gt;Fences!$B$6,C72&lt;Fences!$B$7),"Review","OK"))))</f>
        <v/>
      </c>
    </row>
    <row r="73">
      <c r="A73" s="2" t="n"/>
      <c r="B73" s="3" t="n"/>
      <c r="C73" s="4" t="n"/>
      <c r="D73" s="5">
        <f>IF(C73="","",IF(NOT(ISNUMBER(C73)),"Check",IF(NOT(AND(ISNUMBER(Fences!$B$6),ISNUMBER(Fences!$B$7))),"Check",IF(OR(C73&gt;Fences!$B$6,C73&lt;Fences!$B$7),"Review","OK"))))</f>
        <v/>
      </c>
    </row>
    <row r="74">
      <c r="A74" s="2" t="n"/>
      <c r="B74" s="3" t="n"/>
      <c r="C74" s="4" t="n"/>
      <c r="D74" s="5">
        <f>IF(C74="","",IF(NOT(ISNUMBER(C74)),"Check",IF(NOT(AND(ISNUMBER(Fences!$B$6),ISNUMBER(Fences!$B$7))),"Check",IF(OR(C74&gt;Fences!$B$6,C74&lt;Fences!$B$7),"Review","OK"))))</f>
        <v/>
      </c>
    </row>
    <row r="75">
      <c r="A75" s="2" t="n"/>
      <c r="B75" s="3" t="n"/>
      <c r="C75" s="4" t="n"/>
      <c r="D75" s="5">
        <f>IF(C75="","",IF(NOT(ISNUMBER(C75)),"Check",IF(NOT(AND(ISNUMBER(Fences!$B$6),ISNUMBER(Fences!$B$7))),"Check",IF(OR(C75&gt;Fences!$B$6,C75&lt;Fences!$B$7),"Review","OK"))))</f>
        <v/>
      </c>
    </row>
    <row r="76">
      <c r="A76" s="2" t="n"/>
      <c r="B76" s="3" t="n"/>
      <c r="C76" s="4" t="n"/>
      <c r="D76" s="5">
        <f>IF(C76="","",IF(NOT(ISNUMBER(C76)),"Check",IF(NOT(AND(ISNUMBER(Fences!$B$6),ISNUMBER(Fences!$B$7))),"Check",IF(OR(C76&gt;Fences!$B$6,C76&lt;Fences!$B$7),"Review","OK"))))</f>
        <v/>
      </c>
    </row>
    <row r="77">
      <c r="A77" s="2" t="n"/>
      <c r="B77" s="3" t="n"/>
      <c r="C77" s="4" t="n"/>
      <c r="D77" s="5">
        <f>IF(C77="","",IF(NOT(ISNUMBER(C77)),"Check",IF(NOT(AND(ISNUMBER(Fences!$B$6),ISNUMBER(Fences!$B$7))),"Check",IF(OR(C77&gt;Fences!$B$6,C77&lt;Fences!$B$7),"Review","OK"))))</f>
        <v/>
      </c>
    </row>
    <row r="78">
      <c r="A78" s="2" t="n"/>
      <c r="B78" s="3" t="n"/>
      <c r="C78" s="4" t="n"/>
      <c r="D78" s="5">
        <f>IF(C78="","",IF(NOT(ISNUMBER(C78)),"Check",IF(NOT(AND(ISNUMBER(Fences!$B$6),ISNUMBER(Fences!$B$7))),"Check",IF(OR(C78&gt;Fences!$B$6,C78&lt;Fences!$B$7),"Review","OK"))))</f>
        <v/>
      </c>
    </row>
    <row r="79">
      <c r="A79" s="2" t="n"/>
      <c r="B79" s="3" t="n"/>
      <c r="C79" s="4" t="n"/>
      <c r="D79" s="5">
        <f>IF(C79="","",IF(NOT(ISNUMBER(C79)),"Check",IF(NOT(AND(ISNUMBER(Fences!$B$6),ISNUMBER(Fences!$B$7))),"Check",IF(OR(C79&gt;Fences!$B$6,C79&lt;Fences!$B$7),"Review","OK"))))</f>
        <v/>
      </c>
    </row>
    <row r="80">
      <c r="A80" s="2" t="n"/>
      <c r="B80" s="3" t="n"/>
      <c r="C80" s="4" t="n"/>
      <c r="D80" s="5">
        <f>IF(C80="","",IF(NOT(ISNUMBER(C80)),"Check",IF(NOT(AND(ISNUMBER(Fences!$B$6),ISNUMBER(Fences!$B$7))),"Check",IF(OR(C80&gt;Fences!$B$6,C80&lt;Fences!$B$7),"Review","OK"))))</f>
        <v/>
      </c>
    </row>
    <row r="81">
      <c r="A81" s="2" t="n"/>
      <c r="B81" s="3" t="n"/>
      <c r="C81" s="4" t="n"/>
      <c r="D81" s="5">
        <f>IF(C81="","",IF(NOT(ISNUMBER(C81)),"Check",IF(NOT(AND(ISNUMBER(Fences!$B$6),ISNUMBER(Fences!$B$7))),"Check",IF(OR(C81&gt;Fences!$B$6,C81&lt;Fences!$B$7),"Review","OK"))))</f>
        <v/>
      </c>
    </row>
    <row r="82">
      <c r="A82" s="2" t="n"/>
      <c r="B82" s="3" t="n"/>
      <c r="C82" s="4" t="n"/>
      <c r="D82" s="5">
        <f>IF(C82="","",IF(NOT(ISNUMBER(C82)),"Check",IF(NOT(AND(ISNUMBER(Fences!$B$6),ISNUMBER(Fences!$B$7))),"Check",IF(OR(C82&gt;Fences!$B$6,C82&lt;Fences!$B$7),"Review","OK"))))</f>
        <v/>
      </c>
    </row>
    <row r="83">
      <c r="A83" s="2" t="n"/>
      <c r="B83" s="3" t="n"/>
      <c r="C83" s="4" t="n"/>
      <c r="D83" s="5">
        <f>IF(C83="","",IF(NOT(ISNUMBER(C83)),"Check",IF(NOT(AND(ISNUMBER(Fences!$B$6),ISNUMBER(Fences!$B$7))),"Check",IF(OR(C83&gt;Fences!$B$6,C83&lt;Fences!$B$7),"Review","OK"))))</f>
        <v/>
      </c>
    </row>
    <row r="84">
      <c r="A84" s="2" t="n"/>
      <c r="B84" s="3" t="n"/>
      <c r="C84" s="4" t="n"/>
      <c r="D84" s="5">
        <f>IF(C84="","",IF(NOT(ISNUMBER(C84)),"Check",IF(NOT(AND(ISNUMBER(Fences!$B$6),ISNUMBER(Fences!$B$7))),"Check",IF(OR(C84&gt;Fences!$B$6,C84&lt;Fences!$B$7),"Review","OK"))))</f>
        <v/>
      </c>
    </row>
    <row r="85">
      <c r="A85" s="2" t="n"/>
      <c r="B85" s="3" t="n"/>
      <c r="C85" s="4" t="n"/>
      <c r="D85" s="5">
        <f>IF(C85="","",IF(NOT(ISNUMBER(C85)),"Check",IF(NOT(AND(ISNUMBER(Fences!$B$6),ISNUMBER(Fences!$B$7))),"Check",IF(OR(C85&gt;Fences!$B$6,C85&lt;Fences!$B$7),"Review","OK"))))</f>
        <v/>
      </c>
    </row>
    <row r="86">
      <c r="A86" s="2" t="n"/>
      <c r="B86" s="3" t="n"/>
      <c r="C86" s="4" t="n"/>
      <c r="D86" s="5">
        <f>IF(C86="","",IF(NOT(ISNUMBER(C86)),"Check",IF(NOT(AND(ISNUMBER(Fences!$B$6),ISNUMBER(Fences!$B$7))),"Check",IF(OR(C86&gt;Fences!$B$6,C86&lt;Fences!$B$7),"Review","OK"))))</f>
        <v/>
      </c>
    </row>
    <row r="87">
      <c r="A87" s="2" t="n"/>
      <c r="B87" s="3" t="n"/>
      <c r="C87" s="4" t="n"/>
      <c r="D87" s="5">
        <f>IF(C87="","",IF(NOT(ISNUMBER(C87)),"Check",IF(NOT(AND(ISNUMBER(Fences!$B$6),ISNUMBER(Fences!$B$7))),"Check",IF(OR(C87&gt;Fences!$B$6,C87&lt;Fences!$B$7),"Review","OK"))))</f>
        <v/>
      </c>
    </row>
    <row r="88">
      <c r="A88" s="2" t="n"/>
      <c r="B88" s="3" t="n"/>
      <c r="C88" s="4" t="n"/>
      <c r="D88" s="5">
        <f>IF(C88="","",IF(NOT(ISNUMBER(C88)),"Check",IF(NOT(AND(ISNUMBER(Fences!$B$6),ISNUMBER(Fences!$B$7))),"Check",IF(OR(C88&gt;Fences!$B$6,C88&lt;Fences!$B$7),"Review","OK"))))</f>
        <v/>
      </c>
    </row>
    <row r="89">
      <c r="A89" s="2" t="n"/>
      <c r="B89" s="3" t="n"/>
      <c r="C89" s="4" t="n"/>
      <c r="D89" s="5">
        <f>IF(C89="","",IF(NOT(ISNUMBER(C89)),"Check",IF(NOT(AND(ISNUMBER(Fences!$B$6),ISNUMBER(Fences!$B$7))),"Check",IF(OR(C89&gt;Fences!$B$6,C89&lt;Fences!$B$7),"Review","OK"))))</f>
        <v/>
      </c>
    </row>
    <row r="90">
      <c r="A90" s="2" t="n"/>
      <c r="B90" s="3" t="n"/>
      <c r="C90" s="4" t="n"/>
      <c r="D90" s="5">
        <f>IF(C90="","",IF(NOT(ISNUMBER(C90)),"Check",IF(NOT(AND(ISNUMBER(Fences!$B$6),ISNUMBER(Fences!$B$7))),"Check",IF(OR(C90&gt;Fences!$B$6,C90&lt;Fences!$B$7),"Review","OK"))))</f>
        <v/>
      </c>
    </row>
    <row r="91">
      <c r="A91" s="2" t="n"/>
      <c r="B91" s="3" t="n"/>
      <c r="C91" s="4" t="n"/>
      <c r="D91" s="5">
        <f>IF(C91="","",IF(NOT(ISNUMBER(C91)),"Check",IF(NOT(AND(ISNUMBER(Fences!$B$6),ISNUMBER(Fences!$B$7))),"Check",IF(OR(C91&gt;Fences!$B$6,C91&lt;Fences!$B$7),"Review","OK"))))</f>
        <v/>
      </c>
    </row>
    <row r="92">
      <c r="A92" s="2" t="n"/>
      <c r="B92" s="3" t="n"/>
      <c r="C92" s="4" t="n"/>
      <c r="D92" s="5">
        <f>IF(C92="","",IF(NOT(ISNUMBER(C92)),"Check",IF(NOT(AND(ISNUMBER(Fences!$B$6),ISNUMBER(Fences!$B$7))),"Check",IF(OR(C92&gt;Fences!$B$6,C92&lt;Fences!$B$7),"Review","OK"))))</f>
        <v/>
      </c>
    </row>
    <row r="93">
      <c r="A93" s="2" t="n"/>
      <c r="B93" s="3" t="n"/>
      <c r="C93" s="4" t="n"/>
      <c r="D93" s="5">
        <f>IF(C93="","",IF(NOT(ISNUMBER(C93)),"Check",IF(NOT(AND(ISNUMBER(Fences!$B$6),ISNUMBER(Fences!$B$7))),"Check",IF(OR(C93&gt;Fences!$B$6,C93&lt;Fences!$B$7),"Review","OK"))))</f>
        <v/>
      </c>
    </row>
    <row r="94">
      <c r="A94" s="2" t="n"/>
      <c r="B94" s="3" t="n"/>
      <c r="C94" s="4" t="n"/>
      <c r="D94" s="5">
        <f>IF(C94="","",IF(NOT(ISNUMBER(C94)),"Check",IF(NOT(AND(ISNUMBER(Fences!$B$6),ISNUMBER(Fences!$B$7))),"Check",IF(OR(C94&gt;Fences!$B$6,C94&lt;Fences!$B$7),"Review","OK"))))</f>
        <v/>
      </c>
    </row>
    <row r="95">
      <c r="A95" s="2" t="n"/>
      <c r="B95" s="3" t="n"/>
      <c r="C95" s="4" t="n"/>
      <c r="D95" s="5">
        <f>IF(C95="","",IF(NOT(ISNUMBER(C95)),"Check",IF(NOT(AND(ISNUMBER(Fences!$B$6),ISNUMBER(Fences!$B$7))),"Check",IF(OR(C95&gt;Fences!$B$6,C95&lt;Fences!$B$7),"Review","OK"))))</f>
        <v/>
      </c>
    </row>
    <row r="96">
      <c r="A96" s="2" t="n"/>
      <c r="B96" s="3" t="n"/>
      <c r="C96" s="4" t="n"/>
      <c r="D96" s="5">
        <f>IF(C96="","",IF(NOT(ISNUMBER(C96)),"Check",IF(NOT(AND(ISNUMBER(Fences!$B$6),ISNUMBER(Fences!$B$7))),"Check",IF(OR(C96&gt;Fences!$B$6,C96&lt;Fences!$B$7),"Review","OK"))))</f>
        <v/>
      </c>
    </row>
    <row r="97">
      <c r="A97" s="2" t="n"/>
      <c r="B97" s="3" t="n"/>
      <c r="C97" s="4" t="n"/>
      <c r="D97" s="5">
        <f>IF(C97="","",IF(NOT(ISNUMBER(C97)),"Check",IF(NOT(AND(ISNUMBER(Fences!$B$6),ISNUMBER(Fences!$B$7))),"Check",IF(OR(C97&gt;Fences!$B$6,C97&lt;Fences!$B$7),"Review","OK"))))</f>
        <v/>
      </c>
    </row>
    <row r="98">
      <c r="A98" s="2" t="n"/>
      <c r="B98" s="3" t="n"/>
      <c r="C98" s="4" t="n"/>
      <c r="D98" s="5">
        <f>IF(C98="","",IF(NOT(ISNUMBER(C98)),"Check",IF(NOT(AND(ISNUMBER(Fences!$B$6),ISNUMBER(Fences!$B$7))),"Check",IF(OR(C98&gt;Fences!$B$6,C98&lt;Fences!$B$7),"Review","OK"))))</f>
        <v/>
      </c>
    </row>
    <row r="99">
      <c r="A99" s="2" t="n"/>
      <c r="B99" s="3" t="n"/>
      <c r="C99" s="4" t="n"/>
      <c r="D99" s="5">
        <f>IF(C99="","",IF(NOT(ISNUMBER(C99)),"Check",IF(NOT(AND(ISNUMBER(Fences!$B$6),ISNUMBER(Fences!$B$7))),"Check",IF(OR(C99&gt;Fences!$B$6,C99&lt;Fences!$B$7),"Review","OK"))))</f>
        <v/>
      </c>
    </row>
    <row r="100">
      <c r="A100" s="2" t="n"/>
      <c r="B100" s="3" t="n"/>
      <c r="C100" s="4" t="n"/>
      <c r="D100" s="5">
        <f>IF(C100="","",IF(NOT(ISNUMBER(C100)),"Check",IF(NOT(AND(ISNUMBER(Fences!$B$6),ISNUMBER(Fences!$B$7))),"Check",IF(OR(C100&gt;Fences!$B$6,C100&lt;Fences!$B$7),"Review","OK"))))</f>
        <v/>
      </c>
    </row>
  </sheetData>
  <conditionalFormatting sqref="A2:D100">
    <cfRule type="expression" priority="1" dxfId="0">
      <formula>$D2="Review"</formula>
    </cfRule>
  </conditionalFormatting>
  <conditionalFormatting sqref="D2:D100">
    <cfRule type="expression" priority="2" dxfId="1">
      <formula>$D2="Check"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50" customWidth="1" min="3" max="3"/>
  </cols>
  <sheetData>
    <row r="1">
      <c r="A1" s="6" t="inlineStr">
        <is>
          <t>Q1 (25th percentile)</t>
        </is>
      </c>
      <c r="B1" s="7">
        <f>IF(COUNT(Orders!$C$2:$C$100)&lt;4,"Need 4 amounts",QUARTILE(Orders!$C$2:$C$100,1))</f>
        <v/>
      </c>
      <c r="C1" t="inlineStr">
        <is>
          <t>Formula: QUARTILE(Orders!C2:C100,1)</t>
        </is>
      </c>
    </row>
    <row r="2">
      <c r="A2" s="6" t="inlineStr">
        <is>
          <t>Q3 (75th percentile)</t>
        </is>
      </c>
      <c r="B2" s="7">
        <f>IF(COUNT(Orders!$C$2:$C$100)&lt;4,"Need 4 amounts",QUARTILE(Orders!$C$2:$C$100,3))</f>
        <v/>
      </c>
      <c r="C2" t="inlineStr">
        <is>
          <t>Formula: QUARTILE(Orders!C2:C100,3)</t>
        </is>
      </c>
    </row>
    <row r="3">
      <c r="A3" s="6" t="inlineStr">
        <is>
          <t>IQR (Q3 minus Q1)</t>
        </is>
      </c>
      <c r="B3" s="7">
        <f>IF(AND(ISNUMBER(B1),ISNUMBER(B2)),B2-B1,"")</f>
        <v/>
      </c>
    </row>
    <row r="4">
      <c r="A4" s="6" t="inlineStr">
        <is>
          <t>Multiplier (type it)</t>
        </is>
      </c>
      <c r="B4" s="8" t="n">
        <v>1.5</v>
      </c>
      <c r="C4" t="inlineStr">
        <is>
          <t>Typed. 1.5 is the usual rule; 3 flags only the far ones.</t>
        </is>
      </c>
    </row>
    <row r="5">
      <c r="A5" s="6" t="inlineStr">
        <is>
          <t>Amounts counted</t>
        </is>
      </c>
      <c r="B5" s="9">
        <f>COUNT(Orders!$C$2:$C$100)</f>
        <v/>
      </c>
      <c r="C5" t="inlineStr">
        <is>
          <t>Text and blank cells are not counted.</t>
        </is>
      </c>
    </row>
    <row r="6">
      <c r="A6" s="6" t="inlineStr">
        <is>
          <t>Upper fence (Q3 + multiplier x IQR)</t>
        </is>
      </c>
      <c r="B6" s="7">
        <f>IF(AND(ISNUMBER(B2),ISNUMBER(B3),ISNUMBER(B4)),B2+B4*B3,"Check")</f>
        <v/>
      </c>
      <c r="C6" t="inlineStr">
        <is>
          <t>Above this: Review.</t>
        </is>
      </c>
    </row>
    <row r="7">
      <c r="A7" s="6" t="inlineStr">
        <is>
          <t>Lower fence (Q1 - multiplier x IQR)</t>
        </is>
      </c>
      <c r="B7" s="7">
        <f>IF(AND(ISNUMBER(B1),ISNUMBER(B3),ISNUMBER(B4)),B1-B4*B3,"Check")</f>
        <v/>
      </c>
      <c r="C7" t="inlineStr">
        <is>
          <t>Below this: Review.</t>
        </is>
      </c>
    </row>
    <row r="8">
      <c r="A8" s="6" t="inlineStr">
        <is>
          <t>Rows flagged Review</t>
        </is>
      </c>
      <c r="B8" s="9">
        <f>COUNTIF(Orders!$D$2:$D$100,"Review")</f>
        <v/>
      </c>
      <c r="C8" t="inlineStr">
        <is>
          <t>Look at the row. Do not delete it.</t>
        </is>
      </c>
    </row>
    <row r="9">
      <c r="A9" s="6" t="inlineStr">
        <is>
          <t>Rows OK</t>
        </is>
      </c>
      <c r="B9" s="9">
        <f>COUNTIF(Orders!$D$2:$D$100,"OK")</f>
        <v/>
      </c>
    </row>
    <row r="10">
      <c r="A10" s="6" t="inlineStr">
        <is>
          <t>Rows Check (text amount or no fences)</t>
        </is>
      </c>
      <c r="B10" s="9">
        <f>COUNTIF(Orders!$D$2:$D$100,"Check")</f>
        <v/>
      </c>
    </row>
    <row r="11">
      <c r="A11" s="6" t="inlineStr">
        <is>
          <t>Rows with an amount entry</t>
        </is>
      </c>
      <c r="B11" s="9">
        <f>COUNTA(Orders!$C$2:$C$100)</f>
        <v/>
      </c>
    </row>
    <row r="12">
      <c r="A12" s="6" t="inlineStr">
        <is>
          <t>Check: Review + OK + Check = rows with an entry</t>
        </is>
      </c>
      <c r="B12" s="10">
        <f>IF(B8+B9+B10=B11,"OK","CHECK")</f>
        <v/>
      </c>
    </row>
    <row r="14">
      <c r="A14" s="11" t="inlineStr">
        <is>
          <t>Mean plus or minus 2 standard deviations</t>
        </is>
      </c>
    </row>
    <row r="15">
      <c r="A15" s="6" t="inlineStr">
        <is>
          <t>Mean</t>
        </is>
      </c>
      <c r="B15" s="7">
        <f>IF(COUNT(Orders!$C$2:$C$100)&lt;2,"",AVERAGE(Orders!$C$2:$C$100))</f>
        <v/>
      </c>
    </row>
    <row r="16">
      <c r="A16" s="6" t="inlineStr">
        <is>
          <t>Standard deviation</t>
        </is>
      </c>
      <c r="B16" s="7">
        <f>IF(COUNT(Orders!$C$2:$C$100)&lt;2,"",STDEV(Orders!$C$2:$C$100))</f>
        <v/>
      </c>
    </row>
    <row r="17">
      <c r="A17" s="6" t="inlineStr">
        <is>
          <t>Upper limit (mean + 2 x SD)</t>
        </is>
      </c>
      <c r="B17" s="7">
        <f>IF(ISNUMBER(B15),B15+2*B16,"")</f>
        <v/>
      </c>
    </row>
    <row r="18">
      <c r="A18" s="6" t="inlineStr">
        <is>
          <t>Lower limit (mean - 2 x SD)</t>
        </is>
      </c>
      <c r="B18" s="7">
        <f>IF(ISNUMBER(B15),B15-2*B16,"")</f>
        <v/>
      </c>
      <c r="C18" t="inlineStr">
        <is>
          <t>Can be below $0.00, so a tiny amount cannot fall under it.</t>
        </is>
      </c>
    </row>
    <row r="19">
      <c r="A19" s="6" t="inlineStr">
        <is>
          <t>Amounts outside those limits</t>
        </is>
      </c>
      <c r="B19" s="9">
        <f>IF(ISNUMBER(B17),COUNTIF(Orders!$C$2:$C$100,"&gt;"&amp;B17)+COUNTIF(Orders!$C$2:$C$100,"&lt;"&amp;B18),"")</f>
        <v/>
      </c>
      <c r="C19" t="inlineStr">
        <is>
          <t>Compare with Rows flagged Review above.</t>
        </is>
      </c>
    </row>
  </sheetData>
  <conditionalFormatting sqref="B12">
    <cfRule type="expression" priority="1" dxfId="1">
      <formula>B12&lt;&gt;"OK"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Tidy Tabs: Find Unusually High or Low Order Amounts</t>
        </is>
      </c>
    </row>
    <row r="2">
      <c r="A2" s="13" t="inlineStr"/>
    </row>
    <row r="3">
      <c r="A3" s="13" t="inlineStr">
        <is>
          <t>1. Orders tab: paste or type orders in A to C (yellow). Rows 2 to 100 have a Flag formula ready. The 30 sample orders are fictional; two are typing slips on purpose ($500.00 meant as $50.00 and $4.90 meant as $49.00).</t>
        </is>
      </c>
    </row>
    <row r="4">
      <c r="A4" s="13" t="inlineStr">
        <is>
          <t>2. Fences tab: B1 is =QUARTILE(Orders!C2:C100,1) and B2 is =QUARTILE(Orders!C2:C100,3). B3 is the IQR, B2-B1. B4 is the multiplier you type (1.5).</t>
        </is>
      </c>
    </row>
    <row r="5">
      <c r="A5" s="13" t="inlineStr">
        <is>
          <t>3. B6 = B2+B4*B3 is the upper fence and B7 = B1-B4*B3 is the lower fence. QUARTILE here is the inclusive method (same as QUARTILE.INC).</t>
        </is>
      </c>
    </row>
    <row r="6">
      <c r="A6" s="13" t="inlineStr">
        <is>
          <t>4. Orders D2: =IF(C2="","",IF(NOT(ISNUMBER(C2)),"Check",IF(OR(C2&gt;Fences!$B$6,C2&lt;Fences!$B$7),"Review","OK"))) plus a guard for missing fences. An amount equal to a fence is OK. Review means look at the row; it does not mean the amount is wrong.</t>
        </is>
      </c>
    </row>
    <row r="7">
      <c r="A7" s="13" t="inlineStr">
        <is>
          <t>5. Rows flagged Review are shaded amber by a conditional formatting rule on the Flag text. A text amount (such as $50 typed as text) shows Check and is not counted in the fences.</t>
        </is>
      </c>
    </row>
    <row r="8">
      <c r="A8" s="13" t="inlineStr">
        <is>
          <t>6. Fences B12 shows OK when Review + OK + Check equals the rows that have an amount entry.</t>
        </is>
      </c>
    </row>
    <row r="9">
      <c r="A9" s="13" t="inlineStr">
        <is>
          <t>7. Fences B14 to B19 repeat the check with mean plus or minus 2 standard deviations. In the sample, the $500.00 typo raises the standard deviation so much that the lower limit falls below $0.00, and $4.90 cannot be caught by that rule (B19 counts 1, B8 counts 2). Compare B19 with B8 on your own data.</t>
        </is>
      </c>
    </row>
    <row r="10">
      <c r="A10" s="13" t="inlineStr">
        <is>
          <t>8. With fewer than 4 numbers the fences show Need 4 amounts and every amount shows Check. If most amounts are equal, the IQR is 0 and any different amount is flagged.</t>
        </is>
      </c>
    </row>
    <row r="11">
      <c r="A11" s="13" t="inlineStr">
        <is>
          <t>9. The fences are a screen for typing slips, not a rule about which orders are real or good. Check the row against the order itself.</t>
        </is>
      </c>
    </row>
    <row r="12">
      <c r="A12" s="13" t="inlineStr"/>
    </row>
    <row r="13">
      <c r="A13" s="13" t="inlineStr">
        <is>
          <t>Orders and amounts are fictional. Checked in LibreOffice Calc only; not opened in Excel or Google Sheets.</t>
        </is>
      </c>
    </row>
    <row r="14">
      <c r="A14" s="13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2026-10-19T07:45:47Z</dcterms:created>
  <dcterms:modified xmlns:dcterms="http://purl.org/dc/terms/" xmlns:xsi="http://www.w3.org/2001/XMLSchema-instance" xsi:type="dcterms:W3CDTF">2026-10-19T07:45:47Z</dcterms:modified>
</cp:coreProperties>
</file>