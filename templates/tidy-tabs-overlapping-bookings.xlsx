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'Bookings'!$1:$1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2" customWidth="1" min="4" max="4"/>
    <col width="12" customWidth="1" min="5" max="5"/>
    <col width="10" customWidth="1" min="6" max="6"/>
    <col width="11" customWidth="1" min="7" max="7"/>
    <col width="11" customWidth="1" min="8" max="8"/>
    <col width="4" customWidth="1" min="9" max="9"/>
    <col width="42" customWidth="1" min="10" max="10"/>
    <col width="10" customWidth="1" min="11" max="11"/>
  </cols>
  <sheetData>
    <row r="1" ht="30" customHeight="1">
      <c r="A1" s="1" t="inlineStr">
        <is>
          <t>Booking ID</t>
        </is>
      </c>
      <c r="B1" s="1" t="inlineStr">
        <is>
          <t>Space</t>
        </is>
      </c>
      <c r="C1" s="1" t="inlineStr">
        <is>
          <t>Client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Conflicts</t>
        </is>
      </c>
      <c r="G1" s="1" t="inlineStr">
        <is>
          <t>Status</t>
        </is>
      </c>
      <c r="H1" s="1" t="inlineStr">
        <is>
          <t>Cross-check</t>
        </is>
      </c>
      <c r="J1" s="2" t="inlineStr">
        <is>
          <t>Settings and results</t>
        </is>
      </c>
    </row>
    <row r="2">
      <c r="A2" s="3" t="inlineStr">
        <is>
          <t>BK-101</t>
        </is>
      </c>
      <c r="B2" s="3" t="inlineStr">
        <is>
          <t>Booth A</t>
        </is>
      </c>
      <c r="C2" s="3" t="inlineStr">
        <is>
          <t>Maple Street Bakery</t>
        </is>
      </c>
      <c r="D2" s="4" t="n">
        <v>46298</v>
      </c>
      <c r="E2" s="4" t="n">
        <v>46300</v>
      </c>
      <c r="F2" s="5">
        <f>IF(A2="","",IF(OR(B2="",NOT(ISNUMBER(D2)),NOT(ISNUMBER(E2))),"",IF(E2&lt;D2,"",IF($K$2="Yes",COUNTIFS($B$2:$B$40,B2,$D$2:$D$40,"&lt;="&amp;E2,$E$2:$E$40,"&gt;="&amp;D2)-1,COUNTIFS($B$2:$B$40,B2,$D$2:$D$40,"&lt;"&amp;E2,$E$2:$E$40,"&gt;"&amp;D2)-IF(E2&gt;D2,1,0)))))</f>
        <v/>
      </c>
      <c r="G2" s="5">
        <f>IF(A2="","",IF(F2="","Check",IF(F2&gt;0,"Conflict","OK")))</f>
        <v/>
      </c>
      <c r="H2" s="5">
        <f>IF(F2="","",IF($K$2="Yes",SUMPRODUCT(($B$2:$B$40=B2)*($D$2:$D$40&lt;=E2)*($E$2:$E$40&gt;=D2))-1,SUMPRODUCT(($B$2:$B$40=B2)*($D$2:$D$40&lt;E2)*($E$2:$E$40&gt;D2))-IF(E2&gt;D2,1,0)))</f>
        <v/>
      </c>
      <c r="J2" t="inlineStr">
        <is>
          <t>Same-day handoff counts as a conflict (Yes/No)</t>
        </is>
      </c>
      <c r="K2" s="3" t="inlineStr">
        <is>
          <t>Yes</t>
        </is>
      </c>
    </row>
    <row r="3">
      <c r="A3" s="3" t="inlineStr">
        <is>
          <t>BK-102</t>
        </is>
      </c>
      <c r="B3" s="3" t="inlineStr">
        <is>
          <t>Booth A</t>
        </is>
      </c>
      <c r="C3" s="3" t="inlineStr">
        <is>
          <t>Harbor Yoga Studio</t>
        </is>
      </c>
      <c r="D3" s="4" t="n">
        <v>46300</v>
      </c>
      <c r="E3" s="4" t="n">
        <v>46302</v>
      </c>
      <c r="F3" s="5">
        <f>IF(A3="","",IF(OR(B3="",NOT(ISNUMBER(D3)),NOT(ISNUMBER(E3))),"",IF(E3&lt;D3,"",IF($K$2="Yes",COUNTIFS($B$2:$B$40,B3,$D$2:$D$40,"&lt;="&amp;E3,$E$2:$E$40,"&gt;="&amp;D3)-1,COUNTIFS($B$2:$B$40,B3,$D$2:$D$40,"&lt;"&amp;E3,$E$2:$E$40,"&gt;"&amp;D3)-IF(E3&gt;D3,1,0)))))</f>
        <v/>
      </c>
      <c r="G3" s="5">
        <f>IF(A3="","",IF(F3="","Check",IF(F3&gt;0,"Conflict","OK")))</f>
        <v/>
      </c>
      <c r="H3" s="5">
        <f>IF(F3="","",IF($K$2="Yes",SUMPRODUCT(($B$2:$B$40=B3)*($D$2:$D$40&lt;=E3)*($E$2:$E$40&gt;=D3))-1,SUMPRODUCT(($B$2:$B$40=B3)*($D$2:$D$40&lt;E3)*($E$2:$E$40&gt;D3))-IF(E3&gt;D3,1,0)))</f>
        <v/>
      </c>
      <c r="J3" t="inlineStr">
        <is>
          <t>Bookings with a conflict</t>
        </is>
      </c>
      <c r="K3" s="6">
        <f>COUNTIF(G2:G40,"Conflict")</f>
        <v/>
      </c>
    </row>
    <row r="4">
      <c r="A4" s="3" t="inlineStr">
        <is>
          <t>BK-103</t>
        </is>
      </c>
      <c r="B4" s="3" t="inlineStr">
        <is>
          <t>Booth A</t>
        </is>
      </c>
      <c r="C4" s="3" t="inlineStr">
        <is>
          <t>Birch Design Co</t>
        </is>
      </c>
      <c r="D4" s="4" t="n">
        <v>46307</v>
      </c>
      <c r="E4" s="4" t="n">
        <v>46315</v>
      </c>
      <c r="F4" s="5">
        <f>IF(A4="","",IF(OR(B4="",NOT(ISNUMBER(D4)),NOT(ISNUMBER(E4))),"",IF(E4&lt;D4,"",IF($K$2="Yes",COUNTIFS($B$2:$B$40,B4,$D$2:$D$40,"&lt;="&amp;E4,$E$2:$E$40,"&gt;="&amp;D4)-1,COUNTIFS($B$2:$B$40,B4,$D$2:$D$40,"&lt;"&amp;E4,$E$2:$E$40,"&gt;"&amp;D4)-IF(E4&gt;D4,1,0)))))</f>
        <v/>
      </c>
      <c r="G4" s="5">
        <f>IF(A4="","",IF(F4="","Check",IF(F4&gt;0,"Conflict","OK")))</f>
        <v/>
      </c>
      <c r="H4" s="5">
        <f>IF(F4="","",IF($K$2="Yes",SUMPRODUCT(($B$2:$B$40=B4)*($D$2:$D$40&lt;=E4)*($E$2:$E$40&gt;=D4))-1,SUMPRODUCT(($B$2:$B$40=B4)*($D$2:$D$40&lt;E4)*($E$2:$E$40&gt;D4))-IF(E4&gt;D4,1,0)))</f>
        <v/>
      </c>
      <c r="J4" t="inlineStr">
        <is>
          <t>Total bookings</t>
        </is>
      </c>
      <c r="K4" s="6">
        <f>COUNTA(A2:A40)</f>
        <v/>
      </c>
    </row>
    <row r="5">
      <c r="A5" s="3" t="inlineStr">
        <is>
          <t>BK-104</t>
        </is>
      </c>
      <c r="B5" s="3" t="inlineStr">
        <is>
          <t>Booth A</t>
        </is>
      </c>
      <c r="C5" s="3" t="inlineStr">
        <is>
          <t>Lantern Print Shop</t>
        </is>
      </c>
      <c r="D5" s="4" t="n">
        <v>46309</v>
      </c>
      <c r="E5" s="4" t="n">
        <v>46311</v>
      </c>
      <c r="F5" s="5">
        <f>IF(A5="","",IF(OR(B5="",NOT(ISNUMBER(D5)),NOT(ISNUMBER(E5))),"",IF(E5&lt;D5,"",IF($K$2="Yes",COUNTIFS($B$2:$B$40,B5,$D$2:$D$40,"&lt;="&amp;E5,$E$2:$E$40,"&gt;="&amp;D5)-1,COUNTIFS($B$2:$B$40,B5,$D$2:$D$40,"&lt;"&amp;E5,$E$2:$E$40,"&gt;"&amp;D5)-IF(E5&gt;D5,1,0)))))</f>
        <v/>
      </c>
      <c r="G5" s="5">
        <f>IF(A5="","",IF(F5="","Check",IF(F5&gt;0,"Conflict","OK")))</f>
        <v/>
      </c>
      <c r="H5" s="5">
        <f>IF(F5="","",IF($K$2="Yes",SUMPRODUCT(($B$2:$B$40=B5)*($D$2:$D$40&lt;=E5)*($E$2:$E$40&gt;=D5))-1,SUMPRODUCT(($B$2:$B$40=B5)*($D$2:$D$40&lt;E5)*($E$2:$E$40&gt;D5))-IF(E5&gt;D5,1,0)))</f>
        <v/>
      </c>
      <c r="J5" t="inlineStr">
        <is>
          <t>Rows to fix (Check)</t>
        </is>
      </c>
      <c r="K5" s="6">
        <f>COUNTIF(G2:G40,"Check")</f>
        <v/>
      </c>
    </row>
    <row r="6">
      <c r="A6" s="3" t="inlineStr">
        <is>
          <t>BK-105</t>
        </is>
      </c>
      <c r="B6" s="3" t="inlineStr">
        <is>
          <t>Booth B</t>
        </is>
      </c>
      <c r="C6" s="3" t="inlineStr">
        <is>
          <t>Cedar Row Realty</t>
        </is>
      </c>
      <c r="D6" s="4" t="n">
        <v>46298</v>
      </c>
      <c r="E6" s="4" t="n">
        <v>46300</v>
      </c>
      <c r="F6" s="5">
        <f>IF(A6="","",IF(OR(B6="",NOT(ISNUMBER(D6)),NOT(ISNUMBER(E6))),"",IF(E6&lt;D6,"",IF($K$2="Yes",COUNTIFS($B$2:$B$40,B6,$D$2:$D$40,"&lt;="&amp;E6,$E$2:$E$40,"&gt;="&amp;D6)-1,COUNTIFS($B$2:$B$40,B6,$D$2:$D$40,"&lt;"&amp;E6,$E$2:$E$40,"&gt;"&amp;D6)-IF(E6&gt;D6,1,0)))))</f>
        <v/>
      </c>
      <c r="G6" s="5">
        <f>IF(A6="","",IF(F6="","Check",IF(F6&gt;0,"Conflict","OK")))</f>
        <v/>
      </c>
      <c r="H6" s="5">
        <f>IF(F6="","",IF($K$2="Yes",SUMPRODUCT(($B$2:$B$40=B6)*($D$2:$D$40&lt;=E6)*($E$2:$E$40&gt;=D6))-1,SUMPRODUCT(($B$2:$B$40=B6)*($D$2:$D$40&lt;E6)*($E$2:$E$40&gt;D6))-IF(E6&gt;D6,1,0)))</f>
        <v/>
      </c>
      <c r="J6" t="inlineStr">
        <is>
          <t>Check: both counts agree</t>
        </is>
      </c>
      <c r="K6" s="7">
        <f>IF(SUM(F2:F40)=SUM(H2:H40),"OK","CHECK")</f>
        <v/>
      </c>
    </row>
    <row r="7">
      <c r="A7" s="3" t="inlineStr">
        <is>
          <t>BK-106</t>
        </is>
      </c>
      <c r="B7" s="3" t="inlineStr">
        <is>
          <t>Booth B</t>
        </is>
      </c>
      <c r="C7" s="3" t="inlineStr">
        <is>
          <t>Willow Pet Care</t>
        </is>
      </c>
      <c r="D7" s="4" t="n">
        <v>46305</v>
      </c>
      <c r="E7" s="4" t="n">
        <v>46309</v>
      </c>
      <c r="F7" s="5">
        <f>IF(A7="","",IF(OR(B7="",NOT(ISNUMBER(D7)),NOT(ISNUMBER(E7))),"",IF(E7&lt;D7,"",IF($K$2="Yes",COUNTIFS($B$2:$B$40,B7,$D$2:$D$40,"&lt;="&amp;E7,$E$2:$E$40,"&gt;="&amp;D7)-1,COUNTIFS($B$2:$B$40,B7,$D$2:$D$40,"&lt;"&amp;E7,$E$2:$E$40,"&gt;"&amp;D7)-IF(E7&gt;D7,1,0)))))</f>
        <v/>
      </c>
      <c r="G7" s="5">
        <f>IF(A7="","",IF(F7="","Check",IF(F7&gt;0,"Conflict","OK")))</f>
        <v/>
      </c>
      <c r="H7" s="5">
        <f>IF(F7="","",IF($K$2="Yes",SUMPRODUCT(($B$2:$B$40=B7)*($D$2:$D$40&lt;=E7)*($E$2:$E$40&gt;=D7))-1,SUMPRODUCT(($B$2:$B$40=B7)*($D$2:$D$40&lt;E7)*($E$2:$E$40&gt;D7))-IF(E7&gt;D7,1,0)))</f>
        <v/>
      </c>
    </row>
    <row r="8">
      <c r="A8" s="3" t="inlineStr">
        <is>
          <t>BK-107</t>
        </is>
      </c>
      <c r="B8" s="3" t="inlineStr">
        <is>
          <t>Booth B</t>
        </is>
      </c>
      <c r="C8" s="3" t="inlineStr">
        <is>
          <t>Granite Fitness</t>
        </is>
      </c>
      <c r="D8" s="4" t="n">
        <v>46308</v>
      </c>
      <c r="E8" s="4" t="n">
        <v>46312</v>
      </c>
      <c r="F8" s="5">
        <f>IF(A8="","",IF(OR(B8="",NOT(ISNUMBER(D8)),NOT(ISNUMBER(E8))),"",IF(E8&lt;D8,"",IF($K$2="Yes",COUNTIFS($B$2:$B$40,B8,$D$2:$D$40,"&lt;="&amp;E8,$E$2:$E$40,"&gt;="&amp;D8)-1,COUNTIFS($B$2:$B$40,B8,$D$2:$D$40,"&lt;"&amp;E8,$E$2:$E$40,"&gt;"&amp;D8)-IF(E8&gt;D8,1,0)))))</f>
        <v/>
      </c>
      <c r="G8" s="5">
        <f>IF(A8="","",IF(F8="","Check",IF(F8&gt;0,"Conflict","OK")))</f>
        <v/>
      </c>
      <c r="H8" s="5">
        <f>IF(F8="","",IF($K$2="Yes",SUMPRODUCT(($B$2:$B$40=B8)*($D$2:$D$40&lt;=E8)*($E$2:$E$40&gt;=D8))-1,SUMPRODUCT(($B$2:$B$40=B8)*($D$2:$D$40&lt;E8)*($E$2:$E$40&gt;D8))-IF(E8&gt;D8,1,0)))</f>
        <v/>
      </c>
    </row>
    <row r="9">
      <c r="A9" s="3" t="inlineStr">
        <is>
          <t>BK-108</t>
        </is>
      </c>
      <c r="B9" s="3" t="inlineStr">
        <is>
          <t>Booth B</t>
        </is>
      </c>
      <c r="C9" s="3" t="inlineStr">
        <is>
          <t>Juniper Books</t>
        </is>
      </c>
      <c r="D9" s="4" t="n">
        <v>46311</v>
      </c>
      <c r="E9" s="4" t="n">
        <v>46314</v>
      </c>
      <c r="F9" s="5">
        <f>IF(A9="","",IF(OR(B9="",NOT(ISNUMBER(D9)),NOT(ISNUMBER(E9))),"",IF(E9&lt;D9,"",IF($K$2="Yes",COUNTIFS($B$2:$B$40,B9,$D$2:$D$40,"&lt;="&amp;E9,$E$2:$E$40,"&gt;="&amp;D9)-1,COUNTIFS($B$2:$B$40,B9,$D$2:$D$40,"&lt;"&amp;E9,$E$2:$E$40,"&gt;"&amp;D9)-IF(E9&gt;D9,1,0)))))</f>
        <v/>
      </c>
      <c r="G9" s="5">
        <f>IF(A9="","",IF(F9="","Check",IF(F9&gt;0,"Conflict","OK")))</f>
        <v/>
      </c>
      <c r="H9" s="5">
        <f>IF(F9="","",IF($K$2="Yes",SUMPRODUCT(($B$2:$B$40=B9)*($D$2:$D$40&lt;=E9)*($E$2:$E$40&gt;=D9))-1,SUMPRODUCT(($B$2:$B$40=B9)*($D$2:$D$40&lt;E9)*($E$2:$E$40&gt;D9))-IF(E9&gt;D9,1,0)))</f>
        <v/>
      </c>
    </row>
    <row r="10">
      <c r="A10" s="3" t="inlineStr">
        <is>
          <t>BK-109</t>
        </is>
      </c>
      <c r="B10" s="3" t="inlineStr">
        <is>
          <t>Studio</t>
        </is>
      </c>
      <c r="C10" s="3" t="inlineStr">
        <is>
          <t>Copper Kettle Cafe</t>
        </is>
      </c>
      <c r="D10" s="4" t="n">
        <v>46303</v>
      </c>
      <c r="E10" s="4" t="n">
        <v>46304</v>
      </c>
      <c r="F10" s="5">
        <f>IF(A10="","",IF(OR(B10="",NOT(ISNUMBER(D10)),NOT(ISNUMBER(E10))),"",IF(E10&lt;D10,"",IF($K$2="Yes",COUNTIFS($B$2:$B$40,B10,$D$2:$D$40,"&lt;="&amp;E10,$E$2:$E$40,"&gt;="&amp;D10)-1,COUNTIFS($B$2:$B$40,B10,$D$2:$D$40,"&lt;"&amp;E10,$E$2:$E$40,"&gt;"&amp;D10)-IF(E10&gt;D10,1,0)))))</f>
        <v/>
      </c>
      <c r="G10" s="5">
        <f>IF(A10="","",IF(F10="","Check",IF(F10&gt;0,"Conflict","OK")))</f>
        <v/>
      </c>
      <c r="H10" s="5">
        <f>IF(F10="","",IF($K$2="Yes",SUMPRODUCT(($B$2:$B$40=B10)*($D$2:$D$40&lt;=E10)*($E$2:$E$40&gt;=D10))-1,SUMPRODUCT(($B$2:$B$40=B10)*($D$2:$D$40&lt;E10)*($E$2:$E$40&gt;D10))-IF(E10&gt;D10,1,0)))</f>
        <v/>
      </c>
    </row>
    <row r="11">
      <c r="A11" s="3" t="inlineStr">
        <is>
          <t>BK-110</t>
        </is>
      </c>
      <c r="B11" s="3" t="inlineStr">
        <is>
          <t>Studio</t>
        </is>
      </c>
      <c r="C11" s="3" t="inlineStr">
        <is>
          <t>Pine Hill Dental</t>
        </is>
      </c>
      <c r="D11" s="4" t="n">
        <v>46303</v>
      </c>
      <c r="E11" s="4" t="n">
        <v>46304</v>
      </c>
      <c r="F11" s="5">
        <f>IF(A11="","",IF(OR(B11="",NOT(ISNUMBER(D11)),NOT(ISNUMBER(E11))),"",IF(E11&lt;D11,"",IF($K$2="Yes",COUNTIFS($B$2:$B$40,B11,$D$2:$D$40,"&lt;="&amp;E11,$E$2:$E$40,"&gt;="&amp;D11)-1,COUNTIFS($B$2:$B$40,B11,$D$2:$D$40,"&lt;"&amp;E11,$E$2:$E$40,"&gt;"&amp;D11)-IF(E11&gt;D11,1,0)))))</f>
        <v/>
      </c>
      <c r="G11" s="5">
        <f>IF(A11="","",IF(F11="","Check",IF(F11&gt;0,"Conflict","OK")))</f>
        <v/>
      </c>
      <c r="H11" s="5">
        <f>IF(F11="","",IF($K$2="Yes",SUMPRODUCT(($B$2:$B$40=B11)*($D$2:$D$40&lt;=E11)*($E$2:$E$40&gt;=D11))-1,SUMPRODUCT(($B$2:$B$40=B11)*($D$2:$D$40&lt;E11)*($E$2:$E$40&gt;D11))-IF(E11&gt;D11,1,0)))</f>
        <v/>
      </c>
    </row>
    <row r="12">
      <c r="A12" s="3" t="inlineStr">
        <is>
          <t>BK-111</t>
        </is>
      </c>
      <c r="B12" s="3" t="inlineStr">
        <is>
          <t>Studio</t>
        </is>
      </c>
      <c r="C12" s="3" t="inlineStr">
        <is>
          <t>Maple Street Bakery</t>
        </is>
      </c>
      <c r="D12" s="4" t="n">
        <v>46316</v>
      </c>
      <c r="E12" s="4" t="n">
        <v>46318</v>
      </c>
      <c r="F12" s="5">
        <f>IF(A12="","",IF(OR(B12="",NOT(ISNUMBER(D12)),NOT(ISNUMBER(E12))),"",IF(E12&lt;D12,"",IF($K$2="Yes",COUNTIFS($B$2:$B$40,B12,$D$2:$D$40,"&lt;="&amp;E12,$E$2:$E$40,"&gt;="&amp;D12)-1,COUNTIFS($B$2:$B$40,B12,$D$2:$D$40,"&lt;"&amp;E12,$E$2:$E$40,"&gt;"&amp;D12)-IF(E12&gt;D12,1,0)))))</f>
        <v/>
      </c>
      <c r="G12" s="5">
        <f>IF(A12="","",IF(F12="","Check",IF(F12&gt;0,"Conflict","OK")))</f>
        <v/>
      </c>
      <c r="H12" s="5">
        <f>IF(F12="","",IF($K$2="Yes",SUMPRODUCT(($B$2:$B$40=B12)*($D$2:$D$40&lt;=E12)*($E$2:$E$40&gt;=D12))-1,SUMPRODUCT(($B$2:$B$40=B12)*($D$2:$D$40&lt;E12)*($E$2:$E$40&gt;D12))-IF(E12&gt;D12,1,0)))</f>
        <v/>
      </c>
    </row>
    <row r="13">
      <c r="A13" s="3" t="inlineStr">
        <is>
          <t>BK-112</t>
        </is>
      </c>
      <c r="B13" s="3" t="inlineStr">
        <is>
          <t>Studio</t>
        </is>
      </c>
      <c r="C13" s="3" t="inlineStr">
        <is>
          <t>Harbor Yoga Studio</t>
        </is>
      </c>
      <c r="D13" s="4" t="n">
        <v>46319</v>
      </c>
      <c r="E13" s="4" t="n">
        <v>46319</v>
      </c>
      <c r="F13" s="5">
        <f>IF(A13="","",IF(OR(B13="",NOT(ISNUMBER(D13)),NOT(ISNUMBER(E13))),"",IF(E13&lt;D13,"",IF($K$2="Yes",COUNTIFS($B$2:$B$40,B13,$D$2:$D$40,"&lt;="&amp;E13,$E$2:$E$40,"&gt;="&amp;D13)-1,COUNTIFS($B$2:$B$40,B13,$D$2:$D$40,"&lt;"&amp;E13,$E$2:$E$40,"&gt;"&amp;D13)-IF(E13&gt;D13,1,0)))))</f>
        <v/>
      </c>
      <c r="G13" s="5">
        <f>IF(A13="","",IF(F13="","Check",IF(F13&gt;0,"Conflict","OK")))</f>
        <v/>
      </c>
      <c r="H13" s="5">
        <f>IF(F13="","",IF($K$2="Yes",SUMPRODUCT(($B$2:$B$40=B13)*($D$2:$D$40&lt;=E13)*($E$2:$E$40&gt;=D13))-1,SUMPRODUCT(($B$2:$B$40=B13)*($D$2:$D$40&lt;E13)*($E$2:$E$40&gt;D13))-IF(E13&gt;D13,1,0)))</f>
        <v/>
      </c>
    </row>
    <row r="14">
      <c r="A14" s="3" t="n"/>
      <c r="B14" s="3" t="n"/>
      <c r="C14" s="3" t="n"/>
      <c r="D14" s="4" t="n"/>
      <c r="E14" s="4" t="n"/>
      <c r="F14" s="5">
        <f>IF(A14="","",IF(OR(B14="",NOT(ISNUMBER(D14)),NOT(ISNUMBER(E14))),"",IF(E14&lt;D14,"",IF($K$2="Yes",COUNTIFS($B$2:$B$40,B14,$D$2:$D$40,"&lt;="&amp;E14,$E$2:$E$40,"&gt;="&amp;D14)-1,COUNTIFS($B$2:$B$40,B14,$D$2:$D$40,"&lt;"&amp;E14,$E$2:$E$40,"&gt;"&amp;D14)-IF(E14&gt;D14,1,0)))))</f>
        <v/>
      </c>
      <c r="G14" s="5">
        <f>IF(A14="","",IF(F14="","Check",IF(F14&gt;0,"Conflict","OK")))</f>
        <v/>
      </c>
      <c r="H14" s="5">
        <f>IF(F14="","",IF($K$2="Yes",SUMPRODUCT(($B$2:$B$40=B14)*($D$2:$D$40&lt;=E14)*($E$2:$E$40&gt;=D14))-1,SUMPRODUCT(($B$2:$B$40=B14)*($D$2:$D$40&lt;E14)*($E$2:$E$40&gt;D14))-IF(E14&gt;D14,1,0)))</f>
        <v/>
      </c>
    </row>
    <row r="15">
      <c r="A15" s="3" t="n"/>
      <c r="B15" s="3" t="n"/>
      <c r="C15" s="3" t="n"/>
      <c r="D15" s="4" t="n"/>
      <c r="E15" s="4" t="n"/>
      <c r="F15" s="5">
        <f>IF(A15="","",IF(OR(B15="",NOT(ISNUMBER(D15)),NOT(ISNUMBER(E15))),"",IF(E15&lt;D15,"",IF($K$2="Yes",COUNTIFS($B$2:$B$40,B15,$D$2:$D$40,"&lt;="&amp;E15,$E$2:$E$40,"&gt;="&amp;D15)-1,COUNTIFS($B$2:$B$40,B15,$D$2:$D$40,"&lt;"&amp;E15,$E$2:$E$40,"&gt;"&amp;D15)-IF(E15&gt;D15,1,0)))))</f>
        <v/>
      </c>
      <c r="G15" s="5">
        <f>IF(A15="","",IF(F15="","Check",IF(F15&gt;0,"Conflict","OK")))</f>
        <v/>
      </c>
      <c r="H15" s="5">
        <f>IF(F15="","",IF($K$2="Yes",SUMPRODUCT(($B$2:$B$40=B15)*($D$2:$D$40&lt;=E15)*($E$2:$E$40&gt;=D15))-1,SUMPRODUCT(($B$2:$B$40=B15)*($D$2:$D$40&lt;E15)*($E$2:$E$40&gt;D15))-IF(E15&gt;D15,1,0)))</f>
        <v/>
      </c>
    </row>
    <row r="16">
      <c r="A16" s="3" t="n"/>
      <c r="B16" s="3" t="n"/>
      <c r="C16" s="3" t="n"/>
      <c r="D16" s="4" t="n"/>
      <c r="E16" s="4" t="n"/>
      <c r="F16" s="5">
        <f>IF(A16="","",IF(OR(B16="",NOT(ISNUMBER(D16)),NOT(ISNUMBER(E16))),"",IF(E16&lt;D16,"",IF($K$2="Yes",COUNTIFS($B$2:$B$40,B16,$D$2:$D$40,"&lt;="&amp;E16,$E$2:$E$40,"&gt;="&amp;D16)-1,COUNTIFS($B$2:$B$40,B16,$D$2:$D$40,"&lt;"&amp;E16,$E$2:$E$40,"&gt;"&amp;D16)-IF(E16&gt;D16,1,0)))))</f>
        <v/>
      </c>
      <c r="G16" s="5">
        <f>IF(A16="","",IF(F16="","Check",IF(F16&gt;0,"Conflict","OK")))</f>
        <v/>
      </c>
      <c r="H16" s="5">
        <f>IF(F16="","",IF($K$2="Yes",SUMPRODUCT(($B$2:$B$40=B16)*($D$2:$D$40&lt;=E16)*($E$2:$E$40&gt;=D16))-1,SUMPRODUCT(($B$2:$B$40=B16)*($D$2:$D$40&lt;E16)*($E$2:$E$40&gt;D16))-IF(E16&gt;D16,1,0)))</f>
        <v/>
      </c>
    </row>
    <row r="17">
      <c r="A17" s="3" t="n"/>
      <c r="B17" s="3" t="n"/>
      <c r="C17" s="3" t="n"/>
      <c r="D17" s="4" t="n"/>
      <c r="E17" s="4" t="n"/>
      <c r="F17" s="5">
        <f>IF(A17="","",IF(OR(B17="",NOT(ISNUMBER(D17)),NOT(ISNUMBER(E17))),"",IF(E17&lt;D17,"",IF($K$2="Yes",COUNTIFS($B$2:$B$40,B17,$D$2:$D$40,"&lt;="&amp;E17,$E$2:$E$40,"&gt;="&amp;D17)-1,COUNTIFS($B$2:$B$40,B17,$D$2:$D$40,"&lt;"&amp;E17,$E$2:$E$40,"&gt;"&amp;D17)-IF(E17&gt;D17,1,0)))))</f>
        <v/>
      </c>
      <c r="G17" s="5">
        <f>IF(A17="","",IF(F17="","Check",IF(F17&gt;0,"Conflict","OK")))</f>
        <v/>
      </c>
      <c r="H17" s="5">
        <f>IF(F17="","",IF($K$2="Yes",SUMPRODUCT(($B$2:$B$40=B17)*($D$2:$D$40&lt;=E17)*($E$2:$E$40&gt;=D17))-1,SUMPRODUCT(($B$2:$B$40=B17)*($D$2:$D$40&lt;E17)*($E$2:$E$40&gt;D17))-IF(E17&gt;D17,1,0)))</f>
        <v/>
      </c>
    </row>
    <row r="18">
      <c r="A18" s="3" t="n"/>
      <c r="B18" s="3" t="n"/>
      <c r="C18" s="3" t="n"/>
      <c r="D18" s="4" t="n"/>
      <c r="E18" s="4" t="n"/>
      <c r="F18" s="5">
        <f>IF(A18="","",IF(OR(B18="",NOT(ISNUMBER(D18)),NOT(ISNUMBER(E18))),"",IF(E18&lt;D18,"",IF($K$2="Yes",COUNTIFS($B$2:$B$40,B18,$D$2:$D$40,"&lt;="&amp;E18,$E$2:$E$40,"&gt;="&amp;D18)-1,COUNTIFS($B$2:$B$40,B18,$D$2:$D$40,"&lt;"&amp;E18,$E$2:$E$40,"&gt;"&amp;D18)-IF(E18&gt;D18,1,0)))))</f>
        <v/>
      </c>
      <c r="G18" s="5">
        <f>IF(A18="","",IF(F18="","Check",IF(F18&gt;0,"Conflict","OK")))</f>
        <v/>
      </c>
      <c r="H18" s="5">
        <f>IF(F18="","",IF($K$2="Yes",SUMPRODUCT(($B$2:$B$40=B18)*($D$2:$D$40&lt;=E18)*($E$2:$E$40&gt;=D18))-1,SUMPRODUCT(($B$2:$B$40=B18)*($D$2:$D$40&lt;E18)*($E$2:$E$40&gt;D18))-IF(E18&gt;D18,1,0)))</f>
        <v/>
      </c>
    </row>
    <row r="19">
      <c r="A19" s="3" t="n"/>
      <c r="B19" s="3" t="n"/>
      <c r="C19" s="3" t="n"/>
      <c r="D19" s="4" t="n"/>
      <c r="E19" s="4" t="n"/>
      <c r="F19" s="5">
        <f>IF(A19="","",IF(OR(B19="",NOT(ISNUMBER(D19)),NOT(ISNUMBER(E19))),"",IF(E19&lt;D19,"",IF($K$2="Yes",COUNTIFS($B$2:$B$40,B19,$D$2:$D$40,"&lt;="&amp;E19,$E$2:$E$40,"&gt;="&amp;D19)-1,COUNTIFS($B$2:$B$40,B19,$D$2:$D$40,"&lt;"&amp;E19,$E$2:$E$40,"&gt;"&amp;D19)-IF(E19&gt;D19,1,0)))))</f>
        <v/>
      </c>
      <c r="G19" s="5">
        <f>IF(A19="","",IF(F19="","Check",IF(F19&gt;0,"Conflict","OK")))</f>
        <v/>
      </c>
      <c r="H19" s="5">
        <f>IF(F19="","",IF($K$2="Yes",SUMPRODUCT(($B$2:$B$40=B19)*($D$2:$D$40&lt;=E19)*($E$2:$E$40&gt;=D19))-1,SUMPRODUCT(($B$2:$B$40=B19)*($D$2:$D$40&lt;E19)*($E$2:$E$40&gt;D19))-IF(E19&gt;D19,1,0)))</f>
        <v/>
      </c>
    </row>
    <row r="20">
      <c r="A20" s="3" t="n"/>
      <c r="B20" s="3" t="n"/>
      <c r="C20" s="3" t="n"/>
      <c r="D20" s="4" t="n"/>
      <c r="E20" s="4" t="n"/>
      <c r="F20" s="5">
        <f>IF(A20="","",IF(OR(B20="",NOT(ISNUMBER(D20)),NOT(ISNUMBER(E20))),"",IF(E20&lt;D20,"",IF($K$2="Yes",COUNTIFS($B$2:$B$40,B20,$D$2:$D$40,"&lt;="&amp;E20,$E$2:$E$40,"&gt;="&amp;D20)-1,COUNTIFS($B$2:$B$40,B20,$D$2:$D$40,"&lt;"&amp;E20,$E$2:$E$40,"&gt;"&amp;D20)-IF(E20&gt;D20,1,0)))))</f>
        <v/>
      </c>
      <c r="G20" s="5">
        <f>IF(A20="","",IF(F20="","Check",IF(F20&gt;0,"Conflict","OK")))</f>
        <v/>
      </c>
      <c r="H20" s="5">
        <f>IF(F20="","",IF($K$2="Yes",SUMPRODUCT(($B$2:$B$40=B20)*($D$2:$D$40&lt;=E20)*($E$2:$E$40&gt;=D20))-1,SUMPRODUCT(($B$2:$B$40=B20)*($D$2:$D$40&lt;E20)*($E$2:$E$40&gt;D20))-IF(E20&gt;D20,1,0)))</f>
        <v/>
      </c>
    </row>
    <row r="21">
      <c r="A21" s="3" t="n"/>
      <c r="B21" s="3" t="n"/>
      <c r="C21" s="3" t="n"/>
      <c r="D21" s="4" t="n"/>
      <c r="E21" s="4" t="n"/>
      <c r="F21" s="5">
        <f>IF(A21="","",IF(OR(B21="",NOT(ISNUMBER(D21)),NOT(ISNUMBER(E21))),"",IF(E21&lt;D21,"",IF($K$2="Yes",COUNTIFS($B$2:$B$40,B21,$D$2:$D$40,"&lt;="&amp;E21,$E$2:$E$40,"&gt;="&amp;D21)-1,COUNTIFS($B$2:$B$40,B21,$D$2:$D$40,"&lt;"&amp;E21,$E$2:$E$40,"&gt;"&amp;D21)-IF(E21&gt;D21,1,0)))))</f>
        <v/>
      </c>
      <c r="G21" s="5">
        <f>IF(A21="","",IF(F21="","Check",IF(F21&gt;0,"Conflict","OK")))</f>
        <v/>
      </c>
      <c r="H21" s="5">
        <f>IF(F21="","",IF($K$2="Yes",SUMPRODUCT(($B$2:$B$40=B21)*($D$2:$D$40&lt;=E21)*($E$2:$E$40&gt;=D21))-1,SUMPRODUCT(($B$2:$B$40=B21)*($D$2:$D$40&lt;E21)*($E$2:$E$40&gt;D21))-IF(E21&gt;D21,1,0)))</f>
        <v/>
      </c>
    </row>
    <row r="22">
      <c r="A22" s="3" t="n"/>
      <c r="B22" s="3" t="n"/>
      <c r="C22" s="3" t="n"/>
      <c r="D22" s="4" t="n"/>
      <c r="E22" s="4" t="n"/>
      <c r="F22" s="5">
        <f>IF(A22="","",IF(OR(B22="",NOT(ISNUMBER(D22)),NOT(ISNUMBER(E22))),"",IF(E22&lt;D22,"",IF($K$2="Yes",COUNTIFS($B$2:$B$40,B22,$D$2:$D$40,"&lt;="&amp;E22,$E$2:$E$40,"&gt;="&amp;D22)-1,COUNTIFS($B$2:$B$40,B22,$D$2:$D$40,"&lt;"&amp;E22,$E$2:$E$40,"&gt;"&amp;D22)-IF(E22&gt;D22,1,0)))))</f>
        <v/>
      </c>
      <c r="G22" s="5">
        <f>IF(A22="","",IF(F22="","Check",IF(F22&gt;0,"Conflict","OK")))</f>
        <v/>
      </c>
      <c r="H22" s="5">
        <f>IF(F22="","",IF($K$2="Yes",SUMPRODUCT(($B$2:$B$40=B22)*($D$2:$D$40&lt;=E22)*($E$2:$E$40&gt;=D22))-1,SUMPRODUCT(($B$2:$B$40=B22)*($D$2:$D$40&lt;E22)*($E$2:$E$40&gt;D22))-IF(E22&gt;D22,1,0)))</f>
        <v/>
      </c>
    </row>
    <row r="23">
      <c r="A23" s="3" t="n"/>
      <c r="B23" s="3" t="n"/>
      <c r="C23" s="3" t="n"/>
      <c r="D23" s="4" t="n"/>
      <c r="E23" s="4" t="n"/>
      <c r="F23" s="5">
        <f>IF(A23="","",IF(OR(B23="",NOT(ISNUMBER(D23)),NOT(ISNUMBER(E23))),"",IF(E23&lt;D23,"",IF($K$2="Yes",COUNTIFS($B$2:$B$40,B23,$D$2:$D$40,"&lt;="&amp;E23,$E$2:$E$40,"&gt;="&amp;D23)-1,COUNTIFS($B$2:$B$40,B23,$D$2:$D$40,"&lt;"&amp;E23,$E$2:$E$40,"&gt;"&amp;D23)-IF(E23&gt;D23,1,0)))))</f>
        <v/>
      </c>
      <c r="G23" s="5">
        <f>IF(A23="","",IF(F23="","Check",IF(F23&gt;0,"Conflict","OK")))</f>
        <v/>
      </c>
      <c r="H23" s="5">
        <f>IF(F23="","",IF($K$2="Yes",SUMPRODUCT(($B$2:$B$40=B23)*($D$2:$D$40&lt;=E23)*($E$2:$E$40&gt;=D23))-1,SUMPRODUCT(($B$2:$B$40=B23)*($D$2:$D$40&lt;E23)*($E$2:$E$40&gt;D23))-IF(E23&gt;D23,1,0)))</f>
        <v/>
      </c>
    </row>
    <row r="24">
      <c r="A24" s="3" t="n"/>
      <c r="B24" s="3" t="n"/>
      <c r="C24" s="3" t="n"/>
      <c r="D24" s="4" t="n"/>
      <c r="E24" s="4" t="n"/>
      <c r="F24" s="5">
        <f>IF(A24="","",IF(OR(B24="",NOT(ISNUMBER(D24)),NOT(ISNUMBER(E24))),"",IF(E24&lt;D24,"",IF($K$2="Yes",COUNTIFS($B$2:$B$40,B24,$D$2:$D$40,"&lt;="&amp;E24,$E$2:$E$40,"&gt;="&amp;D24)-1,COUNTIFS($B$2:$B$40,B24,$D$2:$D$40,"&lt;"&amp;E24,$E$2:$E$40,"&gt;"&amp;D24)-IF(E24&gt;D24,1,0)))))</f>
        <v/>
      </c>
      <c r="G24" s="5">
        <f>IF(A24="","",IF(F24="","Check",IF(F24&gt;0,"Conflict","OK")))</f>
        <v/>
      </c>
      <c r="H24" s="5">
        <f>IF(F24="","",IF($K$2="Yes",SUMPRODUCT(($B$2:$B$40=B24)*($D$2:$D$40&lt;=E24)*($E$2:$E$40&gt;=D24))-1,SUMPRODUCT(($B$2:$B$40=B24)*($D$2:$D$40&lt;E24)*($E$2:$E$40&gt;D24))-IF(E24&gt;D24,1,0)))</f>
        <v/>
      </c>
    </row>
    <row r="25">
      <c r="A25" s="3" t="n"/>
      <c r="B25" s="3" t="n"/>
      <c r="C25" s="3" t="n"/>
      <c r="D25" s="4" t="n"/>
      <c r="E25" s="4" t="n"/>
      <c r="F25" s="5">
        <f>IF(A25="","",IF(OR(B25="",NOT(ISNUMBER(D25)),NOT(ISNUMBER(E25))),"",IF(E25&lt;D25,"",IF($K$2="Yes",COUNTIFS($B$2:$B$40,B25,$D$2:$D$40,"&lt;="&amp;E25,$E$2:$E$40,"&gt;="&amp;D25)-1,COUNTIFS($B$2:$B$40,B25,$D$2:$D$40,"&lt;"&amp;E25,$E$2:$E$40,"&gt;"&amp;D25)-IF(E25&gt;D25,1,0)))))</f>
        <v/>
      </c>
      <c r="G25" s="5">
        <f>IF(A25="","",IF(F25="","Check",IF(F25&gt;0,"Conflict","OK")))</f>
        <v/>
      </c>
      <c r="H25" s="5">
        <f>IF(F25="","",IF($K$2="Yes",SUMPRODUCT(($B$2:$B$40=B25)*($D$2:$D$40&lt;=E25)*($E$2:$E$40&gt;=D25))-1,SUMPRODUCT(($B$2:$B$40=B25)*($D$2:$D$40&lt;E25)*($E$2:$E$40&gt;D25))-IF(E25&gt;D25,1,0)))</f>
        <v/>
      </c>
    </row>
    <row r="26">
      <c r="A26" s="3" t="n"/>
      <c r="B26" s="3" t="n"/>
      <c r="C26" s="3" t="n"/>
      <c r="D26" s="4" t="n"/>
      <c r="E26" s="4" t="n"/>
      <c r="F26" s="5">
        <f>IF(A26="","",IF(OR(B26="",NOT(ISNUMBER(D26)),NOT(ISNUMBER(E26))),"",IF(E26&lt;D26,"",IF($K$2="Yes",COUNTIFS($B$2:$B$40,B26,$D$2:$D$40,"&lt;="&amp;E26,$E$2:$E$40,"&gt;="&amp;D26)-1,COUNTIFS($B$2:$B$40,B26,$D$2:$D$40,"&lt;"&amp;E26,$E$2:$E$40,"&gt;"&amp;D26)-IF(E26&gt;D26,1,0)))))</f>
        <v/>
      </c>
      <c r="G26" s="5">
        <f>IF(A26="","",IF(F26="","Check",IF(F26&gt;0,"Conflict","OK")))</f>
        <v/>
      </c>
      <c r="H26" s="5">
        <f>IF(F26="","",IF($K$2="Yes",SUMPRODUCT(($B$2:$B$40=B26)*($D$2:$D$40&lt;=E26)*($E$2:$E$40&gt;=D26))-1,SUMPRODUCT(($B$2:$B$40=B26)*($D$2:$D$40&lt;E26)*($E$2:$E$40&gt;D26))-IF(E26&gt;D26,1,0)))</f>
        <v/>
      </c>
    </row>
    <row r="27">
      <c r="A27" s="3" t="n"/>
      <c r="B27" s="3" t="n"/>
      <c r="C27" s="3" t="n"/>
      <c r="D27" s="4" t="n"/>
      <c r="E27" s="4" t="n"/>
      <c r="F27" s="5">
        <f>IF(A27="","",IF(OR(B27="",NOT(ISNUMBER(D27)),NOT(ISNUMBER(E27))),"",IF(E27&lt;D27,"",IF($K$2="Yes",COUNTIFS($B$2:$B$40,B27,$D$2:$D$40,"&lt;="&amp;E27,$E$2:$E$40,"&gt;="&amp;D27)-1,COUNTIFS($B$2:$B$40,B27,$D$2:$D$40,"&lt;"&amp;E27,$E$2:$E$40,"&gt;"&amp;D27)-IF(E27&gt;D27,1,0)))))</f>
        <v/>
      </c>
      <c r="G27" s="5">
        <f>IF(A27="","",IF(F27="","Check",IF(F27&gt;0,"Conflict","OK")))</f>
        <v/>
      </c>
      <c r="H27" s="5">
        <f>IF(F27="","",IF($K$2="Yes",SUMPRODUCT(($B$2:$B$40=B27)*($D$2:$D$40&lt;=E27)*($E$2:$E$40&gt;=D27))-1,SUMPRODUCT(($B$2:$B$40=B27)*($D$2:$D$40&lt;E27)*($E$2:$E$40&gt;D27))-IF(E27&gt;D27,1,0)))</f>
        <v/>
      </c>
    </row>
    <row r="28">
      <c r="A28" s="3" t="n"/>
      <c r="B28" s="3" t="n"/>
      <c r="C28" s="3" t="n"/>
      <c r="D28" s="4" t="n"/>
      <c r="E28" s="4" t="n"/>
      <c r="F28" s="5">
        <f>IF(A28="","",IF(OR(B28="",NOT(ISNUMBER(D28)),NOT(ISNUMBER(E28))),"",IF(E28&lt;D28,"",IF($K$2="Yes",COUNTIFS($B$2:$B$40,B28,$D$2:$D$40,"&lt;="&amp;E28,$E$2:$E$40,"&gt;="&amp;D28)-1,COUNTIFS($B$2:$B$40,B28,$D$2:$D$40,"&lt;"&amp;E28,$E$2:$E$40,"&gt;"&amp;D28)-IF(E28&gt;D28,1,0)))))</f>
        <v/>
      </c>
      <c r="G28" s="5">
        <f>IF(A28="","",IF(F28="","Check",IF(F28&gt;0,"Conflict","OK")))</f>
        <v/>
      </c>
      <c r="H28" s="5">
        <f>IF(F28="","",IF($K$2="Yes",SUMPRODUCT(($B$2:$B$40=B28)*($D$2:$D$40&lt;=E28)*($E$2:$E$40&gt;=D28))-1,SUMPRODUCT(($B$2:$B$40=B28)*($D$2:$D$40&lt;E28)*($E$2:$E$40&gt;D28))-IF(E28&gt;D28,1,0)))</f>
        <v/>
      </c>
    </row>
    <row r="29">
      <c r="A29" s="3" t="n"/>
      <c r="B29" s="3" t="n"/>
      <c r="C29" s="3" t="n"/>
      <c r="D29" s="4" t="n"/>
      <c r="E29" s="4" t="n"/>
      <c r="F29" s="5">
        <f>IF(A29="","",IF(OR(B29="",NOT(ISNUMBER(D29)),NOT(ISNUMBER(E29))),"",IF(E29&lt;D29,"",IF($K$2="Yes",COUNTIFS($B$2:$B$40,B29,$D$2:$D$40,"&lt;="&amp;E29,$E$2:$E$40,"&gt;="&amp;D29)-1,COUNTIFS($B$2:$B$40,B29,$D$2:$D$40,"&lt;"&amp;E29,$E$2:$E$40,"&gt;"&amp;D29)-IF(E29&gt;D29,1,0)))))</f>
        <v/>
      </c>
      <c r="G29" s="5">
        <f>IF(A29="","",IF(F29="","Check",IF(F29&gt;0,"Conflict","OK")))</f>
        <v/>
      </c>
      <c r="H29" s="5">
        <f>IF(F29="","",IF($K$2="Yes",SUMPRODUCT(($B$2:$B$40=B29)*($D$2:$D$40&lt;=E29)*($E$2:$E$40&gt;=D29))-1,SUMPRODUCT(($B$2:$B$40=B29)*($D$2:$D$40&lt;E29)*($E$2:$E$40&gt;D29))-IF(E29&gt;D29,1,0)))</f>
        <v/>
      </c>
    </row>
    <row r="30">
      <c r="A30" s="3" t="n"/>
      <c r="B30" s="3" t="n"/>
      <c r="C30" s="3" t="n"/>
      <c r="D30" s="4" t="n"/>
      <c r="E30" s="4" t="n"/>
      <c r="F30" s="5">
        <f>IF(A30="","",IF(OR(B30="",NOT(ISNUMBER(D30)),NOT(ISNUMBER(E30))),"",IF(E30&lt;D30,"",IF($K$2="Yes",COUNTIFS($B$2:$B$40,B30,$D$2:$D$40,"&lt;="&amp;E30,$E$2:$E$40,"&gt;="&amp;D30)-1,COUNTIFS($B$2:$B$40,B30,$D$2:$D$40,"&lt;"&amp;E30,$E$2:$E$40,"&gt;"&amp;D30)-IF(E30&gt;D30,1,0)))))</f>
        <v/>
      </c>
      <c r="G30" s="5">
        <f>IF(A30="","",IF(F30="","Check",IF(F30&gt;0,"Conflict","OK")))</f>
        <v/>
      </c>
      <c r="H30" s="5">
        <f>IF(F30="","",IF($K$2="Yes",SUMPRODUCT(($B$2:$B$40=B30)*($D$2:$D$40&lt;=E30)*($E$2:$E$40&gt;=D30))-1,SUMPRODUCT(($B$2:$B$40=B30)*($D$2:$D$40&lt;E30)*($E$2:$E$40&gt;D30))-IF(E30&gt;D30,1,0)))</f>
        <v/>
      </c>
    </row>
    <row r="31">
      <c r="A31" s="3" t="n"/>
      <c r="B31" s="3" t="n"/>
      <c r="C31" s="3" t="n"/>
      <c r="D31" s="4" t="n"/>
      <c r="E31" s="4" t="n"/>
      <c r="F31" s="5">
        <f>IF(A31="","",IF(OR(B31="",NOT(ISNUMBER(D31)),NOT(ISNUMBER(E31))),"",IF(E31&lt;D31,"",IF($K$2="Yes",COUNTIFS($B$2:$B$40,B31,$D$2:$D$40,"&lt;="&amp;E31,$E$2:$E$40,"&gt;="&amp;D31)-1,COUNTIFS($B$2:$B$40,B31,$D$2:$D$40,"&lt;"&amp;E31,$E$2:$E$40,"&gt;"&amp;D31)-IF(E31&gt;D31,1,0)))))</f>
        <v/>
      </c>
      <c r="G31" s="5">
        <f>IF(A31="","",IF(F31="","Check",IF(F31&gt;0,"Conflict","OK")))</f>
        <v/>
      </c>
      <c r="H31" s="5">
        <f>IF(F31="","",IF($K$2="Yes",SUMPRODUCT(($B$2:$B$40=B31)*($D$2:$D$40&lt;=E31)*($E$2:$E$40&gt;=D31))-1,SUMPRODUCT(($B$2:$B$40=B31)*($D$2:$D$40&lt;E31)*($E$2:$E$40&gt;D31))-IF(E31&gt;D31,1,0)))</f>
        <v/>
      </c>
    </row>
    <row r="32">
      <c r="A32" s="3" t="n"/>
      <c r="B32" s="3" t="n"/>
      <c r="C32" s="3" t="n"/>
      <c r="D32" s="4" t="n"/>
      <c r="E32" s="4" t="n"/>
      <c r="F32" s="5">
        <f>IF(A32="","",IF(OR(B32="",NOT(ISNUMBER(D32)),NOT(ISNUMBER(E32))),"",IF(E32&lt;D32,"",IF($K$2="Yes",COUNTIFS($B$2:$B$40,B32,$D$2:$D$40,"&lt;="&amp;E32,$E$2:$E$40,"&gt;="&amp;D32)-1,COUNTIFS($B$2:$B$40,B32,$D$2:$D$40,"&lt;"&amp;E32,$E$2:$E$40,"&gt;"&amp;D32)-IF(E32&gt;D32,1,0)))))</f>
        <v/>
      </c>
      <c r="G32" s="5">
        <f>IF(A32="","",IF(F32="","Check",IF(F32&gt;0,"Conflict","OK")))</f>
        <v/>
      </c>
      <c r="H32" s="5">
        <f>IF(F32="","",IF($K$2="Yes",SUMPRODUCT(($B$2:$B$40=B32)*($D$2:$D$40&lt;=E32)*($E$2:$E$40&gt;=D32))-1,SUMPRODUCT(($B$2:$B$40=B32)*($D$2:$D$40&lt;E32)*($E$2:$E$40&gt;D32))-IF(E32&gt;D32,1,0)))</f>
        <v/>
      </c>
    </row>
    <row r="33">
      <c r="A33" s="3" t="n"/>
      <c r="B33" s="3" t="n"/>
      <c r="C33" s="3" t="n"/>
      <c r="D33" s="4" t="n"/>
      <c r="E33" s="4" t="n"/>
      <c r="F33" s="5">
        <f>IF(A33="","",IF(OR(B33="",NOT(ISNUMBER(D33)),NOT(ISNUMBER(E33))),"",IF(E33&lt;D33,"",IF($K$2="Yes",COUNTIFS($B$2:$B$40,B33,$D$2:$D$40,"&lt;="&amp;E33,$E$2:$E$40,"&gt;="&amp;D33)-1,COUNTIFS($B$2:$B$40,B33,$D$2:$D$40,"&lt;"&amp;E33,$E$2:$E$40,"&gt;"&amp;D33)-IF(E33&gt;D33,1,0)))))</f>
        <v/>
      </c>
      <c r="G33" s="5">
        <f>IF(A33="","",IF(F33="","Check",IF(F33&gt;0,"Conflict","OK")))</f>
        <v/>
      </c>
      <c r="H33" s="5">
        <f>IF(F33="","",IF($K$2="Yes",SUMPRODUCT(($B$2:$B$40=B33)*($D$2:$D$40&lt;=E33)*($E$2:$E$40&gt;=D33))-1,SUMPRODUCT(($B$2:$B$40=B33)*($D$2:$D$40&lt;E33)*($E$2:$E$40&gt;D33))-IF(E33&gt;D33,1,0)))</f>
        <v/>
      </c>
    </row>
    <row r="34">
      <c r="A34" s="3" t="n"/>
      <c r="B34" s="3" t="n"/>
      <c r="C34" s="3" t="n"/>
      <c r="D34" s="4" t="n"/>
      <c r="E34" s="4" t="n"/>
      <c r="F34" s="5">
        <f>IF(A34="","",IF(OR(B34="",NOT(ISNUMBER(D34)),NOT(ISNUMBER(E34))),"",IF(E34&lt;D34,"",IF($K$2="Yes",COUNTIFS($B$2:$B$40,B34,$D$2:$D$40,"&lt;="&amp;E34,$E$2:$E$40,"&gt;="&amp;D34)-1,COUNTIFS($B$2:$B$40,B34,$D$2:$D$40,"&lt;"&amp;E34,$E$2:$E$40,"&gt;"&amp;D34)-IF(E34&gt;D34,1,0)))))</f>
        <v/>
      </c>
      <c r="G34" s="5">
        <f>IF(A34="","",IF(F34="","Check",IF(F34&gt;0,"Conflict","OK")))</f>
        <v/>
      </c>
      <c r="H34" s="5">
        <f>IF(F34="","",IF($K$2="Yes",SUMPRODUCT(($B$2:$B$40=B34)*($D$2:$D$40&lt;=E34)*($E$2:$E$40&gt;=D34))-1,SUMPRODUCT(($B$2:$B$40=B34)*($D$2:$D$40&lt;E34)*($E$2:$E$40&gt;D34))-IF(E34&gt;D34,1,0)))</f>
        <v/>
      </c>
    </row>
    <row r="35">
      <c r="A35" s="3" t="n"/>
      <c r="B35" s="3" t="n"/>
      <c r="C35" s="3" t="n"/>
      <c r="D35" s="4" t="n"/>
      <c r="E35" s="4" t="n"/>
      <c r="F35" s="5">
        <f>IF(A35="","",IF(OR(B35="",NOT(ISNUMBER(D35)),NOT(ISNUMBER(E35))),"",IF(E35&lt;D35,"",IF($K$2="Yes",COUNTIFS($B$2:$B$40,B35,$D$2:$D$40,"&lt;="&amp;E35,$E$2:$E$40,"&gt;="&amp;D35)-1,COUNTIFS($B$2:$B$40,B35,$D$2:$D$40,"&lt;"&amp;E35,$E$2:$E$40,"&gt;"&amp;D35)-IF(E35&gt;D35,1,0)))))</f>
        <v/>
      </c>
      <c r="G35" s="5">
        <f>IF(A35="","",IF(F35="","Check",IF(F35&gt;0,"Conflict","OK")))</f>
        <v/>
      </c>
      <c r="H35" s="5">
        <f>IF(F35="","",IF($K$2="Yes",SUMPRODUCT(($B$2:$B$40=B35)*($D$2:$D$40&lt;=E35)*($E$2:$E$40&gt;=D35))-1,SUMPRODUCT(($B$2:$B$40=B35)*($D$2:$D$40&lt;E35)*($E$2:$E$40&gt;D35))-IF(E35&gt;D35,1,0)))</f>
        <v/>
      </c>
    </row>
    <row r="36">
      <c r="A36" s="3" t="n"/>
      <c r="B36" s="3" t="n"/>
      <c r="C36" s="3" t="n"/>
      <c r="D36" s="4" t="n"/>
      <c r="E36" s="4" t="n"/>
      <c r="F36" s="5">
        <f>IF(A36="","",IF(OR(B36="",NOT(ISNUMBER(D36)),NOT(ISNUMBER(E36))),"",IF(E36&lt;D36,"",IF($K$2="Yes",COUNTIFS($B$2:$B$40,B36,$D$2:$D$40,"&lt;="&amp;E36,$E$2:$E$40,"&gt;="&amp;D36)-1,COUNTIFS($B$2:$B$40,B36,$D$2:$D$40,"&lt;"&amp;E36,$E$2:$E$40,"&gt;"&amp;D36)-IF(E36&gt;D36,1,0)))))</f>
        <v/>
      </c>
      <c r="G36" s="5">
        <f>IF(A36="","",IF(F36="","Check",IF(F36&gt;0,"Conflict","OK")))</f>
        <v/>
      </c>
      <c r="H36" s="5">
        <f>IF(F36="","",IF($K$2="Yes",SUMPRODUCT(($B$2:$B$40=B36)*($D$2:$D$40&lt;=E36)*($E$2:$E$40&gt;=D36))-1,SUMPRODUCT(($B$2:$B$40=B36)*($D$2:$D$40&lt;E36)*($E$2:$E$40&gt;D36))-IF(E36&gt;D36,1,0)))</f>
        <v/>
      </c>
    </row>
    <row r="37">
      <c r="A37" s="3" t="n"/>
      <c r="B37" s="3" t="n"/>
      <c r="C37" s="3" t="n"/>
      <c r="D37" s="4" t="n"/>
      <c r="E37" s="4" t="n"/>
      <c r="F37" s="5">
        <f>IF(A37="","",IF(OR(B37="",NOT(ISNUMBER(D37)),NOT(ISNUMBER(E37))),"",IF(E37&lt;D37,"",IF($K$2="Yes",COUNTIFS($B$2:$B$40,B37,$D$2:$D$40,"&lt;="&amp;E37,$E$2:$E$40,"&gt;="&amp;D37)-1,COUNTIFS($B$2:$B$40,B37,$D$2:$D$40,"&lt;"&amp;E37,$E$2:$E$40,"&gt;"&amp;D37)-IF(E37&gt;D37,1,0)))))</f>
        <v/>
      </c>
      <c r="G37" s="5">
        <f>IF(A37="","",IF(F37="","Check",IF(F37&gt;0,"Conflict","OK")))</f>
        <v/>
      </c>
      <c r="H37" s="5">
        <f>IF(F37="","",IF($K$2="Yes",SUMPRODUCT(($B$2:$B$40=B37)*($D$2:$D$40&lt;=E37)*($E$2:$E$40&gt;=D37))-1,SUMPRODUCT(($B$2:$B$40=B37)*($D$2:$D$40&lt;E37)*($E$2:$E$40&gt;D37))-IF(E37&gt;D37,1,0)))</f>
        <v/>
      </c>
    </row>
    <row r="38">
      <c r="A38" s="3" t="n"/>
      <c r="B38" s="3" t="n"/>
      <c r="C38" s="3" t="n"/>
      <c r="D38" s="4" t="n"/>
      <c r="E38" s="4" t="n"/>
      <c r="F38" s="5">
        <f>IF(A38="","",IF(OR(B38="",NOT(ISNUMBER(D38)),NOT(ISNUMBER(E38))),"",IF(E38&lt;D38,"",IF($K$2="Yes",COUNTIFS($B$2:$B$40,B38,$D$2:$D$40,"&lt;="&amp;E38,$E$2:$E$40,"&gt;="&amp;D38)-1,COUNTIFS($B$2:$B$40,B38,$D$2:$D$40,"&lt;"&amp;E38,$E$2:$E$40,"&gt;"&amp;D38)-IF(E38&gt;D38,1,0)))))</f>
        <v/>
      </c>
      <c r="G38" s="5">
        <f>IF(A38="","",IF(F38="","Check",IF(F38&gt;0,"Conflict","OK")))</f>
        <v/>
      </c>
      <c r="H38" s="5">
        <f>IF(F38="","",IF($K$2="Yes",SUMPRODUCT(($B$2:$B$40=B38)*($D$2:$D$40&lt;=E38)*($E$2:$E$40&gt;=D38))-1,SUMPRODUCT(($B$2:$B$40=B38)*($D$2:$D$40&lt;E38)*($E$2:$E$40&gt;D38))-IF(E38&gt;D38,1,0)))</f>
        <v/>
      </c>
    </row>
    <row r="39">
      <c r="A39" s="3" t="n"/>
      <c r="B39" s="3" t="n"/>
      <c r="C39" s="3" t="n"/>
      <c r="D39" s="4" t="n"/>
      <c r="E39" s="4" t="n"/>
      <c r="F39" s="5">
        <f>IF(A39="","",IF(OR(B39="",NOT(ISNUMBER(D39)),NOT(ISNUMBER(E39))),"",IF(E39&lt;D39,"",IF($K$2="Yes",COUNTIFS($B$2:$B$40,B39,$D$2:$D$40,"&lt;="&amp;E39,$E$2:$E$40,"&gt;="&amp;D39)-1,COUNTIFS($B$2:$B$40,B39,$D$2:$D$40,"&lt;"&amp;E39,$E$2:$E$40,"&gt;"&amp;D39)-IF(E39&gt;D39,1,0)))))</f>
        <v/>
      </c>
      <c r="G39" s="5">
        <f>IF(A39="","",IF(F39="","Check",IF(F39&gt;0,"Conflict","OK")))</f>
        <v/>
      </c>
      <c r="H39" s="5">
        <f>IF(F39="","",IF($K$2="Yes",SUMPRODUCT(($B$2:$B$40=B39)*($D$2:$D$40&lt;=E39)*($E$2:$E$40&gt;=D39))-1,SUMPRODUCT(($B$2:$B$40=B39)*($D$2:$D$40&lt;E39)*($E$2:$E$40&gt;D39))-IF(E39&gt;D39,1,0)))</f>
        <v/>
      </c>
    </row>
    <row r="40">
      <c r="A40" s="3" t="n"/>
      <c r="B40" s="3" t="n"/>
      <c r="C40" s="3" t="n"/>
      <c r="D40" s="4" t="n"/>
      <c r="E40" s="4" t="n"/>
      <c r="F40" s="5">
        <f>IF(A40="","",IF(OR(B40="",NOT(ISNUMBER(D40)),NOT(ISNUMBER(E40))),"",IF(E40&lt;D40,"",IF($K$2="Yes",COUNTIFS($B$2:$B$40,B40,$D$2:$D$40,"&lt;="&amp;E40,$E$2:$E$40,"&gt;="&amp;D40)-1,COUNTIFS($B$2:$B$40,B40,$D$2:$D$40,"&lt;"&amp;E40,$E$2:$E$40,"&gt;"&amp;D40)-IF(E40&gt;D40,1,0)))))</f>
        <v/>
      </c>
      <c r="G40" s="5">
        <f>IF(A40="","",IF(F40="","Check",IF(F40&gt;0,"Conflict","OK")))</f>
        <v/>
      </c>
      <c r="H40" s="5">
        <f>IF(F40="","",IF($K$2="Yes",SUMPRODUCT(($B$2:$B$40=B40)*($D$2:$D$40&lt;=E40)*($E$2:$E$40&gt;=D40))-1,SUMPRODUCT(($B$2:$B$40=B40)*($D$2:$D$40&lt;E40)*($E$2:$E$40&gt;D40))-IF(E40&gt;D40,1,0)))</f>
        <v/>
      </c>
    </row>
  </sheetData>
  <conditionalFormatting sqref="G2:G40">
    <cfRule type="expression" priority="1" dxfId="0">
      <formula>OR(G2="Conflict",G2="Check")</formula>
    </cfRule>
    <cfRule type="expression" priority="2" dxfId="1">
      <formula>G2="OK"</formula>
    </cfRule>
  </conditionalFormatting>
  <conditionalFormatting sqref="K6">
    <cfRule type="expression" priority="3" dxfId="0">
      <formula>K6="CHECK"</formula>
    </cfRule>
  </conditionalFormatting>
  <dataValidations count="2">
    <dataValidation sqref="B2:B40" showDropDown="0" showInputMessage="0" showErrorMessage="0" allowBlank="1" type="list">
      <formula1>"Booth A,Booth B,Studio"</formula1>
    </dataValidation>
    <dataValidation sqref="K2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Find Overlapping Dates and Double Bookings</t>
        </is>
      </c>
    </row>
    <row r="2">
      <c r="A2" s="9" t="inlineStr"/>
    </row>
    <row r="3">
      <c r="A3" s="9" t="inlineStr">
        <is>
          <t>1. Bookings tab: type the booking, the space, the client and the start and end dates in A to E (yellow). Rows 2 to 40 have formulas ready. Pick the space from the dropdown in B.</t>
        </is>
      </c>
    </row>
    <row r="4">
      <c r="A4" s="9" t="inlineStr">
        <is>
          <t>2. F2 counts the other bookings in the same space whose dates overlap this one: =COUNTIFS($B$2:$B$40,B2,$D$2:$D$40,"&lt;="&amp;E2,$E$2:$E$40,"&gt;="&amp;D2)-1. Two ranges overlap when each one starts on or before the day the other ends. The -1 removes the row itself.</t>
        </is>
      </c>
    </row>
    <row r="5">
      <c r="A5" s="9" t="inlineStr">
        <is>
          <t>3. G2 shows Conflict when F2 is above 0, OK when it is 0, and Check when a date is missing, typed as text, or the end date is before the start date.</t>
        </is>
      </c>
    </row>
    <row r="6">
      <c r="A6" s="9" t="inlineStr">
        <is>
          <t>4. K2 switches how a same-day handoff is treated. Yes means an end date equal to the next start date is a conflict. No means it is allowed (the formula then uses &lt; and &gt; instead of &lt;= and &gt;=).</t>
        </is>
      </c>
    </row>
    <row r="7">
      <c r="A7" s="9" t="inlineStr">
        <is>
          <t>5. H2 counts the same thing with SUMPRODUCT. K6 shows OK when the two counts agree across all rows.</t>
        </is>
      </c>
    </row>
    <row r="8">
      <c r="A8" s="9" t="inlineStr">
        <is>
          <t>6. A date typed as text (left aligned, no date format) is ignored by COUNTIFS, so the other bookings do not see it. That row itself shows Check. Retype it as a date.</t>
        </is>
      </c>
    </row>
    <row r="9">
      <c r="A9" s="9" t="inlineStr">
        <is>
          <t>7. A booking with a conflict is flagged on every row involved. Three bookings that overlap at once show 2 on the middle one.</t>
        </is>
      </c>
    </row>
    <row r="10">
      <c r="A10" s="9" t="inlineStr"/>
    </row>
    <row r="11">
      <c r="A11" s="9" t="inlineStr">
        <is>
          <t>Bookings and clients are fictional. This checks dates only: it does not know about leases, deposits or contract terms.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2026-10-16T07:33:09Z</dcterms:created>
  <dcterms:modified xmlns:dcterms="http://purl.org/dc/terms/" xmlns:xsi="http://www.w3.org/2001/XMLSchema-instance" xsi:type="dcterms:W3CDTF">2026-10-16T07:33:09Z</dcterms:modified>
</cp:coreProperties>
</file>