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'Shifts'!$4:$4</definedName>
    <definedName name="_xlnm.Print_Area" localSheetId="0">'Shifts'!$A$1:$M$64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m/dd/yyyy"/>
    <numFmt numFmtId="166" formatCode="[h]:mm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vertical="center" wrapText="1"/>
    </xf>
    <xf numFmtId="165" fontId="0" fillId="2" borderId="0" pivotButton="0" quotePrefix="0" xfId="0"/>
    <xf numFmtId="0" fontId="0" fillId="2" borderId="0" pivotButton="0" quotePrefix="0" xfId="0"/>
    <xf numFmtId="18" fontId="0" fillId="2" borderId="0" pivotButton="0" quotePrefix="0" xfId="0"/>
    <xf numFmtId="1" fontId="0" fillId="2" borderId="0" pivotButton="0" quotePrefix="0" xfId="0"/>
    <xf numFmtId="166" fontId="0" fillId="3" borderId="0" applyAlignment="1" pivotButton="0" quotePrefix="0" xfId="0">
      <alignment horizontal="right"/>
    </xf>
    <xf numFmtId="2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0" fontId="1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1" customWidth="1" min="4" max="4"/>
    <col width="10" customWidth="1" min="5" max="5"/>
    <col width="13" customWidth="1" min="6" max="6"/>
    <col width="10" customWidth="1" min="7" max="7"/>
    <col width="11" customWidth="1" min="8" max="8"/>
    <col width="17" customWidth="1" min="9" max="9"/>
    <col width="40" customWidth="1" min="10" max="10"/>
    <col width="3" customWidth="1" min="11" max="11"/>
    <col width="46" customWidth="1" min="12" max="12"/>
    <col width="14" customWidth="1" min="13" max="13"/>
  </cols>
  <sheetData>
    <row r="1">
      <c r="A1" s="1" t="inlineStr">
        <is>
          <t>Hourly rate</t>
        </is>
      </c>
      <c r="B1" s="2" t="n">
        <v>18</v>
      </c>
      <c r="D1" s="3" t="inlineStr">
        <is>
          <t>Fictional night-market and event crew. Column I is the plain end minus start, kept to show the problem.</t>
        </is>
      </c>
    </row>
    <row r="2">
      <c r="A2" s="1" t="inlineStr">
        <is>
          <t>Rate check</t>
        </is>
      </c>
      <c r="B2" s="4">
        <f>IF(ISNUMBER(B1),IF(B1&gt;=0,"OK","Rate must be 0 or more"),"Rate must be a number")</f>
        <v/>
      </c>
    </row>
    <row r="4" ht="48" customHeight="1">
      <c r="A4" s="5" t="inlineStr">
        <is>
          <t>Date</t>
        </is>
      </c>
      <c r="B4" s="5" t="inlineStr">
        <is>
          <t>Name</t>
        </is>
      </c>
      <c r="C4" s="5" t="inlineStr">
        <is>
          <t>Start</t>
        </is>
      </c>
      <c r="D4" s="5" t="inlineStr">
        <is>
          <t>End</t>
        </is>
      </c>
      <c r="E4" s="5" t="inlineStr">
        <is>
          <t>Break (minutes)</t>
        </is>
      </c>
      <c r="F4" s="5" t="inlineStr">
        <is>
          <t>Hours worked (h:mm)</t>
        </is>
      </c>
      <c r="G4" s="5" t="inlineStr">
        <is>
          <t>Decimal hours</t>
        </is>
      </c>
      <c r="H4" s="5" t="inlineStr">
        <is>
          <t>Pay</t>
        </is>
      </c>
      <c r="I4" s="5" t="inlineStr">
        <is>
          <t>Plain end - start (the problem)</t>
        </is>
      </c>
      <c r="J4" s="5" t="inlineStr">
        <is>
          <t>Review</t>
        </is>
      </c>
    </row>
    <row r="5">
      <c r="A5" s="6" t="n">
        <v>46304</v>
      </c>
      <c r="B5" s="7" t="inlineStr">
        <is>
          <t>Maya</t>
        </is>
      </c>
      <c r="C5" s="8" t="n">
        <v>0.75</v>
      </c>
      <c r="D5" s="8" t="n">
        <v>0.08333333333333333</v>
      </c>
      <c r="E5" s="9" t="n">
        <v>30</v>
      </c>
      <c r="F5" s="10">
        <f>IF(J5="OK",MAX(0,MOD(D5-C5,1)-N(E5)/1440),"")</f>
        <v/>
      </c>
      <c r="G5" s="11">
        <f>IF(ISNUMBER(F5),ROUND(F5*24,2),"")</f>
        <v/>
      </c>
      <c r="H5" s="12">
        <f>IF(ISNUMBER(G5),IF($B$2="OK",ROUND(G5*$B$1,2),"Check rate"),"")</f>
        <v/>
      </c>
      <c r="I5" s="10">
        <f>IF(AND(ISNUMBER(C5),ISNUMBER(D5)),D5-C5,"")</f>
        <v/>
      </c>
      <c r="J5" s="4">
        <f>IF(AND(C5="",D5=""),"",IF(NOT(AND(ISNUMBER(C5),ISNUMBER(D5),OR(E5="",ISNUMBER(E5)))),"Review: start, end or break is not a number",IF(MOD(D5-C5,1)=0,"Review: start equals end (0 or 24 hours?)",IF(E5&lt;0,"Review: break is negative",IF(ROUND(MOD(D5-C5,1)*1440-N(E5),4)&lt;0,"Review: break is longer than the shift","OK")))))</f>
        <v/>
      </c>
      <c r="L5" s="1" t="inlineStr">
        <is>
          <t>Shifts with hours worked</t>
        </is>
      </c>
      <c r="M5" s="13">
        <f>COUNT(F5:F64)</f>
        <v/>
      </c>
    </row>
    <row r="6">
      <c r="A6" s="6" t="n">
        <v>46304</v>
      </c>
      <c r="B6" s="7" t="inlineStr">
        <is>
          <t>Theo</t>
        </is>
      </c>
      <c r="C6" s="8" t="n">
        <v>0.7291666666666666</v>
      </c>
      <c r="D6" s="8" t="n">
        <v>0.9791666666666666</v>
      </c>
      <c r="E6" s="9" t="n">
        <v>30</v>
      </c>
      <c r="F6" s="10">
        <f>IF(J6="OK",MAX(0,MOD(D6-C6,1)-N(E6)/1440),"")</f>
        <v/>
      </c>
      <c r="G6" s="11">
        <f>IF(ISNUMBER(F6),ROUND(F6*24,2),"")</f>
        <v/>
      </c>
      <c r="H6" s="12">
        <f>IF(ISNUMBER(G6),IF($B$2="OK",ROUND(G6*$B$1,2),"Check rate"),"")</f>
        <v/>
      </c>
      <c r="I6" s="10">
        <f>IF(AND(ISNUMBER(C6),ISNUMBER(D6)),D6-C6,"")</f>
        <v/>
      </c>
      <c r="J6" s="4">
        <f>IF(AND(C6="",D6=""),"",IF(NOT(AND(ISNUMBER(C6),ISNUMBER(D6),OR(E6="",ISNUMBER(E6)))),"Review: start, end or break is not a number",IF(MOD(D6-C6,1)=0,"Review: start equals end (0 or 24 hours?)",IF(E6&lt;0,"Review: break is negative",IF(ROUND(MOD(D6-C6,1)*1440-N(E6),4)&lt;0,"Review: break is longer than the shift","OK")))))</f>
        <v/>
      </c>
      <c r="L6" s="1" t="inlineStr">
        <is>
          <t>Total decimal hours</t>
        </is>
      </c>
      <c r="M6" s="11">
        <f>SUM(G5:G64)</f>
        <v/>
      </c>
    </row>
    <row r="7">
      <c r="A7" s="6" t="n">
        <v>46304</v>
      </c>
      <c r="B7" s="7" t="inlineStr">
        <is>
          <t>Priya</t>
        </is>
      </c>
      <c r="C7" s="8" t="n">
        <v>0.8333333333333334</v>
      </c>
      <c r="D7" s="8" t="n">
        <v>0</v>
      </c>
      <c r="E7" s="9" t="n">
        <v>0</v>
      </c>
      <c r="F7" s="10">
        <f>IF(J7="OK",MAX(0,MOD(D7-C7,1)-N(E7)/1440),"")</f>
        <v/>
      </c>
      <c r="G7" s="11">
        <f>IF(ISNUMBER(F7),ROUND(F7*24,2),"")</f>
        <v/>
      </c>
      <c r="H7" s="12">
        <f>IF(ISNUMBER(G7),IF($B$2="OK",ROUND(G7*$B$1,2),"Check rate"),"")</f>
        <v/>
      </c>
      <c r="I7" s="10">
        <f>IF(AND(ISNUMBER(C7),ISNUMBER(D7)),D7-C7,"")</f>
        <v/>
      </c>
      <c r="J7" s="4">
        <f>IF(AND(C7="",D7=""),"",IF(NOT(AND(ISNUMBER(C7),ISNUMBER(D7),OR(E7="",ISNUMBER(E7)))),"Review: start, end or break is not a number",IF(MOD(D7-C7,1)=0,"Review: start equals end (0 or 24 hours?)",IF(E7&lt;0,"Review: break is negative",IF(ROUND(MOD(D7-C7,1)*1440-N(E7),4)&lt;0,"Review: break is longer than the shift","OK")))))</f>
        <v/>
      </c>
      <c r="L7" s="1" t="inlineStr">
        <is>
          <t>Total pay</t>
        </is>
      </c>
      <c r="M7" s="12">
        <f>SUM(H5:H64)</f>
        <v/>
      </c>
    </row>
    <row r="8">
      <c r="A8" s="6" t="n">
        <v>46305</v>
      </c>
      <c r="B8" s="7" t="inlineStr">
        <is>
          <t>Maya</t>
        </is>
      </c>
      <c r="C8" s="8" t="n">
        <v>0.75</v>
      </c>
      <c r="D8" s="8" t="n">
        <v>0.08333333333333333</v>
      </c>
      <c r="E8" s="9" t="n">
        <v>30</v>
      </c>
      <c r="F8" s="10">
        <f>IF(J8="OK",MAX(0,MOD(D8-C8,1)-N(E8)/1440),"")</f>
        <v/>
      </c>
      <c r="G8" s="11">
        <f>IF(ISNUMBER(F8),ROUND(F8*24,2),"")</f>
        <v/>
      </c>
      <c r="H8" s="12">
        <f>IF(ISNUMBER(G8),IF($B$2="OK",ROUND(G8*$B$1,2),"Check rate"),"")</f>
        <v/>
      </c>
      <c r="I8" s="10">
        <f>IF(AND(ISNUMBER(C8),ISNUMBER(D8)),D8-C8,"")</f>
        <v/>
      </c>
      <c r="J8" s="4">
        <f>IF(AND(C8="",D8=""),"",IF(NOT(AND(ISNUMBER(C8),ISNUMBER(D8),OR(E8="",ISNUMBER(E8)))),"Review: start, end or break is not a number",IF(MOD(D8-C8,1)=0,"Review: start equals end (0 or 24 hours?)",IF(E8&lt;0,"Review: break is negative",IF(ROUND(MOD(D8-C8,1)*1440-N(E8),4)&lt;0,"Review: break is longer than the shift","OK")))))</f>
        <v/>
      </c>
      <c r="L8" s="1" t="inlineStr">
        <is>
          <t>Rows to review</t>
        </is>
      </c>
      <c r="M8" s="13">
        <f>COUNTIF(J5:J64,"Review*")</f>
        <v/>
      </c>
    </row>
    <row r="9">
      <c r="A9" s="6" t="n">
        <v>46305</v>
      </c>
      <c r="B9" s="7" t="inlineStr">
        <is>
          <t>Luis</t>
        </is>
      </c>
      <c r="C9" s="8" t="n">
        <v>0.875</v>
      </c>
      <c r="D9" s="8" t="n">
        <v>0.1354166666666667</v>
      </c>
      <c r="E9" s="9" t="n">
        <v>45</v>
      </c>
      <c r="F9" s="10">
        <f>IF(J9="OK",MAX(0,MOD(D9-C9,1)-N(E9)/1440),"")</f>
        <v/>
      </c>
      <c r="G9" s="11">
        <f>IF(ISNUMBER(F9),ROUND(F9*24,2),"")</f>
        <v/>
      </c>
      <c r="H9" s="12">
        <f>IF(ISNUMBER(G9),IF($B$2="OK",ROUND(G9*$B$1,2),"Check rate"),"")</f>
        <v/>
      </c>
      <c r="I9" s="10">
        <f>IF(AND(ISNUMBER(C9),ISNUMBER(D9)),D9-C9,"")</f>
        <v/>
      </c>
      <c r="J9" s="4">
        <f>IF(AND(C9="",D9=""),"",IF(NOT(AND(ISNUMBER(C9),ISNUMBER(D9),OR(E9="",ISNUMBER(E9)))),"Review: start, end or break is not a number",IF(MOD(D9-C9,1)=0,"Review: start equals end (0 or 24 hours?)",IF(E9&lt;0,"Review: break is negative",IF(ROUND(MOD(D9-C9,1)*1440-N(E9),4)&lt;0,"Review: break is longer than the shift","OK")))))</f>
        <v/>
      </c>
      <c r="L9" s="1" t="inlineStr">
        <is>
          <t>Rows where plain end - start is negative</t>
        </is>
      </c>
      <c r="M9" s="13">
        <f>COUNTIF(I5:I64,"&lt;0")</f>
        <v/>
      </c>
    </row>
    <row r="10" ht="32" customHeight="1">
      <c r="A10" s="6" t="n">
        <v>46305</v>
      </c>
      <c r="B10" s="7" t="inlineStr">
        <is>
          <t>Dana</t>
        </is>
      </c>
      <c r="C10" s="8" t="n">
        <v>0.9166666666666666</v>
      </c>
      <c r="D10" s="8" t="n">
        <v>0.9166666666666666</v>
      </c>
      <c r="E10" s="9" t="n">
        <v>30</v>
      </c>
      <c r="F10" s="10">
        <f>IF(J10="OK",MAX(0,MOD(D10-C10,1)-N(E10)/1440),"")</f>
        <v/>
      </c>
      <c r="G10" s="11">
        <f>IF(ISNUMBER(F10),ROUND(F10*24,2),"")</f>
        <v/>
      </c>
      <c r="H10" s="12">
        <f>IF(ISNUMBER(G10),IF($B$2="OK",ROUND(G10*$B$1,2),"Check rate"),"")</f>
        <v/>
      </c>
      <c r="I10" s="10">
        <f>IF(AND(ISNUMBER(C10),ISNUMBER(D10)),D10-C10,"")</f>
        <v/>
      </c>
      <c r="J10" s="4">
        <f>IF(AND(C10="",D10=""),"",IF(NOT(AND(ISNUMBER(C10),ISNUMBER(D10),OR(E10="",ISNUMBER(E10)))),"Review: start, end or break is not a number",IF(MOD(D10-C10,1)=0,"Review: start equals end (0 or 24 hours?)",IF(E10&lt;0,"Review: break is negative",IF(ROUND(MOD(D10-C10,1)*1440-N(E10),4)&lt;0,"Review: break is longer than the shift","OK")))))</f>
        <v/>
      </c>
      <c r="L10" s="14" t="inlineStr">
        <is>
          <t>Check: every row is OK or Review, hours add up, nothing below row 64</t>
        </is>
      </c>
      <c r="M10" s="15">
        <f>IF(AND(B2="OK",COUNT(F5:F64)=COUNTIF(J5:J64,"OK"),COUNT(F5:F64)+M8=SUMPRODUCT(--(J5:J64&lt;&gt;"")),ABS(SUM(F5:F64)*24-SUM(G5:G64))&lt;=0.005*COUNT(F5:F64)+0.000001,COUNTA(A65:E500)=0),"OK","CHECK")</f>
        <v/>
      </c>
    </row>
    <row r="11">
      <c r="A11" s="6" t="n">
        <v>46306</v>
      </c>
      <c r="B11" s="7" t="inlineStr">
        <is>
          <t>Theo</t>
        </is>
      </c>
      <c r="C11" s="8" t="n">
        <v>0.375</v>
      </c>
      <c r="D11" s="8" t="n">
        <v>0.7083333333333334</v>
      </c>
      <c r="E11" s="9" t="n">
        <v>60</v>
      </c>
      <c r="F11" s="10">
        <f>IF(J11="OK",MAX(0,MOD(D11-C11,1)-N(E11)/1440),"")</f>
        <v/>
      </c>
      <c r="G11" s="11">
        <f>IF(ISNUMBER(F11),ROUND(F11*24,2),"")</f>
        <v/>
      </c>
      <c r="H11" s="12">
        <f>IF(ISNUMBER(G11),IF($B$2="OK",ROUND(G11*$B$1,2),"Check rate"),"")</f>
        <v/>
      </c>
      <c r="I11" s="10">
        <f>IF(AND(ISNUMBER(C11),ISNUMBER(D11)),D11-C11,"")</f>
        <v/>
      </c>
      <c r="J11" s="4">
        <f>IF(AND(C11="",D11=""),"",IF(NOT(AND(ISNUMBER(C11),ISNUMBER(D11),OR(E11="",ISNUMBER(E11)))),"Review: start, end or break is not a number",IF(MOD(D11-C11,1)=0,"Review: start equals end (0 or 24 hours?)",IF(E11&lt;0,"Review: break is negative",IF(ROUND(MOD(D11-C11,1)*1440-N(E11),4)&lt;0,"Review: break is longer than the shift","OK")))))</f>
        <v/>
      </c>
    </row>
    <row r="12">
      <c r="A12" s="6" t="n">
        <v>46306</v>
      </c>
      <c r="B12" s="7" t="inlineStr">
        <is>
          <t>Priya</t>
        </is>
      </c>
      <c r="C12" s="8" t="n">
        <v>0.9583333333333334</v>
      </c>
      <c r="D12" s="8" t="n">
        <v>0.2916666666666667</v>
      </c>
      <c r="E12" s="9" t="n">
        <v>0</v>
      </c>
      <c r="F12" s="10">
        <f>IF(J12="OK",MAX(0,MOD(D12-C12,1)-N(E12)/1440),"")</f>
        <v/>
      </c>
      <c r="G12" s="11">
        <f>IF(ISNUMBER(F12),ROUND(F12*24,2),"")</f>
        <v/>
      </c>
      <c r="H12" s="12">
        <f>IF(ISNUMBER(G12),IF($B$2="OK",ROUND(G12*$B$1,2),"Check rate"),"")</f>
        <v/>
      </c>
      <c r="I12" s="10">
        <f>IF(AND(ISNUMBER(C12),ISNUMBER(D12)),D12-C12,"")</f>
        <v/>
      </c>
      <c r="J12" s="4">
        <f>IF(AND(C12="",D12=""),"",IF(NOT(AND(ISNUMBER(C12),ISNUMBER(D12),OR(E12="",ISNUMBER(E12)))),"Review: start, end or break is not a number",IF(MOD(D12-C12,1)=0,"Review: start equals end (0 or 24 hours?)",IF(E12&lt;0,"Review: break is negative",IF(ROUND(MOD(D12-C12,1)*1440-N(E12),4)&lt;0,"Review: break is longer than the shift","OK")))))</f>
        <v/>
      </c>
    </row>
    <row r="13">
      <c r="A13" s="6" t="n">
        <v>46311</v>
      </c>
      <c r="B13" s="7" t="inlineStr">
        <is>
          <t>Luis</t>
        </is>
      </c>
      <c r="C13" s="8" t="n">
        <v>0.8125</v>
      </c>
      <c r="D13" s="8" t="n">
        <v>0.07291666666666667</v>
      </c>
      <c r="E13" s="9" t="n">
        <v>15</v>
      </c>
      <c r="F13" s="10">
        <f>IF(J13="OK",MAX(0,MOD(D13-C13,1)-N(E13)/1440),"")</f>
        <v/>
      </c>
      <c r="G13" s="11">
        <f>IF(ISNUMBER(F13),ROUND(F13*24,2),"")</f>
        <v/>
      </c>
      <c r="H13" s="12">
        <f>IF(ISNUMBER(G13),IF($B$2="OK",ROUND(G13*$B$1,2),"Check rate"),"")</f>
        <v/>
      </c>
      <c r="I13" s="10">
        <f>IF(AND(ISNUMBER(C13),ISNUMBER(D13)),D13-C13,"")</f>
        <v/>
      </c>
      <c r="J13" s="4">
        <f>IF(AND(C13="",D13=""),"",IF(NOT(AND(ISNUMBER(C13),ISNUMBER(D13),OR(E13="",ISNUMBER(E13)))),"Review: start, end or break is not a number",IF(MOD(D13-C13,1)=0,"Review: start equals end (0 or 24 hours?)",IF(E13&lt;0,"Review: break is negative",IF(ROUND(MOD(D13-C13,1)*1440-N(E13),4)&lt;0,"Review: break is longer than the shift","OK")))))</f>
        <v/>
      </c>
    </row>
    <row r="14">
      <c r="A14" s="6" t="n">
        <v>46311</v>
      </c>
      <c r="B14" s="7" t="inlineStr">
        <is>
          <t>Dana</t>
        </is>
      </c>
      <c r="C14" s="8" t="n">
        <v>0.7083333333333334</v>
      </c>
      <c r="D14" s="8" t="n">
        <v>0.7222222222222222</v>
      </c>
      <c r="E14" s="9" t="n">
        <v>30</v>
      </c>
      <c r="F14" s="10">
        <f>IF(J14="OK",MAX(0,MOD(D14-C14,1)-N(E14)/1440),"")</f>
        <v/>
      </c>
      <c r="G14" s="11">
        <f>IF(ISNUMBER(F14),ROUND(F14*24,2),"")</f>
        <v/>
      </c>
      <c r="H14" s="12">
        <f>IF(ISNUMBER(G14),IF($B$2="OK",ROUND(G14*$B$1,2),"Check rate"),"")</f>
        <v/>
      </c>
      <c r="I14" s="10">
        <f>IF(AND(ISNUMBER(C14),ISNUMBER(D14)),D14-C14,"")</f>
        <v/>
      </c>
      <c r="J14" s="4">
        <f>IF(AND(C14="",D14=""),"",IF(NOT(AND(ISNUMBER(C14),ISNUMBER(D14),OR(E14="",ISNUMBER(E14)))),"Review: start, end or break is not a number",IF(MOD(D14-C14,1)=0,"Review: start equals end (0 or 24 hours?)",IF(E14&lt;0,"Review: break is negative",IF(ROUND(MOD(D14-C14,1)*1440-N(E14),4)&lt;0,"Review: break is longer than the shift","OK")))))</f>
        <v/>
      </c>
    </row>
    <row r="15">
      <c r="A15" s="6" t="n">
        <v>46312</v>
      </c>
      <c r="B15" s="7" t="inlineStr">
        <is>
          <t>Maya</t>
        </is>
      </c>
      <c r="C15" s="8" t="n">
        <v>0.6666666666666666</v>
      </c>
      <c r="D15" s="8" t="n">
        <v>0.9993055555555556</v>
      </c>
      <c r="E15" s="9" t="n">
        <v>0</v>
      </c>
      <c r="F15" s="10">
        <f>IF(J15="OK",MAX(0,MOD(D15-C15,1)-N(E15)/1440),"")</f>
        <v/>
      </c>
      <c r="G15" s="11">
        <f>IF(ISNUMBER(F15),ROUND(F15*24,2),"")</f>
        <v/>
      </c>
      <c r="H15" s="12">
        <f>IF(ISNUMBER(G15),IF($B$2="OK",ROUND(G15*$B$1,2),"Check rate"),"")</f>
        <v/>
      </c>
      <c r="I15" s="10">
        <f>IF(AND(ISNUMBER(C15),ISNUMBER(D15)),D15-C15,"")</f>
        <v/>
      </c>
      <c r="J15" s="4">
        <f>IF(AND(C15="",D15=""),"",IF(NOT(AND(ISNUMBER(C15),ISNUMBER(D15),OR(E15="",ISNUMBER(E15)))),"Review: start, end or break is not a number",IF(MOD(D15-C15,1)=0,"Review: start equals end (0 or 24 hours?)",IF(E15&lt;0,"Review: break is negative",IF(ROUND(MOD(D15-C15,1)*1440-N(E15),4)&lt;0,"Review: break is longer than the shift","OK")))))</f>
        <v/>
      </c>
    </row>
    <row r="16">
      <c r="A16" s="6" t="n">
        <v>46312</v>
      </c>
      <c r="B16" s="7" t="inlineStr">
        <is>
          <t>Theo</t>
        </is>
      </c>
      <c r="C16" s="8" t="n">
        <v>0.84375</v>
      </c>
      <c r="D16" s="8" t="n">
        <v>0.04513888888888889</v>
      </c>
      <c r="E16" s="9" t="n">
        <v>20</v>
      </c>
      <c r="F16" s="10">
        <f>IF(J16="OK",MAX(0,MOD(D16-C16,1)-N(E16)/1440),"")</f>
        <v/>
      </c>
      <c r="G16" s="11">
        <f>IF(ISNUMBER(F16),ROUND(F16*24,2),"")</f>
        <v/>
      </c>
      <c r="H16" s="12">
        <f>IF(ISNUMBER(G16),IF($B$2="OK",ROUND(G16*$B$1,2),"Check rate"),"")</f>
        <v/>
      </c>
      <c r="I16" s="10">
        <f>IF(AND(ISNUMBER(C16),ISNUMBER(D16)),D16-C16,"")</f>
        <v/>
      </c>
      <c r="J16" s="4">
        <f>IF(AND(C16="",D16=""),"",IF(NOT(AND(ISNUMBER(C16),ISNUMBER(D16),OR(E16="",ISNUMBER(E16)))),"Review: start, end or break is not a number",IF(MOD(D16-C16,1)=0,"Review: start equals end (0 or 24 hours?)",IF(E16&lt;0,"Review: break is negative",IF(ROUND(MOD(D16-C16,1)*1440-N(E16),4)&lt;0,"Review: break is longer than the shift","OK")))))</f>
        <v/>
      </c>
    </row>
    <row r="17">
      <c r="A17" s="6" t="n">
        <v>46312</v>
      </c>
      <c r="B17" s="7" t="inlineStr">
        <is>
          <t>Priya</t>
        </is>
      </c>
      <c r="C17" s="8" t="n">
        <v>0.75</v>
      </c>
      <c r="D17" s="8" t="n">
        <v>0.02083333333333333</v>
      </c>
      <c r="E17" s="9" t="n"/>
      <c r="F17" s="10">
        <f>IF(J17="OK",MAX(0,MOD(D17-C17,1)-N(E17)/1440),"")</f>
        <v/>
      </c>
      <c r="G17" s="11">
        <f>IF(ISNUMBER(F17),ROUND(F17*24,2),"")</f>
        <v/>
      </c>
      <c r="H17" s="12">
        <f>IF(ISNUMBER(G17),IF($B$2="OK",ROUND(G17*$B$1,2),"Check rate"),"")</f>
        <v/>
      </c>
      <c r="I17" s="10">
        <f>IF(AND(ISNUMBER(C17),ISNUMBER(D17)),D17-C17,"")</f>
        <v/>
      </c>
      <c r="J17" s="4">
        <f>IF(AND(C17="",D17=""),"",IF(NOT(AND(ISNUMBER(C17),ISNUMBER(D17),OR(E17="",ISNUMBER(E17)))),"Review: start, end or break is not a number",IF(MOD(D17-C17,1)=0,"Review: start equals end (0 or 24 hours?)",IF(E17&lt;0,"Review: break is negative",IF(ROUND(MOD(D17-C17,1)*1440-N(E17),4)&lt;0,"Review: break is longer than the shift","OK")))))</f>
        <v/>
      </c>
    </row>
    <row r="18">
      <c r="A18" s="6" t="n">
        <v>46313</v>
      </c>
      <c r="B18" s="7" t="inlineStr">
        <is>
          <t>Luis</t>
        </is>
      </c>
      <c r="C18" s="8" t="n">
        <v>0.5</v>
      </c>
      <c r="D18" s="8" t="n">
        <v>0.8333333333333334</v>
      </c>
      <c r="E18" s="9" t="n">
        <v>30</v>
      </c>
      <c r="F18" s="10">
        <f>IF(J18="OK",MAX(0,MOD(D18-C18,1)-N(E18)/1440),"")</f>
        <v/>
      </c>
      <c r="G18" s="11">
        <f>IF(ISNUMBER(F18),ROUND(F18*24,2),"")</f>
        <v/>
      </c>
      <c r="H18" s="12">
        <f>IF(ISNUMBER(G18),IF($B$2="OK",ROUND(G18*$B$1,2),"Check rate"),"")</f>
        <v/>
      </c>
      <c r="I18" s="10">
        <f>IF(AND(ISNUMBER(C18),ISNUMBER(D18)),D18-C18,"")</f>
        <v/>
      </c>
      <c r="J18" s="4">
        <f>IF(AND(C18="",D18=""),"",IF(NOT(AND(ISNUMBER(C18),ISNUMBER(D18),OR(E18="",ISNUMBER(E18)))),"Review: start, end or break is not a number",IF(MOD(D18-C18,1)=0,"Review: start equals end (0 or 24 hours?)",IF(E18&lt;0,"Review: break is negative",IF(ROUND(MOD(D18-C18,1)*1440-N(E18),4)&lt;0,"Review: break is longer than the shift","OK")))))</f>
        <v/>
      </c>
    </row>
    <row r="19">
      <c r="A19" s="6" t="n"/>
      <c r="B19" s="7" t="n"/>
      <c r="C19" s="8" t="n"/>
      <c r="D19" s="8" t="n"/>
      <c r="E19" s="9" t="n"/>
      <c r="F19" s="10">
        <f>IF(J19="OK",MAX(0,MOD(D19-C19,1)-N(E19)/1440),"")</f>
        <v/>
      </c>
      <c r="G19" s="11">
        <f>IF(ISNUMBER(F19),ROUND(F19*24,2),"")</f>
        <v/>
      </c>
      <c r="H19" s="12">
        <f>IF(ISNUMBER(G19),IF($B$2="OK",ROUND(G19*$B$1,2),"Check rate"),"")</f>
        <v/>
      </c>
      <c r="I19" s="10">
        <f>IF(AND(ISNUMBER(C19),ISNUMBER(D19)),D19-C19,"")</f>
        <v/>
      </c>
      <c r="J19" s="4">
        <f>IF(AND(C19="",D19=""),"",IF(NOT(AND(ISNUMBER(C19),ISNUMBER(D19),OR(E19="",ISNUMBER(E19)))),"Review: start, end or break is not a number",IF(MOD(D19-C19,1)=0,"Review: start equals end (0 or 24 hours?)",IF(E19&lt;0,"Review: break is negative",IF(ROUND(MOD(D19-C19,1)*1440-N(E19),4)&lt;0,"Review: break is longer than the shift","OK")))))</f>
        <v/>
      </c>
    </row>
    <row r="20">
      <c r="A20" s="6" t="n"/>
      <c r="B20" s="7" t="n"/>
      <c r="C20" s="8" t="n"/>
      <c r="D20" s="8" t="n"/>
      <c r="E20" s="9" t="n"/>
      <c r="F20" s="10">
        <f>IF(J20="OK",MAX(0,MOD(D20-C20,1)-N(E20)/1440),"")</f>
        <v/>
      </c>
      <c r="G20" s="11">
        <f>IF(ISNUMBER(F20),ROUND(F20*24,2),"")</f>
        <v/>
      </c>
      <c r="H20" s="12">
        <f>IF(ISNUMBER(G20),IF($B$2="OK",ROUND(G20*$B$1,2),"Check rate"),"")</f>
        <v/>
      </c>
      <c r="I20" s="10">
        <f>IF(AND(ISNUMBER(C20),ISNUMBER(D20)),D20-C20,"")</f>
        <v/>
      </c>
      <c r="J20" s="4">
        <f>IF(AND(C20="",D20=""),"",IF(NOT(AND(ISNUMBER(C20),ISNUMBER(D20),OR(E20="",ISNUMBER(E20)))),"Review: start, end or break is not a number",IF(MOD(D20-C20,1)=0,"Review: start equals end (0 or 24 hours?)",IF(E20&lt;0,"Review: break is negative",IF(ROUND(MOD(D20-C20,1)*1440-N(E20),4)&lt;0,"Review: break is longer than the shift","OK")))))</f>
        <v/>
      </c>
    </row>
    <row r="21">
      <c r="A21" s="6" t="n"/>
      <c r="B21" s="7" t="n"/>
      <c r="C21" s="8" t="n"/>
      <c r="D21" s="8" t="n"/>
      <c r="E21" s="9" t="n"/>
      <c r="F21" s="10">
        <f>IF(J21="OK",MAX(0,MOD(D21-C21,1)-N(E21)/1440),"")</f>
        <v/>
      </c>
      <c r="G21" s="11">
        <f>IF(ISNUMBER(F21),ROUND(F21*24,2),"")</f>
        <v/>
      </c>
      <c r="H21" s="12">
        <f>IF(ISNUMBER(G21),IF($B$2="OK",ROUND(G21*$B$1,2),"Check rate"),"")</f>
        <v/>
      </c>
      <c r="I21" s="10">
        <f>IF(AND(ISNUMBER(C21),ISNUMBER(D21)),D21-C21,"")</f>
        <v/>
      </c>
      <c r="J21" s="4">
        <f>IF(AND(C21="",D21=""),"",IF(NOT(AND(ISNUMBER(C21),ISNUMBER(D21),OR(E21="",ISNUMBER(E21)))),"Review: start, end or break is not a number",IF(MOD(D21-C21,1)=0,"Review: start equals end (0 or 24 hours?)",IF(E21&lt;0,"Review: break is negative",IF(ROUND(MOD(D21-C21,1)*1440-N(E21),4)&lt;0,"Review: break is longer than the shift","OK")))))</f>
        <v/>
      </c>
    </row>
    <row r="22">
      <c r="A22" s="6" t="n"/>
      <c r="B22" s="7" t="n"/>
      <c r="C22" s="8" t="n"/>
      <c r="D22" s="8" t="n"/>
      <c r="E22" s="9" t="n"/>
      <c r="F22" s="10">
        <f>IF(J22="OK",MAX(0,MOD(D22-C22,1)-N(E22)/1440),"")</f>
        <v/>
      </c>
      <c r="G22" s="11">
        <f>IF(ISNUMBER(F22),ROUND(F22*24,2),"")</f>
        <v/>
      </c>
      <c r="H22" s="12">
        <f>IF(ISNUMBER(G22),IF($B$2="OK",ROUND(G22*$B$1,2),"Check rate"),"")</f>
        <v/>
      </c>
      <c r="I22" s="10">
        <f>IF(AND(ISNUMBER(C22),ISNUMBER(D22)),D22-C22,"")</f>
        <v/>
      </c>
      <c r="J22" s="4">
        <f>IF(AND(C22="",D22=""),"",IF(NOT(AND(ISNUMBER(C22),ISNUMBER(D22),OR(E22="",ISNUMBER(E22)))),"Review: start, end or break is not a number",IF(MOD(D22-C22,1)=0,"Review: start equals end (0 or 24 hours?)",IF(E22&lt;0,"Review: break is negative",IF(ROUND(MOD(D22-C22,1)*1440-N(E22),4)&lt;0,"Review: break is longer than the shift","OK")))))</f>
        <v/>
      </c>
    </row>
    <row r="23">
      <c r="A23" s="6" t="n"/>
      <c r="B23" s="7" t="n"/>
      <c r="C23" s="8" t="n"/>
      <c r="D23" s="8" t="n"/>
      <c r="E23" s="9" t="n"/>
      <c r="F23" s="10">
        <f>IF(J23="OK",MAX(0,MOD(D23-C23,1)-N(E23)/1440),"")</f>
        <v/>
      </c>
      <c r="G23" s="11">
        <f>IF(ISNUMBER(F23),ROUND(F23*24,2),"")</f>
        <v/>
      </c>
      <c r="H23" s="12">
        <f>IF(ISNUMBER(G23),IF($B$2="OK",ROUND(G23*$B$1,2),"Check rate"),"")</f>
        <v/>
      </c>
      <c r="I23" s="10">
        <f>IF(AND(ISNUMBER(C23),ISNUMBER(D23)),D23-C23,"")</f>
        <v/>
      </c>
      <c r="J23" s="4">
        <f>IF(AND(C23="",D23=""),"",IF(NOT(AND(ISNUMBER(C23),ISNUMBER(D23),OR(E23="",ISNUMBER(E23)))),"Review: start, end or break is not a number",IF(MOD(D23-C23,1)=0,"Review: start equals end (0 or 24 hours?)",IF(E23&lt;0,"Review: break is negative",IF(ROUND(MOD(D23-C23,1)*1440-N(E23),4)&lt;0,"Review: break is longer than the shift","OK")))))</f>
        <v/>
      </c>
    </row>
    <row r="24">
      <c r="A24" s="6" t="n"/>
      <c r="B24" s="7" t="n"/>
      <c r="C24" s="8" t="n"/>
      <c r="D24" s="8" t="n"/>
      <c r="E24" s="9" t="n"/>
      <c r="F24" s="10">
        <f>IF(J24="OK",MAX(0,MOD(D24-C24,1)-N(E24)/1440),"")</f>
        <v/>
      </c>
      <c r="G24" s="11">
        <f>IF(ISNUMBER(F24),ROUND(F24*24,2),"")</f>
        <v/>
      </c>
      <c r="H24" s="12">
        <f>IF(ISNUMBER(G24),IF($B$2="OK",ROUND(G24*$B$1,2),"Check rate"),"")</f>
        <v/>
      </c>
      <c r="I24" s="10">
        <f>IF(AND(ISNUMBER(C24),ISNUMBER(D24)),D24-C24,"")</f>
        <v/>
      </c>
      <c r="J24" s="4">
        <f>IF(AND(C24="",D24=""),"",IF(NOT(AND(ISNUMBER(C24),ISNUMBER(D24),OR(E24="",ISNUMBER(E24)))),"Review: start, end or break is not a number",IF(MOD(D24-C24,1)=0,"Review: start equals end (0 or 24 hours?)",IF(E24&lt;0,"Review: break is negative",IF(ROUND(MOD(D24-C24,1)*1440-N(E24),4)&lt;0,"Review: break is longer than the shift","OK")))))</f>
        <v/>
      </c>
    </row>
    <row r="25">
      <c r="A25" s="6" t="n"/>
      <c r="B25" s="7" t="n"/>
      <c r="C25" s="8" t="n"/>
      <c r="D25" s="8" t="n"/>
      <c r="E25" s="9" t="n"/>
      <c r="F25" s="10">
        <f>IF(J25="OK",MAX(0,MOD(D25-C25,1)-N(E25)/1440),"")</f>
        <v/>
      </c>
      <c r="G25" s="11">
        <f>IF(ISNUMBER(F25),ROUND(F25*24,2),"")</f>
        <v/>
      </c>
      <c r="H25" s="12">
        <f>IF(ISNUMBER(G25),IF($B$2="OK",ROUND(G25*$B$1,2),"Check rate"),"")</f>
        <v/>
      </c>
      <c r="I25" s="10">
        <f>IF(AND(ISNUMBER(C25),ISNUMBER(D25)),D25-C25,"")</f>
        <v/>
      </c>
      <c r="J25" s="4">
        <f>IF(AND(C25="",D25=""),"",IF(NOT(AND(ISNUMBER(C25),ISNUMBER(D25),OR(E25="",ISNUMBER(E25)))),"Review: start, end or break is not a number",IF(MOD(D25-C25,1)=0,"Review: start equals end (0 or 24 hours?)",IF(E25&lt;0,"Review: break is negative",IF(ROUND(MOD(D25-C25,1)*1440-N(E25),4)&lt;0,"Review: break is longer than the shift","OK")))))</f>
        <v/>
      </c>
    </row>
    <row r="26">
      <c r="A26" s="6" t="n"/>
      <c r="B26" s="7" t="n"/>
      <c r="C26" s="8" t="n"/>
      <c r="D26" s="8" t="n"/>
      <c r="E26" s="9" t="n"/>
      <c r="F26" s="10">
        <f>IF(J26="OK",MAX(0,MOD(D26-C26,1)-N(E26)/1440),"")</f>
        <v/>
      </c>
      <c r="G26" s="11">
        <f>IF(ISNUMBER(F26),ROUND(F26*24,2),"")</f>
        <v/>
      </c>
      <c r="H26" s="12">
        <f>IF(ISNUMBER(G26),IF($B$2="OK",ROUND(G26*$B$1,2),"Check rate"),"")</f>
        <v/>
      </c>
      <c r="I26" s="10">
        <f>IF(AND(ISNUMBER(C26),ISNUMBER(D26)),D26-C26,"")</f>
        <v/>
      </c>
      <c r="J26" s="4">
        <f>IF(AND(C26="",D26=""),"",IF(NOT(AND(ISNUMBER(C26),ISNUMBER(D26),OR(E26="",ISNUMBER(E26)))),"Review: start, end or break is not a number",IF(MOD(D26-C26,1)=0,"Review: start equals end (0 or 24 hours?)",IF(E26&lt;0,"Review: break is negative",IF(ROUND(MOD(D26-C26,1)*1440-N(E26),4)&lt;0,"Review: break is longer than the shift","OK")))))</f>
        <v/>
      </c>
    </row>
    <row r="27">
      <c r="A27" s="6" t="n"/>
      <c r="B27" s="7" t="n"/>
      <c r="C27" s="8" t="n"/>
      <c r="D27" s="8" t="n"/>
      <c r="E27" s="9" t="n"/>
      <c r="F27" s="10">
        <f>IF(J27="OK",MAX(0,MOD(D27-C27,1)-N(E27)/1440),"")</f>
        <v/>
      </c>
      <c r="G27" s="11">
        <f>IF(ISNUMBER(F27),ROUND(F27*24,2),"")</f>
        <v/>
      </c>
      <c r="H27" s="12">
        <f>IF(ISNUMBER(G27),IF($B$2="OK",ROUND(G27*$B$1,2),"Check rate"),"")</f>
        <v/>
      </c>
      <c r="I27" s="10">
        <f>IF(AND(ISNUMBER(C27),ISNUMBER(D27)),D27-C27,"")</f>
        <v/>
      </c>
      <c r="J27" s="4">
        <f>IF(AND(C27="",D27=""),"",IF(NOT(AND(ISNUMBER(C27),ISNUMBER(D27),OR(E27="",ISNUMBER(E27)))),"Review: start, end or break is not a number",IF(MOD(D27-C27,1)=0,"Review: start equals end (0 or 24 hours?)",IF(E27&lt;0,"Review: break is negative",IF(ROUND(MOD(D27-C27,1)*1440-N(E27),4)&lt;0,"Review: break is longer than the shift","OK")))))</f>
        <v/>
      </c>
    </row>
    <row r="28">
      <c r="A28" s="6" t="n"/>
      <c r="B28" s="7" t="n"/>
      <c r="C28" s="8" t="n"/>
      <c r="D28" s="8" t="n"/>
      <c r="E28" s="9" t="n"/>
      <c r="F28" s="10">
        <f>IF(J28="OK",MAX(0,MOD(D28-C28,1)-N(E28)/1440),"")</f>
        <v/>
      </c>
      <c r="G28" s="11">
        <f>IF(ISNUMBER(F28),ROUND(F28*24,2),"")</f>
        <v/>
      </c>
      <c r="H28" s="12">
        <f>IF(ISNUMBER(G28),IF($B$2="OK",ROUND(G28*$B$1,2),"Check rate"),"")</f>
        <v/>
      </c>
      <c r="I28" s="10">
        <f>IF(AND(ISNUMBER(C28),ISNUMBER(D28)),D28-C28,"")</f>
        <v/>
      </c>
      <c r="J28" s="4">
        <f>IF(AND(C28="",D28=""),"",IF(NOT(AND(ISNUMBER(C28),ISNUMBER(D28),OR(E28="",ISNUMBER(E28)))),"Review: start, end or break is not a number",IF(MOD(D28-C28,1)=0,"Review: start equals end (0 or 24 hours?)",IF(E28&lt;0,"Review: break is negative",IF(ROUND(MOD(D28-C28,1)*1440-N(E28),4)&lt;0,"Review: break is longer than the shift","OK")))))</f>
        <v/>
      </c>
    </row>
    <row r="29">
      <c r="A29" s="6" t="n"/>
      <c r="B29" s="7" t="n"/>
      <c r="C29" s="8" t="n"/>
      <c r="D29" s="8" t="n"/>
      <c r="E29" s="9" t="n"/>
      <c r="F29" s="10">
        <f>IF(J29="OK",MAX(0,MOD(D29-C29,1)-N(E29)/1440),"")</f>
        <v/>
      </c>
      <c r="G29" s="11">
        <f>IF(ISNUMBER(F29),ROUND(F29*24,2),"")</f>
        <v/>
      </c>
      <c r="H29" s="12">
        <f>IF(ISNUMBER(G29),IF($B$2="OK",ROUND(G29*$B$1,2),"Check rate"),"")</f>
        <v/>
      </c>
      <c r="I29" s="10">
        <f>IF(AND(ISNUMBER(C29),ISNUMBER(D29)),D29-C29,"")</f>
        <v/>
      </c>
      <c r="J29" s="4">
        <f>IF(AND(C29="",D29=""),"",IF(NOT(AND(ISNUMBER(C29),ISNUMBER(D29),OR(E29="",ISNUMBER(E29)))),"Review: start, end or break is not a number",IF(MOD(D29-C29,1)=0,"Review: start equals end (0 or 24 hours?)",IF(E29&lt;0,"Review: break is negative",IF(ROUND(MOD(D29-C29,1)*1440-N(E29),4)&lt;0,"Review: break is longer than the shift","OK")))))</f>
        <v/>
      </c>
    </row>
    <row r="30">
      <c r="A30" s="6" t="n"/>
      <c r="B30" s="7" t="n"/>
      <c r="C30" s="8" t="n"/>
      <c r="D30" s="8" t="n"/>
      <c r="E30" s="9" t="n"/>
      <c r="F30" s="10">
        <f>IF(J30="OK",MAX(0,MOD(D30-C30,1)-N(E30)/1440),"")</f>
        <v/>
      </c>
      <c r="G30" s="11">
        <f>IF(ISNUMBER(F30),ROUND(F30*24,2),"")</f>
        <v/>
      </c>
      <c r="H30" s="12">
        <f>IF(ISNUMBER(G30),IF($B$2="OK",ROUND(G30*$B$1,2),"Check rate"),"")</f>
        <v/>
      </c>
      <c r="I30" s="10">
        <f>IF(AND(ISNUMBER(C30),ISNUMBER(D30)),D30-C30,"")</f>
        <v/>
      </c>
      <c r="J30" s="4">
        <f>IF(AND(C30="",D30=""),"",IF(NOT(AND(ISNUMBER(C30),ISNUMBER(D30),OR(E30="",ISNUMBER(E30)))),"Review: start, end or break is not a number",IF(MOD(D30-C30,1)=0,"Review: start equals end (0 or 24 hours?)",IF(E30&lt;0,"Review: break is negative",IF(ROUND(MOD(D30-C30,1)*1440-N(E30),4)&lt;0,"Review: break is longer than the shift","OK")))))</f>
        <v/>
      </c>
    </row>
    <row r="31">
      <c r="A31" s="6" t="n"/>
      <c r="B31" s="7" t="n"/>
      <c r="C31" s="8" t="n"/>
      <c r="D31" s="8" t="n"/>
      <c r="E31" s="9" t="n"/>
      <c r="F31" s="10">
        <f>IF(J31="OK",MAX(0,MOD(D31-C31,1)-N(E31)/1440),"")</f>
        <v/>
      </c>
      <c r="G31" s="11">
        <f>IF(ISNUMBER(F31),ROUND(F31*24,2),"")</f>
        <v/>
      </c>
      <c r="H31" s="12">
        <f>IF(ISNUMBER(G31),IF($B$2="OK",ROUND(G31*$B$1,2),"Check rate"),"")</f>
        <v/>
      </c>
      <c r="I31" s="10">
        <f>IF(AND(ISNUMBER(C31),ISNUMBER(D31)),D31-C31,"")</f>
        <v/>
      </c>
      <c r="J31" s="4">
        <f>IF(AND(C31="",D31=""),"",IF(NOT(AND(ISNUMBER(C31),ISNUMBER(D31),OR(E31="",ISNUMBER(E31)))),"Review: start, end or break is not a number",IF(MOD(D31-C31,1)=0,"Review: start equals end (0 or 24 hours?)",IF(E31&lt;0,"Review: break is negative",IF(ROUND(MOD(D31-C31,1)*1440-N(E31),4)&lt;0,"Review: break is longer than the shift","OK")))))</f>
        <v/>
      </c>
    </row>
    <row r="32">
      <c r="A32" s="6" t="n"/>
      <c r="B32" s="7" t="n"/>
      <c r="C32" s="8" t="n"/>
      <c r="D32" s="8" t="n"/>
      <c r="E32" s="9" t="n"/>
      <c r="F32" s="10">
        <f>IF(J32="OK",MAX(0,MOD(D32-C32,1)-N(E32)/1440),"")</f>
        <v/>
      </c>
      <c r="G32" s="11">
        <f>IF(ISNUMBER(F32),ROUND(F32*24,2),"")</f>
        <v/>
      </c>
      <c r="H32" s="12">
        <f>IF(ISNUMBER(G32),IF($B$2="OK",ROUND(G32*$B$1,2),"Check rate"),"")</f>
        <v/>
      </c>
      <c r="I32" s="10">
        <f>IF(AND(ISNUMBER(C32),ISNUMBER(D32)),D32-C32,"")</f>
        <v/>
      </c>
      <c r="J32" s="4">
        <f>IF(AND(C32="",D32=""),"",IF(NOT(AND(ISNUMBER(C32),ISNUMBER(D32),OR(E32="",ISNUMBER(E32)))),"Review: start, end or break is not a number",IF(MOD(D32-C32,1)=0,"Review: start equals end (0 or 24 hours?)",IF(E32&lt;0,"Review: break is negative",IF(ROUND(MOD(D32-C32,1)*1440-N(E32),4)&lt;0,"Review: break is longer than the shift","OK")))))</f>
        <v/>
      </c>
    </row>
    <row r="33">
      <c r="A33" s="6" t="n"/>
      <c r="B33" s="7" t="n"/>
      <c r="C33" s="8" t="n"/>
      <c r="D33" s="8" t="n"/>
      <c r="E33" s="9" t="n"/>
      <c r="F33" s="10">
        <f>IF(J33="OK",MAX(0,MOD(D33-C33,1)-N(E33)/1440),"")</f>
        <v/>
      </c>
      <c r="G33" s="11">
        <f>IF(ISNUMBER(F33),ROUND(F33*24,2),"")</f>
        <v/>
      </c>
      <c r="H33" s="12">
        <f>IF(ISNUMBER(G33),IF($B$2="OK",ROUND(G33*$B$1,2),"Check rate"),"")</f>
        <v/>
      </c>
      <c r="I33" s="10">
        <f>IF(AND(ISNUMBER(C33),ISNUMBER(D33)),D33-C33,"")</f>
        <v/>
      </c>
      <c r="J33" s="4">
        <f>IF(AND(C33="",D33=""),"",IF(NOT(AND(ISNUMBER(C33),ISNUMBER(D33),OR(E33="",ISNUMBER(E33)))),"Review: start, end or break is not a number",IF(MOD(D33-C33,1)=0,"Review: start equals end (0 or 24 hours?)",IF(E33&lt;0,"Review: break is negative",IF(ROUND(MOD(D33-C33,1)*1440-N(E33),4)&lt;0,"Review: break is longer than the shift","OK")))))</f>
        <v/>
      </c>
    </row>
    <row r="34">
      <c r="A34" s="6" t="n"/>
      <c r="B34" s="7" t="n"/>
      <c r="C34" s="8" t="n"/>
      <c r="D34" s="8" t="n"/>
      <c r="E34" s="9" t="n"/>
      <c r="F34" s="10">
        <f>IF(J34="OK",MAX(0,MOD(D34-C34,1)-N(E34)/1440),"")</f>
        <v/>
      </c>
      <c r="G34" s="11">
        <f>IF(ISNUMBER(F34),ROUND(F34*24,2),"")</f>
        <v/>
      </c>
      <c r="H34" s="12">
        <f>IF(ISNUMBER(G34),IF($B$2="OK",ROUND(G34*$B$1,2),"Check rate"),"")</f>
        <v/>
      </c>
      <c r="I34" s="10">
        <f>IF(AND(ISNUMBER(C34),ISNUMBER(D34)),D34-C34,"")</f>
        <v/>
      </c>
      <c r="J34" s="4">
        <f>IF(AND(C34="",D34=""),"",IF(NOT(AND(ISNUMBER(C34),ISNUMBER(D34),OR(E34="",ISNUMBER(E34)))),"Review: start, end or break is not a number",IF(MOD(D34-C34,1)=0,"Review: start equals end (0 or 24 hours?)",IF(E34&lt;0,"Review: break is negative",IF(ROUND(MOD(D34-C34,1)*1440-N(E34),4)&lt;0,"Review: break is longer than the shift","OK")))))</f>
        <v/>
      </c>
    </row>
    <row r="35">
      <c r="A35" s="6" t="n"/>
      <c r="B35" s="7" t="n"/>
      <c r="C35" s="8" t="n"/>
      <c r="D35" s="8" t="n"/>
      <c r="E35" s="9" t="n"/>
      <c r="F35" s="10">
        <f>IF(J35="OK",MAX(0,MOD(D35-C35,1)-N(E35)/1440),"")</f>
        <v/>
      </c>
      <c r="G35" s="11">
        <f>IF(ISNUMBER(F35),ROUND(F35*24,2),"")</f>
        <v/>
      </c>
      <c r="H35" s="12">
        <f>IF(ISNUMBER(G35),IF($B$2="OK",ROUND(G35*$B$1,2),"Check rate"),"")</f>
        <v/>
      </c>
      <c r="I35" s="10">
        <f>IF(AND(ISNUMBER(C35),ISNUMBER(D35)),D35-C35,"")</f>
        <v/>
      </c>
      <c r="J35" s="4">
        <f>IF(AND(C35="",D35=""),"",IF(NOT(AND(ISNUMBER(C35),ISNUMBER(D35),OR(E35="",ISNUMBER(E35)))),"Review: start, end or break is not a number",IF(MOD(D35-C35,1)=0,"Review: start equals end (0 or 24 hours?)",IF(E35&lt;0,"Review: break is negative",IF(ROUND(MOD(D35-C35,1)*1440-N(E35),4)&lt;0,"Review: break is longer than the shift","OK")))))</f>
        <v/>
      </c>
    </row>
    <row r="36">
      <c r="A36" s="6" t="n"/>
      <c r="B36" s="7" t="n"/>
      <c r="C36" s="8" t="n"/>
      <c r="D36" s="8" t="n"/>
      <c r="E36" s="9" t="n"/>
      <c r="F36" s="10">
        <f>IF(J36="OK",MAX(0,MOD(D36-C36,1)-N(E36)/1440),"")</f>
        <v/>
      </c>
      <c r="G36" s="11">
        <f>IF(ISNUMBER(F36),ROUND(F36*24,2),"")</f>
        <v/>
      </c>
      <c r="H36" s="12">
        <f>IF(ISNUMBER(G36),IF($B$2="OK",ROUND(G36*$B$1,2),"Check rate"),"")</f>
        <v/>
      </c>
      <c r="I36" s="10">
        <f>IF(AND(ISNUMBER(C36),ISNUMBER(D36)),D36-C36,"")</f>
        <v/>
      </c>
      <c r="J36" s="4">
        <f>IF(AND(C36="",D36=""),"",IF(NOT(AND(ISNUMBER(C36),ISNUMBER(D36),OR(E36="",ISNUMBER(E36)))),"Review: start, end or break is not a number",IF(MOD(D36-C36,1)=0,"Review: start equals end (0 or 24 hours?)",IF(E36&lt;0,"Review: break is negative",IF(ROUND(MOD(D36-C36,1)*1440-N(E36),4)&lt;0,"Review: break is longer than the shift","OK")))))</f>
        <v/>
      </c>
    </row>
    <row r="37">
      <c r="A37" s="6" t="n"/>
      <c r="B37" s="7" t="n"/>
      <c r="C37" s="8" t="n"/>
      <c r="D37" s="8" t="n"/>
      <c r="E37" s="9" t="n"/>
      <c r="F37" s="10">
        <f>IF(J37="OK",MAX(0,MOD(D37-C37,1)-N(E37)/1440),"")</f>
        <v/>
      </c>
      <c r="G37" s="11">
        <f>IF(ISNUMBER(F37),ROUND(F37*24,2),"")</f>
        <v/>
      </c>
      <c r="H37" s="12">
        <f>IF(ISNUMBER(G37),IF($B$2="OK",ROUND(G37*$B$1,2),"Check rate"),"")</f>
        <v/>
      </c>
      <c r="I37" s="10">
        <f>IF(AND(ISNUMBER(C37),ISNUMBER(D37)),D37-C37,"")</f>
        <v/>
      </c>
      <c r="J37" s="4">
        <f>IF(AND(C37="",D37=""),"",IF(NOT(AND(ISNUMBER(C37),ISNUMBER(D37),OR(E37="",ISNUMBER(E37)))),"Review: start, end or break is not a number",IF(MOD(D37-C37,1)=0,"Review: start equals end (0 or 24 hours?)",IF(E37&lt;0,"Review: break is negative",IF(ROUND(MOD(D37-C37,1)*1440-N(E37),4)&lt;0,"Review: break is longer than the shift","OK")))))</f>
        <v/>
      </c>
    </row>
    <row r="38">
      <c r="A38" s="6" t="n"/>
      <c r="B38" s="7" t="n"/>
      <c r="C38" s="8" t="n"/>
      <c r="D38" s="8" t="n"/>
      <c r="E38" s="9" t="n"/>
      <c r="F38" s="10">
        <f>IF(J38="OK",MAX(0,MOD(D38-C38,1)-N(E38)/1440),"")</f>
        <v/>
      </c>
      <c r="G38" s="11">
        <f>IF(ISNUMBER(F38),ROUND(F38*24,2),"")</f>
        <v/>
      </c>
      <c r="H38" s="12">
        <f>IF(ISNUMBER(G38),IF($B$2="OK",ROUND(G38*$B$1,2),"Check rate"),"")</f>
        <v/>
      </c>
      <c r="I38" s="10">
        <f>IF(AND(ISNUMBER(C38),ISNUMBER(D38)),D38-C38,"")</f>
        <v/>
      </c>
      <c r="J38" s="4">
        <f>IF(AND(C38="",D38=""),"",IF(NOT(AND(ISNUMBER(C38),ISNUMBER(D38),OR(E38="",ISNUMBER(E38)))),"Review: start, end or break is not a number",IF(MOD(D38-C38,1)=0,"Review: start equals end (0 or 24 hours?)",IF(E38&lt;0,"Review: break is negative",IF(ROUND(MOD(D38-C38,1)*1440-N(E38),4)&lt;0,"Review: break is longer than the shift","OK")))))</f>
        <v/>
      </c>
    </row>
    <row r="39">
      <c r="A39" s="6" t="n"/>
      <c r="B39" s="7" t="n"/>
      <c r="C39" s="8" t="n"/>
      <c r="D39" s="8" t="n"/>
      <c r="E39" s="9" t="n"/>
      <c r="F39" s="10">
        <f>IF(J39="OK",MAX(0,MOD(D39-C39,1)-N(E39)/1440),"")</f>
        <v/>
      </c>
      <c r="G39" s="11">
        <f>IF(ISNUMBER(F39),ROUND(F39*24,2),"")</f>
        <v/>
      </c>
      <c r="H39" s="12">
        <f>IF(ISNUMBER(G39),IF($B$2="OK",ROUND(G39*$B$1,2),"Check rate"),"")</f>
        <v/>
      </c>
      <c r="I39" s="10">
        <f>IF(AND(ISNUMBER(C39),ISNUMBER(D39)),D39-C39,"")</f>
        <v/>
      </c>
      <c r="J39" s="4">
        <f>IF(AND(C39="",D39=""),"",IF(NOT(AND(ISNUMBER(C39),ISNUMBER(D39),OR(E39="",ISNUMBER(E39)))),"Review: start, end or break is not a number",IF(MOD(D39-C39,1)=0,"Review: start equals end (0 or 24 hours?)",IF(E39&lt;0,"Review: break is negative",IF(ROUND(MOD(D39-C39,1)*1440-N(E39),4)&lt;0,"Review: break is longer than the shift","OK")))))</f>
        <v/>
      </c>
    </row>
    <row r="40">
      <c r="A40" s="6" t="n"/>
      <c r="B40" s="7" t="n"/>
      <c r="C40" s="8" t="n"/>
      <c r="D40" s="8" t="n"/>
      <c r="E40" s="9" t="n"/>
      <c r="F40" s="10">
        <f>IF(J40="OK",MAX(0,MOD(D40-C40,1)-N(E40)/1440),"")</f>
        <v/>
      </c>
      <c r="G40" s="11">
        <f>IF(ISNUMBER(F40),ROUND(F40*24,2),"")</f>
        <v/>
      </c>
      <c r="H40" s="12">
        <f>IF(ISNUMBER(G40),IF($B$2="OK",ROUND(G40*$B$1,2),"Check rate"),"")</f>
        <v/>
      </c>
      <c r="I40" s="10">
        <f>IF(AND(ISNUMBER(C40),ISNUMBER(D40)),D40-C40,"")</f>
        <v/>
      </c>
      <c r="J40" s="4">
        <f>IF(AND(C40="",D40=""),"",IF(NOT(AND(ISNUMBER(C40),ISNUMBER(D40),OR(E40="",ISNUMBER(E40)))),"Review: start, end or break is not a number",IF(MOD(D40-C40,1)=0,"Review: start equals end (0 or 24 hours?)",IF(E40&lt;0,"Review: break is negative",IF(ROUND(MOD(D40-C40,1)*1440-N(E40),4)&lt;0,"Review: break is longer than the shift","OK")))))</f>
        <v/>
      </c>
    </row>
    <row r="41">
      <c r="A41" s="6" t="n"/>
      <c r="B41" s="7" t="n"/>
      <c r="C41" s="8" t="n"/>
      <c r="D41" s="8" t="n"/>
      <c r="E41" s="9" t="n"/>
      <c r="F41" s="10">
        <f>IF(J41="OK",MAX(0,MOD(D41-C41,1)-N(E41)/1440),"")</f>
        <v/>
      </c>
      <c r="G41" s="11">
        <f>IF(ISNUMBER(F41),ROUND(F41*24,2),"")</f>
        <v/>
      </c>
      <c r="H41" s="12">
        <f>IF(ISNUMBER(G41),IF($B$2="OK",ROUND(G41*$B$1,2),"Check rate"),"")</f>
        <v/>
      </c>
      <c r="I41" s="10">
        <f>IF(AND(ISNUMBER(C41),ISNUMBER(D41)),D41-C41,"")</f>
        <v/>
      </c>
      <c r="J41" s="4">
        <f>IF(AND(C41="",D41=""),"",IF(NOT(AND(ISNUMBER(C41),ISNUMBER(D41),OR(E41="",ISNUMBER(E41)))),"Review: start, end or break is not a number",IF(MOD(D41-C41,1)=0,"Review: start equals end (0 or 24 hours?)",IF(E41&lt;0,"Review: break is negative",IF(ROUND(MOD(D41-C41,1)*1440-N(E41),4)&lt;0,"Review: break is longer than the shift","OK")))))</f>
        <v/>
      </c>
    </row>
    <row r="42">
      <c r="A42" s="6" t="n"/>
      <c r="B42" s="7" t="n"/>
      <c r="C42" s="8" t="n"/>
      <c r="D42" s="8" t="n"/>
      <c r="E42" s="9" t="n"/>
      <c r="F42" s="10">
        <f>IF(J42="OK",MAX(0,MOD(D42-C42,1)-N(E42)/1440),"")</f>
        <v/>
      </c>
      <c r="G42" s="11">
        <f>IF(ISNUMBER(F42),ROUND(F42*24,2),"")</f>
        <v/>
      </c>
      <c r="H42" s="12">
        <f>IF(ISNUMBER(G42),IF($B$2="OK",ROUND(G42*$B$1,2),"Check rate"),"")</f>
        <v/>
      </c>
      <c r="I42" s="10">
        <f>IF(AND(ISNUMBER(C42),ISNUMBER(D42)),D42-C42,"")</f>
        <v/>
      </c>
      <c r="J42" s="4">
        <f>IF(AND(C42="",D42=""),"",IF(NOT(AND(ISNUMBER(C42),ISNUMBER(D42),OR(E42="",ISNUMBER(E42)))),"Review: start, end or break is not a number",IF(MOD(D42-C42,1)=0,"Review: start equals end (0 or 24 hours?)",IF(E42&lt;0,"Review: break is negative",IF(ROUND(MOD(D42-C42,1)*1440-N(E42),4)&lt;0,"Review: break is longer than the shift","OK")))))</f>
        <v/>
      </c>
    </row>
    <row r="43">
      <c r="A43" s="6" t="n"/>
      <c r="B43" s="7" t="n"/>
      <c r="C43" s="8" t="n"/>
      <c r="D43" s="8" t="n"/>
      <c r="E43" s="9" t="n"/>
      <c r="F43" s="10">
        <f>IF(J43="OK",MAX(0,MOD(D43-C43,1)-N(E43)/1440),"")</f>
        <v/>
      </c>
      <c r="G43" s="11">
        <f>IF(ISNUMBER(F43),ROUND(F43*24,2),"")</f>
        <v/>
      </c>
      <c r="H43" s="12">
        <f>IF(ISNUMBER(G43),IF($B$2="OK",ROUND(G43*$B$1,2),"Check rate"),"")</f>
        <v/>
      </c>
      <c r="I43" s="10">
        <f>IF(AND(ISNUMBER(C43),ISNUMBER(D43)),D43-C43,"")</f>
        <v/>
      </c>
      <c r="J43" s="4">
        <f>IF(AND(C43="",D43=""),"",IF(NOT(AND(ISNUMBER(C43),ISNUMBER(D43),OR(E43="",ISNUMBER(E43)))),"Review: start, end or break is not a number",IF(MOD(D43-C43,1)=0,"Review: start equals end (0 or 24 hours?)",IF(E43&lt;0,"Review: break is negative",IF(ROUND(MOD(D43-C43,1)*1440-N(E43),4)&lt;0,"Review: break is longer than the shift","OK")))))</f>
        <v/>
      </c>
    </row>
    <row r="44">
      <c r="A44" s="6" t="n"/>
      <c r="B44" s="7" t="n"/>
      <c r="C44" s="8" t="n"/>
      <c r="D44" s="8" t="n"/>
      <c r="E44" s="9" t="n"/>
      <c r="F44" s="10">
        <f>IF(J44="OK",MAX(0,MOD(D44-C44,1)-N(E44)/1440),"")</f>
        <v/>
      </c>
      <c r="G44" s="11">
        <f>IF(ISNUMBER(F44),ROUND(F44*24,2),"")</f>
        <v/>
      </c>
      <c r="H44" s="12">
        <f>IF(ISNUMBER(G44),IF($B$2="OK",ROUND(G44*$B$1,2),"Check rate"),"")</f>
        <v/>
      </c>
      <c r="I44" s="10">
        <f>IF(AND(ISNUMBER(C44),ISNUMBER(D44)),D44-C44,"")</f>
        <v/>
      </c>
      <c r="J44" s="4">
        <f>IF(AND(C44="",D44=""),"",IF(NOT(AND(ISNUMBER(C44),ISNUMBER(D44),OR(E44="",ISNUMBER(E44)))),"Review: start, end or break is not a number",IF(MOD(D44-C44,1)=0,"Review: start equals end (0 or 24 hours?)",IF(E44&lt;0,"Review: break is negative",IF(ROUND(MOD(D44-C44,1)*1440-N(E44),4)&lt;0,"Review: break is longer than the shift","OK")))))</f>
        <v/>
      </c>
    </row>
    <row r="45">
      <c r="A45" s="6" t="n"/>
      <c r="B45" s="7" t="n"/>
      <c r="C45" s="8" t="n"/>
      <c r="D45" s="8" t="n"/>
      <c r="E45" s="9" t="n"/>
      <c r="F45" s="10">
        <f>IF(J45="OK",MAX(0,MOD(D45-C45,1)-N(E45)/1440),"")</f>
        <v/>
      </c>
      <c r="G45" s="11">
        <f>IF(ISNUMBER(F45),ROUND(F45*24,2),"")</f>
        <v/>
      </c>
      <c r="H45" s="12">
        <f>IF(ISNUMBER(G45),IF($B$2="OK",ROUND(G45*$B$1,2),"Check rate"),"")</f>
        <v/>
      </c>
      <c r="I45" s="10">
        <f>IF(AND(ISNUMBER(C45),ISNUMBER(D45)),D45-C45,"")</f>
        <v/>
      </c>
      <c r="J45" s="4">
        <f>IF(AND(C45="",D45=""),"",IF(NOT(AND(ISNUMBER(C45),ISNUMBER(D45),OR(E45="",ISNUMBER(E45)))),"Review: start, end or break is not a number",IF(MOD(D45-C45,1)=0,"Review: start equals end (0 or 24 hours?)",IF(E45&lt;0,"Review: break is negative",IF(ROUND(MOD(D45-C45,1)*1440-N(E45),4)&lt;0,"Review: break is longer than the shift","OK")))))</f>
        <v/>
      </c>
    </row>
    <row r="46">
      <c r="A46" s="6" t="n"/>
      <c r="B46" s="7" t="n"/>
      <c r="C46" s="8" t="n"/>
      <c r="D46" s="8" t="n"/>
      <c r="E46" s="9" t="n"/>
      <c r="F46" s="10">
        <f>IF(J46="OK",MAX(0,MOD(D46-C46,1)-N(E46)/1440),"")</f>
        <v/>
      </c>
      <c r="G46" s="11">
        <f>IF(ISNUMBER(F46),ROUND(F46*24,2),"")</f>
        <v/>
      </c>
      <c r="H46" s="12">
        <f>IF(ISNUMBER(G46),IF($B$2="OK",ROUND(G46*$B$1,2),"Check rate"),"")</f>
        <v/>
      </c>
      <c r="I46" s="10">
        <f>IF(AND(ISNUMBER(C46),ISNUMBER(D46)),D46-C46,"")</f>
        <v/>
      </c>
      <c r="J46" s="4">
        <f>IF(AND(C46="",D46=""),"",IF(NOT(AND(ISNUMBER(C46),ISNUMBER(D46),OR(E46="",ISNUMBER(E46)))),"Review: start, end or break is not a number",IF(MOD(D46-C46,1)=0,"Review: start equals end (0 or 24 hours?)",IF(E46&lt;0,"Review: break is negative",IF(ROUND(MOD(D46-C46,1)*1440-N(E46),4)&lt;0,"Review: break is longer than the shift","OK")))))</f>
        <v/>
      </c>
    </row>
    <row r="47">
      <c r="A47" s="6" t="n"/>
      <c r="B47" s="7" t="n"/>
      <c r="C47" s="8" t="n"/>
      <c r="D47" s="8" t="n"/>
      <c r="E47" s="9" t="n"/>
      <c r="F47" s="10">
        <f>IF(J47="OK",MAX(0,MOD(D47-C47,1)-N(E47)/1440),"")</f>
        <v/>
      </c>
      <c r="G47" s="11">
        <f>IF(ISNUMBER(F47),ROUND(F47*24,2),"")</f>
        <v/>
      </c>
      <c r="H47" s="12">
        <f>IF(ISNUMBER(G47),IF($B$2="OK",ROUND(G47*$B$1,2),"Check rate"),"")</f>
        <v/>
      </c>
      <c r="I47" s="10">
        <f>IF(AND(ISNUMBER(C47),ISNUMBER(D47)),D47-C47,"")</f>
        <v/>
      </c>
      <c r="J47" s="4">
        <f>IF(AND(C47="",D47=""),"",IF(NOT(AND(ISNUMBER(C47),ISNUMBER(D47),OR(E47="",ISNUMBER(E47)))),"Review: start, end or break is not a number",IF(MOD(D47-C47,1)=0,"Review: start equals end (0 or 24 hours?)",IF(E47&lt;0,"Review: break is negative",IF(ROUND(MOD(D47-C47,1)*1440-N(E47),4)&lt;0,"Review: break is longer than the shift","OK")))))</f>
        <v/>
      </c>
    </row>
    <row r="48">
      <c r="A48" s="6" t="n"/>
      <c r="B48" s="7" t="n"/>
      <c r="C48" s="8" t="n"/>
      <c r="D48" s="8" t="n"/>
      <c r="E48" s="9" t="n"/>
      <c r="F48" s="10">
        <f>IF(J48="OK",MAX(0,MOD(D48-C48,1)-N(E48)/1440),"")</f>
        <v/>
      </c>
      <c r="G48" s="11">
        <f>IF(ISNUMBER(F48),ROUND(F48*24,2),"")</f>
        <v/>
      </c>
      <c r="H48" s="12">
        <f>IF(ISNUMBER(G48),IF($B$2="OK",ROUND(G48*$B$1,2),"Check rate"),"")</f>
        <v/>
      </c>
      <c r="I48" s="10">
        <f>IF(AND(ISNUMBER(C48),ISNUMBER(D48)),D48-C48,"")</f>
        <v/>
      </c>
      <c r="J48" s="4">
        <f>IF(AND(C48="",D48=""),"",IF(NOT(AND(ISNUMBER(C48),ISNUMBER(D48),OR(E48="",ISNUMBER(E48)))),"Review: start, end or break is not a number",IF(MOD(D48-C48,1)=0,"Review: start equals end (0 or 24 hours?)",IF(E48&lt;0,"Review: break is negative",IF(ROUND(MOD(D48-C48,1)*1440-N(E48),4)&lt;0,"Review: break is longer than the shift","OK")))))</f>
        <v/>
      </c>
    </row>
    <row r="49">
      <c r="A49" s="6" t="n"/>
      <c r="B49" s="7" t="n"/>
      <c r="C49" s="8" t="n"/>
      <c r="D49" s="8" t="n"/>
      <c r="E49" s="9" t="n"/>
      <c r="F49" s="10">
        <f>IF(J49="OK",MAX(0,MOD(D49-C49,1)-N(E49)/1440),"")</f>
        <v/>
      </c>
      <c r="G49" s="11">
        <f>IF(ISNUMBER(F49),ROUND(F49*24,2),"")</f>
        <v/>
      </c>
      <c r="H49" s="12">
        <f>IF(ISNUMBER(G49),IF($B$2="OK",ROUND(G49*$B$1,2),"Check rate"),"")</f>
        <v/>
      </c>
      <c r="I49" s="10">
        <f>IF(AND(ISNUMBER(C49),ISNUMBER(D49)),D49-C49,"")</f>
        <v/>
      </c>
      <c r="J49" s="4">
        <f>IF(AND(C49="",D49=""),"",IF(NOT(AND(ISNUMBER(C49),ISNUMBER(D49),OR(E49="",ISNUMBER(E49)))),"Review: start, end or break is not a number",IF(MOD(D49-C49,1)=0,"Review: start equals end (0 or 24 hours?)",IF(E49&lt;0,"Review: break is negative",IF(ROUND(MOD(D49-C49,1)*1440-N(E49),4)&lt;0,"Review: break is longer than the shift","OK")))))</f>
        <v/>
      </c>
    </row>
    <row r="50">
      <c r="A50" s="6" t="n"/>
      <c r="B50" s="7" t="n"/>
      <c r="C50" s="8" t="n"/>
      <c r="D50" s="8" t="n"/>
      <c r="E50" s="9" t="n"/>
      <c r="F50" s="10">
        <f>IF(J50="OK",MAX(0,MOD(D50-C50,1)-N(E50)/1440),"")</f>
        <v/>
      </c>
      <c r="G50" s="11">
        <f>IF(ISNUMBER(F50),ROUND(F50*24,2),"")</f>
        <v/>
      </c>
      <c r="H50" s="12">
        <f>IF(ISNUMBER(G50),IF($B$2="OK",ROUND(G50*$B$1,2),"Check rate"),"")</f>
        <v/>
      </c>
      <c r="I50" s="10">
        <f>IF(AND(ISNUMBER(C50),ISNUMBER(D50)),D50-C50,"")</f>
        <v/>
      </c>
      <c r="J50" s="4">
        <f>IF(AND(C50="",D50=""),"",IF(NOT(AND(ISNUMBER(C50),ISNUMBER(D50),OR(E50="",ISNUMBER(E50)))),"Review: start, end or break is not a number",IF(MOD(D50-C50,1)=0,"Review: start equals end (0 or 24 hours?)",IF(E50&lt;0,"Review: break is negative",IF(ROUND(MOD(D50-C50,1)*1440-N(E50),4)&lt;0,"Review: break is longer than the shift","OK")))))</f>
        <v/>
      </c>
    </row>
    <row r="51">
      <c r="A51" s="6" t="n"/>
      <c r="B51" s="7" t="n"/>
      <c r="C51" s="8" t="n"/>
      <c r="D51" s="8" t="n"/>
      <c r="E51" s="9" t="n"/>
      <c r="F51" s="10">
        <f>IF(J51="OK",MAX(0,MOD(D51-C51,1)-N(E51)/1440),"")</f>
        <v/>
      </c>
      <c r="G51" s="11">
        <f>IF(ISNUMBER(F51),ROUND(F51*24,2),"")</f>
        <v/>
      </c>
      <c r="H51" s="12">
        <f>IF(ISNUMBER(G51),IF($B$2="OK",ROUND(G51*$B$1,2),"Check rate"),"")</f>
        <v/>
      </c>
      <c r="I51" s="10">
        <f>IF(AND(ISNUMBER(C51),ISNUMBER(D51)),D51-C51,"")</f>
        <v/>
      </c>
      <c r="J51" s="4">
        <f>IF(AND(C51="",D51=""),"",IF(NOT(AND(ISNUMBER(C51),ISNUMBER(D51),OR(E51="",ISNUMBER(E51)))),"Review: start, end or break is not a number",IF(MOD(D51-C51,1)=0,"Review: start equals end (0 or 24 hours?)",IF(E51&lt;0,"Review: break is negative",IF(ROUND(MOD(D51-C51,1)*1440-N(E51),4)&lt;0,"Review: break is longer than the shift","OK")))))</f>
        <v/>
      </c>
    </row>
    <row r="52">
      <c r="A52" s="6" t="n"/>
      <c r="B52" s="7" t="n"/>
      <c r="C52" s="8" t="n"/>
      <c r="D52" s="8" t="n"/>
      <c r="E52" s="9" t="n"/>
      <c r="F52" s="10">
        <f>IF(J52="OK",MAX(0,MOD(D52-C52,1)-N(E52)/1440),"")</f>
        <v/>
      </c>
      <c r="G52" s="11">
        <f>IF(ISNUMBER(F52),ROUND(F52*24,2),"")</f>
        <v/>
      </c>
      <c r="H52" s="12">
        <f>IF(ISNUMBER(G52),IF($B$2="OK",ROUND(G52*$B$1,2),"Check rate"),"")</f>
        <v/>
      </c>
      <c r="I52" s="10">
        <f>IF(AND(ISNUMBER(C52),ISNUMBER(D52)),D52-C52,"")</f>
        <v/>
      </c>
      <c r="J52" s="4">
        <f>IF(AND(C52="",D52=""),"",IF(NOT(AND(ISNUMBER(C52),ISNUMBER(D52),OR(E52="",ISNUMBER(E52)))),"Review: start, end or break is not a number",IF(MOD(D52-C52,1)=0,"Review: start equals end (0 or 24 hours?)",IF(E52&lt;0,"Review: break is negative",IF(ROUND(MOD(D52-C52,1)*1440-N(E52),4)&lt;0,"Review: break is longer than the shift","OK")))))</f>
        <v/>
      </c>
    </row>
    <row r="53">
      <c r="A53" s="6" t="n"/>
      <c r="B53" s="7" t="n"/>
      <c r="C53" s="8" t="n"/>
      <c r="D53" s="8" t="n"/>
      <c r="E53" s="9" t="n"/>
      <c r="F53" s="10">
        <f>IF(J53="OK",MAX(0,MOD(D53-C53,1)-N(E53)/1440),"")</f>
        <v/>
      </c>
      <c r="G53" s="11">
        <f>IF(ISNUMBER(F53),ROUND(F53*24,2),"")</f>
        <v/>
      </c>
      <c r="H53" s="12">
        <f>IF(ISNUMBER(G53),IF($B$2="OK",ROUND(G53*$B$1,2),"Check rate"),"")</f>
        <v/>
      </c>
      <c r="I53" s="10">
        <f>IF(AND(ISNUMBER(C53),ISNUMBER(D53)),D53-C53,"")</f>
        <v/>
      </c>
      <c r="J53" s="4">
        <f>IF(AND(C53="",D53=""),"",IF(NOT(AND(ISNUMBER(C53),ISNUMBER(D53),OR(E53="",ISNUMBER(E53)))),"Review: start, end or break is not a number",IF(MOD(D53-C53,1)=0,"Review: start equals end (0 or 24 hours?)",IF(E53&lt;0,"Review: break is negative",IF(ROUND(MOD(D53-C53,1)*1440-N(E53),4)&lt;0,"Review: break is longer than the shift","OK")))))</f>
        <v/>
      </c>
    </row>
    <row r="54">
      <c r="A54" s="6" t="n"/>
      <c r="B54" s="7" t="n"/>
      <c r="C54" s="8" t="n"/>
      <c r="D54" s="8" t="n"/>
      <c r="E54" s="9" t="n"/>
      <c r="F54" s="10">
        <f>IF(J54="OK",MAX(0,MOD(D54-C54,1)-N(E54)/1440),"")</f>
        <v/>
      </c>
      <c r="G54" s="11">
        <f>IF(ISNUMBER(F54),ROUND(F54*24,2),"")</f>
        <v/>
      </c>
      <c r="H54" s="12">
        <f>IF(ISNUMBER(G54),IF($B$2="OK",ROUND(G54*$B$1,2),"Check rate"),"")</f>
        <v/>
      </c>
      <c r="I54" s="10">
        <f>IF(AND(ISNUMBER(C54),ISNUMBER(D54)),D54-C54,"")</f>
        <v/>
      </c>
      <c r="J54" s="4">
        <f>IF(AND(C54="",D54=""),"",IF(NOT(AND(ISNUMBER(C54),ISNUMBER(D54),OR(E54="",ISNUMBER(E54)))),"Review: start, end or break is not a number",IF(MOD(D54-C54,1)=0,"Review: start equals end (0 or 24 hours?)",IF(E54&lt;0,"Review: break is negative",IF(ROUND(MOD(D54-C54,1)*1440-N(E54),4)&lt;0,"Review: break is longer than the shift","OK")))))</f>
        <v/>
      </c>
    </row>
    <row r="55">
      <c r="A55" s="6" t="n"/>
      <c r="B55" s="7" t="n"/>
      <c r="C55" s="8" t="n"/>
      <c r="D55" s="8" t="n"/>
      <c r="E55" s="9" t="n"/>
      <c r="F55" s="10">
        <f>IF(J55="OK",MAX(0,MOD(D55-C55,1)-N(E55)/1440),"")</f>
        <v/>
      </c>
      <c r="G55" s="11">
        <f>IF(ISNUMBER(F55),ROUND(F55*24,2),"")</f>
        <v/>
      </c>
      <c r="H55" s="12">
        <f>IF(ISNUMBER(G55),IF($B$2="OK",ROUND(G55*$B$1,2),"Check rate"),"")</f>
        <v/>
      </c>
      <c r="I55" s="10">
        <f>IF(AND(ISNUMBER(C55),ISNUMBER(D55)),D55-C55,"")</f>
        <v/>
      </c>
      <c r="J55" s="4">
        <f>IF(AND(C55="",D55=""),"",IF(NOT(AND(ISNUMBER(C55),ISNUMBER(D55),OR(E55="",ISNUMBER(E55)))),"Review: start, end or break is not a number",IF(MOD(D55-C55,1)=0,"Review: start equals end (0 or 24 hours?)",IF(E55&lt;0,"Review: break is negative",IF(ROUND(MOD(D55-C55,1)*1440-N(E55),4)&lt;0,"Review: break is longer than the shift","OK")))))</f>
        <v/>
      </c>
    </row>
    <row r="56">
      <c r="A56" s="6" t="n"/>
      <c r="B56" s="7" t="n"/>
      <c r="C56" s="8" t="n"/>
      <c r="D56" s="8" t="n"/>
      <c r="E56" s="9" t="n"/>
      <c r="F56" s="10">
        <f>IF(J56="OK",MAX(0,MOD(D56-C56,1)-N(E56)/1440),"")</f>
        <v/>
      </c>
      <c r="G56" s="11">
        <f>IF(ISNUMBER(F56),ROUND(F56*24,2),"")</f>
        <v/>
      </c>
      <c r="H56" s="12">
        <f>IF(ISNUMBER(G56),IF($B$2="OK",ROUND(G56*$B$1,2),"Check rate"),"")</f>
        <v/>
      </c>
      <c r="I56" s="10">
        <f>IF(AND(ISNUMBER(C56),ISNUMBER(D56)),D56-C56,"")</f>
        <v/>
      </c>
      <c r="J56" s="4">
        <f>IF(AND(C56="",D56=""),"",IF(NOT(AND(ISNUMBER(C56),ISNUMBER(D56),OR(E56="",ISNUMBER(E56)))),"Review: start, end or break is not a number",IF(MOD(D56-C56,1)=0,"Review: start equals end (0 or 24 hours?)",IF(E56&lt;0,"Review: break is negative",IF(ROUND(MOD(D56-C56,1)*1440-N(E56),4)&lt;0,"Review: break is longer than the shift","OK")))))</f>
        <v/>
      </c>
    </row>
    <row r="57">
      <c r="A57" s="6" t="n"/>
      <c r="B57" s="7" t="n"/>
      <c r="C57" s="8" t="n"/>
      <c r="D57" s="8" t="n"/>
      <c r="E57" s="9" t="n"/>
      <c r="F57" s="10">
        <f>IF(J57="OK",MAX(0,MOD(D57-C57,1)-N(E57)/1440),"")</f>
        <v/>
      </c>
      <c r="G57" s="11">
        <f>IF(ISNUMBER(F57),ROUND(F57*24,2),"")</f>
        <v/>
      </c>
      <c r="H57" s="12">
        <f>IF(ISNUMBER(G57),IF($B$2="OK",ROUND(G57*$B$1,2),"Check rate"),"")</f>
        <v/>
      </c>
      <c r="I57" s="10">
        <f>IF(AND(ISNUMBER(C57),ISNUMBER(D57)),D57-C57,"")</f>
        <v/>
      </c>
      <c r="J57" s="4">
        <f>IF(AND(C57="",D57=""),"",IF(NOT(AND(ISNUMBER(C57),ISNUMBER(D57),OR(E57="",ISNUMBER(E57)))),"Review: start, end or break is not a number",IF(MOD(D57-C57,1)=0,"Review: start equals end (0 or 24 hours?)",IF(E57&lt;0,"Review: break is negative",IF(ROUND(MOD(D57-C57,1)*1440-N(E57),4)&lt;0,"Review: break is longer than the shift","OK")))))</f>
        <v/>
      </c>
    </row>
    <row r="58">
      <c r="A58" s="6" t="n"/>
      <c r="B58" s="7" t="n"/>
      <c r="C58" s="8" t="n"/>
      <c r="D58" s="8" t="n"/>
      <c r="E58" s="9" t="n"/>
      <c r="F58" s="10">
        <f>IF(J58="OK",MAX(0,MOD(D58-C58,1)-N(E58)/1440),"")</f>
        <v/>
      </c>
      <c r="G58" s="11">
        <f>IF(ISNUMBER(F58),ROUND(F58*24,2),"")</f>
        <v/>
      </c>
      <c r="H58" s="12">
        <f>IF(ISNUMBER(G58),IF($B$2="OK",ROUND(G58*$B$1,2),"Check rate"),"")</f>
        <v/>
      </c>
      <c r="I58" s="10">
        <f>IF(AND(ISNUMBER(C58),ISNUMBER(D58)),D58-C58,"")</f>
        <v/>
      </c>
      <c r="J58" s="4">
        <f>IF(AND(C58="",D58=""),"",IF(NOT(AND(ISNUMBER(C58),ISNUMBER(D58),OR(E58="",ISNUMBER(E58)))),"Review: start, end or break is not a number",IF(MOD(D58-C58,1)=0,"Review: start equals end (0 or 24 hours?)",IF(E58&lt;0,"Review: break is negative",IF(ROUND(MOD(D58-C58,1)*1440-N(E58),4)&lt;0,"Review: break is longer than the shift","OK")))))</f>
        <v/>
      </c>
    </row>
    <row r="59">
      <c r="A59" s="6" t="n"/>
      <c r="B59" s="7" t="n"/>
      <c r="C59" s="8" t="n"/>
      <c r="D59" s="8" t="n"/>
      <c r="E59" s="9" t="n"/>
      <c r="F59" s="10">
        <f>IF(J59="OK",MAX(0,MOD(D59-C59,1)-N(E59)/1440),"")</f>
        <v/>
      </c>
      <c r="G59" s="11">
        <f>IF(ISNUMBER(F59),ROUND(F59*24,2),"")</f>
        <v/>
      </c>
      <c r="H59" s="12">
        <f>IF(ISNUMBER(G59),IF($B$2="OK",ROUND(G59*$B$1,2),"Check rate"),"")</f>
        <v/>
      </c>
      <c r="I59" s="10">
        <f>IF(AND(ISNUMBER(C59),ISNUMBER(D59)),D59-C59,"")</f>
        <v/>
      </c>
      <c r="J59" s="4">
        <f>IF(AND(C59="",D59=""),"",IF(NOT(AND(ISNUMBER(C59),ISNUMBER(D59),OR(E59="",ISNUMBER(E59)))),"Review: start, end or break is not a number",IF(MOD(D59-C59,1)=0,"Review: start equals end (0 or 24 hours?)",IF(E59&lt;0,"Review: break is negative",IF(ROUND(MOD(D59-C59,1)*1440-N(E59),4)&lt;0,"Review: break is longer than the shift","OK")))))</f>
        <v/>
      </c>
    </row>
    <row r="60">
      <c r="A60" s="6" t="n"/>
      <c r="B60" s="7" t="n"/>
      <c r="C60" s="8" t="n"/>
      <c r="D60" s="8" t="n"/>
      <c r="E60" s="9" t="n"/>
      <c r="F60" s="10">
        <f>IF(J60="OK",MAX(0,MOD(D60-C60,1)-N(E60)/1440),"")</f>
        <v/>
      </c>
      <c r="G60" s="11">
        <f>IF(ISNUMBER(F60),ROUND(F60*24,2),"")</f>
        <v/>
      </c>
      <c r="H60" s="12">
        <f>IF(ISNUMBER(G60),IF($B$2="OK",ROUND(G60*$B$1,2),"Check rate"),"")</f>
        <v/>
      </c>
      <c r="I60" s="10">
        <f>IF(AND(ISNUMBER(C60),ISNUMBER(D60)),D60-C60,"")</f>
        <v/>
      </c>
      <c r="J60" s="4">
        <f>IF(AND(C60="",D60=""),"",IF(NOT(AND(ISNUMBER(C60),ISNUMBER(D60),OR(E60="",ISNUMBER(E60)))),"Review: start, end or break is not a number",IF(MOD(D60-C60,1)=0,"Review: start equals end (0 or 24 hours?)",IF(E60&lt;0,"Review: break is negative",IF(ROUND(MOD(D60-C60,1)*1440-N(E60),4)&lt;0,"Review: break is longer than the shift","OK")))))</f>
        <v/>
      </c>
    </row>
    <row r="61">
      <c r="A61" s="6" t="n"/>
      <c r="B61" s="7" t="n"/>
      <c r="C61" s="8" t="n"/>
      <c r="D61" s="8" t="n"/>
      <c r="E61" s="9" t="n"/>
      <c r="F61" s="10">
        <f>IF(J61="OK",MAX(0,MOD(D61-C61,1)-N(E61)/1440),"")</f>
        <v/>
      </c>
      <c r="G61" s="11">
        <f>IF(ISNUMBER(F61),ROUND(F61*24,2),"")</f>
        <v/>
      </c>
      <c r="H61" s="12">
        <f>IF(ISNUMBER(G61),IF($B$2="OK",ROUND(G61*$B$1,2),"Check rate"),"")</f>
        <v/>
      </c>
      <c r="I61" s="10">
        <f>IF(AND(ISNUMBER(C61),ISNUMBER(D61)),D61-C61,"")</f>
        <v/>
      </c>
      <c r="J61" s="4">
        <f>IF(AND(C61="",D61=""),"",IF(NOT(AND(ISNUMBER(C61),ISNUMBER(D61),OR(E61="",ISNUMBER(E61)))),"Review: start, end or break is not a number",IF(MOD(D61-C61,1)=0,"Review: start equals end (0 or 24 hours?)",IF(E61&lt;0,"Review: break is negative",IF(ROUND(MOD(D61-C61,1)*1440-N(E61),4)&lt;0,"Review: break is longer than the shift","OK")))))</f>
        <v/>
      </c>
    </row>
    <row r="62">
      <c r="A62" s="6" t="n"/>
      <c r="B62" s="7" t="n"/>
      <c r="C62" s="8" t="n"/>
      <c r="D62" s="8" t="n"/>
      <c r="E62" s="9" t="n"/>
      <c r="F62" s="10">
        <f>IF(J62="OK",MAX(0,MOD(D62-C62,1)-N(E62)/1440),"")</f>
        <v/>
      </c>
      <c r="G62" s="11">
        <f>IF(ISNUMBER(F62),ROUND(F62*24,2),"")</f>
        <v/>
      </c>
      <c r="H62" s="12">
        <f>IF(ISNUMBER(G62),IF($B$2="OK",ROUND(G62*$B$1,2),"Check rate"),"")</f>
        <v/>
      </c>
      <c r="I62" s="10">
        <f>IF(AND(ISNUMBER(C62),ISNUMBER(D62)),D62-C62,"")</f>
        <v/>
      </c>
      <c r="J62" s="4">
        <f>IF(AND(C62="",D62=""),"",IF(NOT(AND(ISNUMBER(C62),ISNUMBER(D62),OR(E62="",ISNUMBER(E62)))),"Review: start, end or break is not a number",IF(MOD(D62-C62,1)=0,"Review: start equals end (0 or 24 hours?)",IF(E62&lt;0,"Review: break is negative",IF(ROUND(MOD(D62-C62,1)*1440-N(E62),4)&lt;0,"Review: break is longer than the shift","OK")))))</f>
        <v/>
      </c>
    </row>
    <row r="63">
      <c r="A63" s="6" t="n"/>
      <c r="B63" s="7" t="n"/>
      <c r="C63" s="8" t="n"/>
      <c r="D63" s="8" t="n"/>
      <c r="E63" s="9" t="n"/>
      <c r="F63" s="10">
        <f>IF(J63="OK",MAX(0,MOD(D63-C63,1)-N(E63)/1440),"")</f>
        <v/>
      </c>
      <c r="G63" s="11">
        <f>IF(ISNUMBER(F63),ROUND(F63*24,2),"")</f>
        <v/>
      </c>
      <c r="H63" s="12">
        <f>IF(ISNUMBER(G63),IF($B$2="OK",ROUND(G63*$B$1,2),"Check rate"),"")</f>
        <v/>
      </c>
      <c r="I63" s="10">
        <f>IF(AND(ISNUMBER(C63),ISNUMBER(D63)),D63-C63,"")</f>
        <v/>
      </c>
      <c r="J63" s="4">
        <f>IF(AND(C63="",D63=""),"",IF(NOT(AND(ISNUMBER(C63),ISNUMBER(D63),OR(E63="",ISNUMBER(E63)))),"Review: start, end or break is not a number",IF(MOD(D63-C63,1)=0,"Review: start equals end (0 or 24 hours?)",IF(E63&lt;0,"Review: break is negative",IF(ROUND(MOD(D63-C63,1)*1440-N(E63),4)&lt;0,"Review: break is longer than the shift","OK")))))</f>
        <v/>
      </c>
    </row>
    <row r="64">
      <c r="A64" s="6" t="n"/>
      <c r="B64" s="7" t="n"/>
      <c r="C64" s="8" t="n"/>
      <c r="D64" s="8" t="n"/>
      <c r="E64" s="9" t="n"/>
      <c r="F64" s="10">
        <f>IF(J64="OK",MAX(0,MOD(D64-C64,1)-N(E64)/1440),"")</f>
        <v/>
      </c>
      <c r="G64" s="11">
        <f>IF(ISNUMBER(F64),ROUND(F64*24,2),"")</f>
        <v/>
      </c>
      <c r="H64" s="12">
        <f>IF(ISNUMBER(G64),IF($B$2="OK",ROUND(G64*$B$1,2),"Check rate"),"")</f>
        <v/>
      </c>
      <c r="I64" s="10">
        <f>IF(AND(ISNUMBER(C64),ISNUMBER(D64)),D64-C64,"")</f>
        <v/>
      </c>
      <c r="J64" s="4">
        <f>IF(AND(C64="",D64=""),"",IF(NOT(AND(ISNUMBER(C64),ISNUMBER(D64),OR(E64="",ISNUMBER(E64)))),"Review: start, end or break is not a number",IF(MOD(D64-C64,1)=0,"Review: start equals end (0 or 24 hours?)",IF(E64&lt;0,"Review: break is negative",IF(ROUND(MOD(D64-C64,1)*1440-N(E64),4)&lt;0,"Review: break is longer than the shift","OK")))))</f>
        <v/>
      </c>
    </row>
  </sheetData>
  <conditionalFormatting sqref="J5:J64">
    <cfRule type="expression" priority="1" dxfId="0">
      <formula>LEFT(J5,6)="Review"</formula>
    </cfRule>
  </conditionalFormatting>
  <conditionalFormatting sqref="B2">
    <cfRule type="expression" priority="2" dxfId="0">
      <formula>$B$2&lt;&gt;"OK"</formula>
    </cfRule>
  </conditionalFormatting>
  <conditionalFormatting sqref="M10">
    <cfRule type="expression" priority="3" dxfId="0">
      <formula>AND(M10&lt;&gt;"OK",M10&lt;&gt;"")</formula>
    </cfRule>
  </conditionalFormatting>
  <dataValidations count="1">
    <dataValidation sqref="E5:E6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Tidy Tabs: Hours Worked Past Midnight With an Unpaid Break</t>
        </is>
      </c>
    </row>
    <row r="2">
      <c r="A2" s="17" t="inlineStr"/>
    </row>
    <row r="3">
      <c r="A3" s="17" t="inlineStr">
        <is>
          <t>1. Shifts tab: type the hourly rate in B1 (yellow, $18.00). Type each shift's date, name, start, end and break in minutes in A5:E64 (yellow). The sample is 14 fictional shifts. A blank break counts as 0.</t>
        </is>
      </c>
    </row>
    <row r="4">
      <c r="A4" s="17" t="inlineStr">
        <is>
          <t>2. Plain end - start, I5: =D5-C5. When the end is after midnight the end time is a smaller fraction of a day than the start, so the result is negative. Whether a negative time shows as #### or as a minus sign depends on the app; in LibreOffice Calc it shows with a minus sign.</t>
        </is>
      </c>
    </row>
    <row r="5">
      <c r="A5" s="17" t="inlineStr">
        <is>
          <t>3. Hours worked, F5: =MOD(D5-C5,1)-E5/1440. MOD(x,1) keeps only the fraction of a day, so a negative difference wraps around to the right positive length: 6:00 PM to 2:00 AM gives 8:00. The break is in minutes, and a day has 1440 minutes, so E5/1440 turns it into a time to subtract. The sheet adds N() so a blank break is 0 and MAX(0,...) to remove a tiny negative float tail.</t>
        </is>
      </c>
    </row>
    <row r="6">
      <c r="A6" s="17" t="inlineStr">
        <is>
          <t>4. Decimal hours, G5: =ROUND(F5*24,2). Pay, H5: =ROUND(G5*$B$1,2).</t>
        </is>
      </c>
    </row>
    <row r="7">
      <c r="A7" s="17" t="inlineStr">
        <is>
          <t>5. Review, J5, says OK or why a row was left out: a start, end or break that is not a number; a start that equals the end (that could be 0 hours or 24 hours, so the sheet does not guess); a negative break; a break longer than the shift. Rows that are not OK get no hours or pay. Rows turn red.</t>
        </is>
      </c>
    </row>
    <row r="8">
      <c r="A8" s="17" t="inlineStr">
        <is>
          <t>6. An end exactly at midnight (12:00 AM) works: 8:00 PM to 12:00 AM is 4:00.</t>
        </is>
      </c>
    </row>
    <row r="9">
      <c r="A9" s="17" t="inlineStr">
        <is>
          <t>7. The sheet assumes no shift is 24 hours or longer and that each row is one shift.</t>
        </is>
      </c>
    </row>
    <row r="10">
      <c r="A10" s="17" t="inlineStr">
        <is>
          <t>8. M10 shows OK when every filled row is OK or Review, the decimal hours add up, the rate is valid and nothing is typed below row 64.</t>
        </is>
      </c>
    </row>
    <row r="11">
      <c r="A11" s="17" t="inlineStr">
        <is>
          <t>9. This is arithmetic on times. It says nothing about overtime rules, pay law or what must be paid.</t>
        </is>
      </c>
    </row>
    <row r="12">
      <c r="A12" s="17" t="inlineStr"/>
    </row>
    <row r="13">
      <c r="A13" s="17" t="inlineStr">
        <is>
          <t>Names, shifts and pay are fictional. Checked in LibreOffice Calc only; not opened in Excel or Google Sheets.</t>
        </is>
      </c>
    </row>
    <row r="14">
      <c r="A14" s="1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2026-10-29T07:41:14Z</dcterms:created>
  <dcterms:modified xmlns:dcterms="http://purl.org/dc/terms/" xmlns:xsi="http://www.w3.org/2001/XMLSchema-instance" xsi:type="dcterms:W3CDTF">2026-10-29T07:41:14Z</dcterms:modified>
</cp:coreProperties>
</file>