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 xmlns:r="http://schemas.openxmlformats.org/officeDocument/2006/relationships" name="How to use" sheetId="3" state="visible" r:id="rId3"/>
  </sheets>
  <definedNames>
    <definedName name="_xlnm.Print_Titles" localSheetId="0">'Products'!$1:$1</definedName>
    <definedName name="_xlnm.Print_Area" localSheetId="0">'Products'!$A$1:$E$41</definedName>
    <definedName name="_xlnm.Print_Titles" localSheetId="1">'Summary'!$1:$1</definedName>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164" fontId="0" fillId="3" borderId="0" pivotButton="0" quotePrefix="0" xfId="0"/>
    <xf numFmtId="165" fontId="0" fillId="4" borderId="0" pivotButton="0" quotePrefix="0" xfId="0"/>
    <xf numFmtId="0" fontId="0" fillId="4" borderId="0" pivotButton="0" quotePrefix="0" xfId="0"/>
    <xf numFmtId="0" fontId="2" fillId="0" borderId="0" pivotButton="0" quotePrefix="0" xfId="0"/>
    <xf numFmtId="9" fontId="0" fillId="3" borderId="0" applyAlignment="1" pivotButton="0" quotePrefix="0" xfId="0">
      <alignment horizontal="right"/>
    </xf>
    <xf numFmtId="1" fontId="0" fillId="4" borderId="0" applyAlignment="1" pivotButton="0" quotePrefix="0" xfId="0">
      <alignment horizontal="right"/>
    </xf>
    <xf numFmtId="165" fontId="0" fillId="4" borderId="0" applyAlignment="1" pivotButton="0" quotePrefix="0" xfId="0">
      <alignment horizontal="right"/>
    </xf>
    <xf numFmtId="0" fontId="0" fillId="4" borderId="0" applyAlignment="1" pivotButton="0" quotePrefix="0" xfId="0">
      <alignment horizontal="right"/>
    </xf>
    <xf numFmtId="164" fontId="0" fillId="4" borderId="0"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E2F0D9"/>
          <bgColor rgb="00E2F0D9"/>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40"/>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6" customWidth="1" min="4" max="4"/>
    <col width="10" customWidth="1" min="5" max="5"/>
  </cols>
  <sheetData>
    <row r="1" ht="30" customHeight="1">
      <c r="A1" s="1" t="inlineStr">
        <is>
          <t>Product</t>
        </is>
      </c>
      <c r="B1" s="1" t="inlineStr">
        <is>
          <t>Revenue</t>
        </is>
      </c>
      <c r="C1" s="1" t="inlineStr">
        <is>
          <t>Share of sales</t>
        </is>
      </c>
      <c r="D1" s="1" t="inlineStr">
        <is>
          <t>Cumulative share</t>
        </is>
      </c>
      <c r="E1" s="1" t="inlineStr">
        <is>
          <t>Group</t>
        </is>
      </c>
    </row>
    <row r="2">
      <c r="A2" s="2" t="inlineStr">
        <is>
          <t>Soy candle, 8 oz</t>
        </is>
      </c>
      <c r="B2" s="3" t="n">
        <v>12480</v>
      </c>
      <c r="C2" s="4">
        <f>IF(OR(B2="",NOT(ISNUMBER(B2)),SUM($B$2:$B$40)&lt;=0),"",B2/SUM($B$2:$B$40))</f>
        <v/>
      </c>
      <c r="D2" s="4">
        <f>IF(OR(B2="",NOT(ISNUMBER(B2)),SUM($B$2:$B$40)&lt;=0),"",SUM($B$2:B2)/SUM($B$2:$B$40))</f>
        <v/>
      </c>
      <c r="E2" s="5">
        <f>IF(B2="","",IF(OR(NOT(ISNUMBER(B2)),SUM($B$2:$B$40)&lt;=0,NOT(ISNUMBER(Summary!$B$1))),"Check",IF(SUM($B$1:B1)/SUM($B$2:$B$40)&lt;Summary!$B$1,"Top","Rest")))</f>
        <v/>
      </c>
    </row>
    <row r="3">
      <c r="A3" s="2" t="inlineStr">
        <is>
          <t>Lavender soap bar</t>
        </is>
      </c>
      <c r="B3" s="3" t="n">
        <v>9860.5</v>
      </c>
      <c r="C3" s="4">
        <f>IF(OR(B3="",NOT(ISNUMBER(B3)),SUM($B$2:$B$40)&lt;=0),"",B3/SUM($B$2:$B$40))</f>
        <v/>
      </c>
      <c r="D3" s="4">
        <f>IF(OR(B3="",NOT(ISNUMBER(B3)),SUM($B$2:$B$40)&lt;=0),"",SUM($B$2:B3)/SUM($B$2:$B$40))</f>
        <v/>
      </c>
      <c r="E3" s="5">
        <f>IF(B3="","",IF(OR(NOT(ISNUMBER(B3)),SUM($B$2:$B$40)&lt;=0,NOT(ISNUMBER(Summary!$B$1))),"Check",IF(SUM($B$1:B2)/SUM($B$2:$B$40)&lt;Summary!$B$1,"Top","Rest")))</f>
        <v/>
      </c>
    </row>
    <row r="4">
      <c r="A4" s="2" t="inlineStr">
        <is>
          <t>Holiday gift set</t>
        </is>
      </c>
      <c r="B4" s="3" t="n">
        <v>7420</v>
      </c>
      <c r="C4" s="4">
        <f>IF(OR(B4="",NOT(ISNUMBER(B4)),SUM($B$2:$B$40)&lt;=0),"",B4/SUM($B$2:$B$40))</f>
        <v/>
      </c>
      <c r="D4" s="4">
        <f>IF(OR(B4="",NOT(ISNUMBER(B4)),SUM($B$2:$B$40)&lt;=0),"",SUM($B$2:B4)/SUM($B$2:$B$40))</f>
        <v/>
      </c>
      <c r="E4" s="5">
        <f>IF(B4="","",IF(OR(NOT(ISNUMBER(B4)),SUM($B$2:$B$40)&lt;=0,NOT(ISNUMBER(Summary!$B$1))),"Check",IF(SUM($B$1:B3)/SUM($B$2:$B$40)&lt;Summary!$B$1,"Top","Rest")))</f>
        <v/>
      </c>
    </row>
    <row r="5">
      <c r="A5" s="2" t="inlineStr">
        <is>
          <t>Beeswax food wrap</t>
        </is>
      </c>
      <c r="B5" s="3" t="n">
        <v>5310.25</v>
      </c>
      <c r="C5" s="4">
        <f>IF(OR(B5="",NOT(ISNUMBER(B5)),SUM($B$2:$B$40)&lt;=0),"",B5/SUM($B$2:$B$40))</f>
        <v/>
      </c>
      <c r="D5" s="4">
        <f>IF(OR(B5="",NOT(ISNUMBER(B5)),SUM($B$2:$B$40)&lt;=0),"",SUM($B$2:B5)/SUM($B$2:$B$40))</f>
        <v/>
      </c>
      <c r="E5" s="5">
        <f>IF(B5="","",IF(OR(NOT(ISNUMBER(B5)),SUM($B$2:$B$40)&lt;=0,NOT(ISNUMBER(Summary!$B$1))),"Check",IF(SUM($B$1:B4)/SUM($B$2:$B$40)&lt;Summary!$B$1,"Top","Rest")))</f>
        <v/>
      </c>
    </row>
    <row r="6">
      <c r="A6" s="2" t="inlineStr">
        <is>
          <t>Linen tote bag</t>
        </is>
      </c>
      <c r="B6" s="3" t="n">
        <v>3890</v>
      </c>
      <c r="C6" s="4">
        <f>IF(OR(B6="",NOT(ISNUMBER(B6)),SUM($B$2:$B$40)&lt;=0),"",B6/SUM($B$2:$B$40))</f>
        <v/>
      </c>
      <c r="D6" s="4">
        <f>IF(OR(B6="",NOT(ISNUMBER(B6)),SUM($B$2:$B$40)&lt;=0),"",SUM($B$2:B6)/SUM($B$2:$B$40))</f>
        <v/>
      </c>
      <c r="E6" s="5">
        <f>IF(B6="","",IF(OR(NOT(ISNUMBER(B6)),SUM($B$2:$B$40)&lt;=0,NOT(ISNUMBER(Summary!$B$1))),"Check",IF(SUM($B$1:B5)/SUM($B$2:$B$40)&lt;Summary!$B$1,"Top","Rest")))</f>
        <v/>
      </c>
    </row>
    <row r="7">
      <c r="A7" s="2" t="inlineStr">
        <is>
          <t>Ceramic mug</t>
        </is>
      </c>
      <c r="B7" s="3" t="n">
        <v>2675.5</v>
      </c>
      <c r="C7" s="4">
        <f>IF(OR(B7="",NOT(ISNUMBER(B7)),SUM($B$2:$B$40)&lt;=0),"",B7/SUM($B$2:$B$40))</f>
        <v/>
      </c>
      <c r="D7" s="4">
        <f>IF(OR(B7="",NOT(ISNUMBER(B7)),SUM($B$2:$B$40)&lt;=0),"",SUM($B$2:B7)/SUM($B$2:$B$40))</f>
        <v/>
      </c>
      <c r="E7" s="5">
        <f>IF(B7="","",IF(OR(NOT(ISNUMBER(B7)),SUM($B$2:$B$40)&lt;=0,NOT(ISNUMBER(Summary!$B$1))),"Check",IF(SUM($B$1:B6)/SUM($B$2:$B$40)&lt;Summary!$B$1,"Top","Rest")))</f>
        <v/>
      </c>
    </row>
    <row r="8">
      <c r="A8" s="2" t="inlineStr">
        <is>
          <t>Wool dryer balls</t>
        </is>
      </c>
      <c r="B8" s="3" t="n">
        <v>1980</v>
      </c>
      <c r="C8" s="4">
        <f>IF(OR(B8="",NOT(ISNUMBER(B8)),SUM($B$2:$B$40)&lt;=0),"",B8/SUM($B$2:$B$40))</f>
        <v/>
      </c>
      <c r="D8" s="4">
        <f>IF(OR(B8="",NOT(ISNUMBER(B8)),SUM($B$2:$B$40)&lt;=0),"",SUM($B$2:B8)/SUM($B$2:$B$40))</f>
        <v/>
      </c>
      <c r="E8" s="5">
        <f>IF(B8="","",IF(OR(NOT(ISNUMBER(B8)),SUM($B$2:$B$40)&lt;=0,NOT(ISNUMBER(Summary!$B$1))),"Check",IF(SUM($B$1:B7)/SUM($B$2:$B$40)&lt;Summary!$B$1,"Top","Rest")))</f>
        <v/>
      </c>
    </row>
    <row r="9">
      <c r="A9" s="2" t="inlineStr">
        <is>
          <t>Hand cream, 2 oz</t>
        </is>
      </c>
      <c r="B9" s="3" t="n">
        <v>1450.75</v>
      </c>
      <c r="C9" s="4">
        <f>IF(OR(B9="",NOT(ISNUMBER(B9)),SUM($B$2:$B$40)&lt;=0),"",B9/SUM($B$2:$B$40))</f>
        <v/>
      </c>
      <c r="D9" s="4">
        <f>IF(OR(B9="",NOT(ISNUMBER(B9)),SUM($B$2:$B$40)&lt;=0),"",SUM($B$2:B9)/SUM($B$2:$B$40))</f>
        <v/>
      </c>
      <c r="E9" s="5">
        <f>IF(B9="","",IF(OR(NOT(ISNUMBER(B9)),SUM($B$2:$B$40)&lt;=0,NOT(ISNUMBER(Summary!$B$1))),"Check",IF(SUM($B$1:B8)/SUM($B$2:$B$40)&lt;Summary!$B$1,"Top","Rest")))</f>
        <v/>
      </c>
    </row>
    <row r="10">
      <c r="A10" s="2" t="inlineStr">
        <is>
          <t>Cedar sachet</t>
        </is>
      </c>
      <c r="B10" s="3" t="n">
        <v>1120</v>
      </c>
      <c r="C10" s="4">
        <f>IF(OR(B10="",NOT(ISNUMBER(B10)),SUM($B$2:$B$40)&lt;=0),"",B10/SUM($B$2:$B$40))</f>
        <v/>
      </c>
      <c r="D10" s="4">
        <f>IF(OR(B10="",NOT(ISNUMBER(B10)),SUM($B$2:$B$40)&lt;=0),"",SUM($B$2:B10)/SUM($B$2:$B$40))</f>
        <v/>
      </c>
      <c r="E10" s="5">
        <f>IF(B10="","",IF(OR(NOT(ISNUMBER(B10)),SUM($B$2:$B$40)&lt;=0,NOT(ISNUMBER(Summary!$B$1))),"Check",IF(SUM($B$1:B9)/SUM($B$2:$B$40)&lt;Summary!$B$1,"Top","Rest")))</f>
        <v/>
      </c>
    </row>
    <row r="11">
      <c r="A11" s="2" t="inlineStr">
        <is>
          <t>Bath salts, 12 oz</t>
        </is>
      </c>
      <c r="B11" s="3" t="n">
        <v>860.5</v>
      </c>
      <c r="C11" s="4">
        <f>IF(OR(B11="",NOT(ISNUMBER(B11)),SUM($B$2:$B$40)&lt;=0),"",B11/SUM($B$2:$B$40))</f>
        <v/>
      </c>
      <c r="D11" s="4">
        <f>IF(OR(B11="",NOT(ISNUMBER(B11)),SUM($B$2:$B$40)&lt;=0),"",SUM($B$2:B11)/SUM($B$2:$B$40))</f>
        <v/>
      </c>
      <c r="E11" s="5">
        <f>IF(B11="","",IF(OR(NOT(ISNUMBER(B11)),SUM($B$2:$B$40)&lt;=0,NOT(ISNUMBER(Summary!$B$1))),"Check",IF(SUM($B$1:B10)/SUM($B$2:$B$40)&lt;Summary!$B$1,"Top","Rest")))</f>
        <v/>
      </c>
    </row>
    <row r="12">
      <c r="A12" s="2" t="inlineStr">
        <is>
          <t>Lip balm 3-pack</t>
        </is>
      </c>
      <c r="B12" s="3" t="n">
        <v>640</v>
      </c>
      <c r="C12" s="4">
        <f>IF(OR(B12="",NOT(ISNUMBER(B12)),SUM($B$2:$B$40)&lt;=0),"",B12/SUM($B$2:$B$40))</f>
        <v/>
      </c>
      <c r="D12" s="4">
        <f>IF(OR(B12="",NOT(ISNUMBER(B12)),SUM($B$2:$B$40)&lt;=0),"",SUM($B$2:B12)/SUM($B$2:$B$40))</f>
        <v/>
      </c>
      <c r="E12" s="5">
        <f>IF(B12="","",IF(OR(NOT(ISNUMBER(B12)),SUM($B$2:$B$40)&lt;=0,NOT(ISNUMBER(Summary!$B$1))),"Check",IF(SUM($B$1:B11)/SUM($B$2:$B$40)&lt;Summary!$B$1,"Top","Rest")))</f>
        <v/>
      </c>
    </row>
    <row r="13">
      <c r="A13" s="2" t="inlineStr">
        <is>
          <t>Wick trimmer</t>
        </is>
      </c>
      <c r="B13" s="3" t="n">
        <v>455.25</v>
      </c>
      <c r="C13" s="4">
        <f>IF(OR(B13="",NOT(ISNUMBER(B13)),SUM($B$2:$B$40)&lt;=0),"",B13/SUM($B$2:$B$40))</f>
        <v/>
      </c>
      <c r="D13" s="4">
        <f>IF(OR(B13="",NOT(ISNUMBER(B13)),SUM($B$2:$B$40)&lt;=0),"",SUM($B$2:B13)/SUM($B$2:$B$40))</f>
        <v/>
      </c>
      <c r="E13" s="5">
        <f>IF(B13="","",IF(OR(NOT(ISNUMBER(B13)),SUM($B$2:$B$40)&lt;=0,NOT(ISNUMBER(Summary!$B$1))),"Check",IF(SUM($B$1:B12)/SUM($B$2:$B$40)&lt;Summary!$B$1,"Top","Rest")))</f>
        <v/>
      </c>
    </row>
    <row r="14">
      <c r="A14" s="2" t="inlineStr">
        <is>
          <t>Candle sampler</t>
        </is>
      </c>
      <c r="B14" s="3" t="n">
        <v>310</v>
      </c>
      <c r="C14" s="4">
        <f>IF(OR(B14="",NOT(ISNUMBER(B14)),SUM($B$2:$B$40)&lt;=0),"",B14/SUM($B$2:$B$40))</f>
        <v/>
      </c>
      <c r="D14" s="4">
        <f>IF(OR(B14="",NOT(ISNUMBER(B14)),SUM($B$2:$B$40)&lt;=0),"",SUM($B$2:B14)/SUM($B$2:$B$40))</f>
        <v/>
      </c>
      <c r="E14" s="5">
        <f>IF(B14="","",IF(OR(NOT(ISNUMBER(B14)),SUM($B$2:$B$40)&lt;=0,NOT(ISNUMBER(Summary!$B$1))),"Check",IF(SUM($B$1:B13)/SUM($B$2:$B$40)&lt;Summary!$B$1,"Top","Rest")))</f>
        <v/>
      </c>
    </row>
    <row r="15">
      <c r="A15" s="2" t="inlineStr">
        <is>
          <t>Match box</t>
        </is>
      </c>
      <c r="B15" s="3" t="n">
        <v>215.5</v>
      </c>
      <c r="C15" s="4">
        <f>IF(OR(B15="",NOT(ISNUMBER(B15)),SUM($B$2:$B$40)&lt;=0),"",B15/SUM($B$2:$B$40))</f>
        <v/>
      </c>
      <c r="D15" s="4">
        <f>IF(OR(B15="",NOT(ISNUMBER(B15)),SUM($B$2:$B$40)&lt;=0),"",SUM($B$2:B15)/SUM($B$2:$B$40))</f>
        <v/>
      </c>
      <c r="E15" s="5">
        <f>IF(B15="","",IF(OR(NOT(ISNUMBER(B15)),SUM($B$2:$B$40)&lt;=0,NOT(ISNUMBER(Summary!$B$1))),"Check",IF(SUM($B$1:B14)/SUM($B$2:$B$40)&lt;Summary!$B$1,"Top","Rest")))</f>
        <v/>
      </c>
    </row>
    <row r="16">
      <c r="A16" s="2" t="inlineStr">
        <is>
          <t>Soap dish</t>
        </is>
      </c>
      <c r="B16" s="3" t="n">
        <v>142</v>
      </c>
      <c r="C16" s="4">
        <f>IF(OR(B16="",NOT(ISNUMBER(B16)),SUM($B$2:$B$40)&lt;=0),"",B16/SUM($B$2:$B$40))</f>
        <v/>
      </c>
      <c r="D16" s="4">
        <f>IF(OR(B16="",NOT(ISNUMBER(B16)),SUM($B$2:$B$40)&lt;=0),"",SUM($B$2:B16)/SUM($B$2:$B$40))</f>
        <v/>
      </c>
      <c r="E16" s="5">
        <f>IF(B16="","",IF(OR(NOT(ISNUMBER(B16)),SUM($B$2:$B$40)&lt;=0,NOT(ISNUMBER(Summary!$B$1))),"Check",IF(SUM($B$1:B15)/SUM($B$2:$B$40)&lt;Summary!$B$1,"Top","Rest")))</f>
        <v/>
      </c>
    </row>
    <row r="17">
      <c r="A17" s="2" t="n"/>
      <c r="B17" s="3" t="n"/>
      <c r="C17" s="4">
        <f>IF(OR(B17="",NOT(ISNUMBER(B17)),SUM($B$2:$B$40)&lt;=0),"",B17/SUM($B$2:$B$40))</f>
        <v/>
      </c>
      <c r="D17" s="4">
        <f>IF(OR(B17="",NOT(ISNUMBER(B17)),SUM($B$2:$B$40)&lt;=0),"",SUM($B$2:B17)/SUM($B$2:$B$40))</f>
        <v/>
      </c>
      <c r="E17" s="5">
        <f>IF(B17="","",IF(OR(NOT(ISNUMBER(B17)),SUM($B$2:$B$40)&lt;=0,NOT(ISNUMBER(Summary!$B$1))),"Check",IF(SUM($B$1:B16)/SUM($B$2:$B$40)&lt;Summary!$B$1,"Top","Rest")))</f>
        <v/>
      </c>
    </row>
    <row r="18">
      <c r="A18" s="2" t="n"/>
      <c r="B18" s="3" t="n"/>
      <c r="C18" s="4">
        <f>IF(OR(B18="",NOT(ISNUMBER(B18)),SUM($B$2:$B$40)&lt;=0),"",B18/SUM($B$2:$B$40))</f>
        <v/>
      </c>
      <c r="D18" s="4">
        <f>IF(OR(B18="",NOT(ISNUMBER(B18)),SUM($B$2:$B$40)&lt;=0),"",SUM($B$2:B18)/SUM($B$2:$B$40))</f>
        <v/>
      </c>
      <c r="E18" s="5">
        <f>IF(B18="","",IF(OR(NOT(ISNUMBER(B18)),SUM($B$2:$B$40)&lt;=0,NOT(ISNUMBER(Summary!$B$1))),"Check",IF(SUM($B$1:B17)/SUM($B$2:$B$40)&lt;Summary!$B$1,"Top","Rest")))</f>
        <v/>
      </c>
    </row>
    <row r="19">
      <c r="A19" s="2" t="n"/>
      <c r="B19" s="3" t="n"/>
      <c r="C19" s="4">
        <f>IF(OR(B19="",NOT(ISNUMBER(B19)),SUM($B$2:$B$40)&lt;=0),"",B19/SUM($B$2:$B$40))</f>
        <v/>
      </c>
      <c r="D19" s="4">
        <f>IF(OR(B19="",NOT(ISNUMBER(B19)),SUM($B$2:$B$40)&lt;=0),"",SUM($B$2:B19)/SUM($B$2:$B$40))</f>
        <v/>
      </c>
      <c r="E19" s="5">
        <f>IF(B19="","",IF(OR(NOT(ISNUMBER(B19)),SUM($B$2:$B$40)&lt;=0,NOT(ISNUMBER(Summary!$B$1))),"Check",IF(SUM($B$1:B18)/SUM($B$2:$B$40)&lt;Summary!$B$1,"Top","Rest")))</f>
        <v/>
      </c>
    </row>
    <row r="20">
      <c r="A20" s="2" t="n"/>
      <c r="B20" s="3" t="n"/>
      <c r="C20" s="4">
        <f>IF(OR(B20="",NOT(ISNUMBER(B20)),SUM($B$2:$B$40)&lt;=0),"",B20/SUM($B$2:$B$40))</f>
        <v/>
      </c>
      <c r="D20" s="4">
        <f>IF(OR(B20="",NOT(ISNUMBER(B20)),SUM($B$2:$B$40)&lt;=0),"",SUM($B$2:B20)/SUM($B$2:$B$40))</f>
        <v/>
      </c>
      <c r="E20" s="5">
        <f>IF(B20="","",IF(OR(NOT(ISNUMBER(B20)),SUM($B$2:$B$40)&lt;=0,NOT(ISNUMBER(Summary!$B$1))),"Check",IF(SUM($B$1:B19)/SUM($B$2:$B$40)&lt;Summary!$B$1,"Top","Rest")))</f>
        <v/>
      </c>
    </row>
    <row r="21">
      <c r="A21" s="2" t="n"/>
      <c r="B21" s="3" t="n"/>
      <c r="C21" s="4">
        <f>IF(OR(B21="",NOT(ISNUMBER(B21)),SUM($B$2:$B$40)&lt;=0),"",B21/SUM($B$2:$B$40))</f>
        <v/>
      </c>
      <c r="D21" s="4">
        <f>IF(OR(B21="",NOT(ISNUMBER(B21)),SUM($B$2:$B$40)&lt;=0),"",SUM($B$2:B21)/SUM($B$2:$B$40))</f>
        <v/>
      </c>
      <c r="E21" s="5">
        <f>IF(B21="","",IF(OR(NOT(ISNUMBER(B21)),SUM($B$2:$B$40)&lt;=0,NOT(ISNUMBER(Summary!$B$1))),"Check",IF(SUM($B$1:B20)/SUM($B$2:$B$40)&lt;Summary!$B$1,"Top","Rest")))</f>
        <v/>
      </c>
    </row>
    <row r="22">
      <c r="A22" s="2" t="n"/>
      <c r="B22" s="3" t="n"/>
      <c r="C22" s="4">
        <f>IF(OR(B22="",NOT(ISNUMBER(B22)),SUM($B$2:$B$40)&lt;=0),"",B22/SUM($B$2:$B$40))</f>
        <v/>
      </c>
      <c r="D22" s="4">
        <f>IF(OR(B22="",NOT(ISNUMBER(B22)),SUM($B$2:$B$40)&lt;=0),"",SUM($B$2:B22)/SUM($B$2:$B$40))</f>
        <v/>
      </c>
      <c r="E22" s="5">
        <f>IF(B22="","",IF(OR(NOT(ISNUMBER(B22)),SUM($B$2:$B$40)&lt;=0,NOT(ISNUMBER(Summary!$B$1))),"Check",IF(SUM($B$1:B21)/SUM($B$2:$B$40)&lt;Summary!$B$1,"Top","Rest")))</f>
        <v/>
      </c>
    </row>
    <row r="23">
      <c r="A23" s="2" t="n"/>
      <c r="B23" s="3" t="n"/>
      <c r="C23" s="4">
        <f>IF(OR(B23="",NOT(ISNUMBER(B23)),SUM($B$2:$B$40)&lt;=0),"",B23/SUM($B$2:$B$40))</f>
        <v/>
      </c>
      <c r="D23" s="4">
        <f>IF(OR(B23="",NOT(ISNUMBER(B23)),SUM($B$2:$B$40)&lt;=0),"",SUM($B$2:B23)/SUM($B$2:$B$40))</f>
        <v/>
      </c>
      <c r="E23" s="5">
        <f>IF(B23="","",IF(OR(NOT(ISNUMBER(B23)),SUM($B$2:$B$40)&lt;=0,NOT(ISNUMBER(Summary!$B$1))),"Check",IF(SUM($B$1:B22)/SUM($B$2:$B$40)&lt;Summary!$B$1,"Top","Rest")))</f>
        <v/>
      </c>
    </row>
    <row r="24">
      <c r="A24" s="2" t="n"/>
      <c r="B24" s="3" t="n"/>
      <c r="C24" s="4">
        <f>IF(OR(B24="",NOT(ISNUMBER(B24)),SUM($B$2:$B$40)&lt;=0),"",B24/SUM($B$2:$B$40))</f>
        <v/>
      </c>
      <c r="D24" s="4">
        <f>IF(OR(B24="",NOT(ISNUMBER(B24)),SUM($B$2:$B$40)&lt;=0),"",SUM($B$2:B24)/SUM($B$2:$B$40))</f>
        <v/>
      </c>
      <c r="E24" s="5">
        <f>IF(B24="","",IF(OR(NOT(ISNUMBER(B24)),SUM($B$2:$B$40)&lt;=0,NOT(ISNUMBER(Summary!$B$1))),"Check",IF(SUM($B$1:B23)/SUM($B$2:$B$40)&lt;Summary!$B$1,"Top","Rest")))</f>
        <v/>
      </c>
    </row>
    <row r="25">
      <c r="A25" s="2" t="n"/>
      <c r="B25" s="3" t="n"/>
      <c r="C25" s="4">
        <f>IF(OR(B25="",NOT(ISNUMBER(B25)),SUM($B$2:$B$40)&lt;=0),"",B25/SUM($B$2:$B$40))</f>
        <v/>
      </c>
      <c r="D25" s="4">
        <f>IF(OR(B25="",NOT(ISNUMBER(B25)),SUM($B$2:$B$40)&lt;=0),"",SUM($B$2:B25)/SUM($B$2:$B$40))</f>
        <v/>
      </c>
      <c r="E25" s="5">
        <f>IF(B25="","",IF(OR(NOT(ISNUMBER(B25)),SUM($B$2:$B$40)&lt;=0,NOT(ISNUMBER(Summary!$B$1))),"Check",IF(SUM($B$1:B24)/SUM($B$2:$B$40)&lt;Summary!$B$1,"Top","Rest")))</f>
        <v/>
      </c>
    </row>
    <row r="26">
      <c r="A26" s="2" t="n"/>
      <c r="B26" s="3" t="n"/>
      <c r="C26" s="4">
        <f>IF(OR(B26="",NOT(ISNUMBER(B26)),SUM($B$2:$B$40)&lt;=0),"",B26/SUM($B$2:$B$40))</f>
        <v/>
      </c>
      <c r="D26" s="4">
        <f>IF(OR(B26="",NOT(ISNUMBER(B26)),SUM($B$2:$B$40)&lt;=0),"",SUM($B$2:B26)/SUM($B$2:$B$40))</f>
        <v/>
      </c>
      <c r="E26" s="5">
        <f>IF(B26="","",IF(OR(NOT(ISNUMBER(B26)),SUM($B$2:$B$40)&lt;=0,NOT(ISNUMBER(Summary!$B$1))),"Check",IF(SUM($B$1:B25)/SUM($B$2:$B$40)&lt;Summary!$B$1,"Top","Rest")))</f>
        <v/>
      </c>
    </row>
    <row r="27">
      <c r="A27" s="2" t="n"/>
      <c r="B27" s="3" t="n"/>
      <c r="C27" s="4">
        <f>IF(OR(B27="",NOT(ISNUMBER(B27)),SUM($B$2:$B$40)&lt;=0),"",B27/SUM($B$2:$B$40))</f>
        <v/>
      </c>
      <c r="D27" s="4">
        <f>IF(OR(B27="",NOT(ISNUMBER(B27)),SUM($B$2:$B$40)&lt;=0),"",SUM($B$2:B27)/SUM($B$2:$B$40))</f>
        <v/>
      </c>
      <c r="E27" s="5">
        <f>IF(B27="","",IF(OR(NOT(ISNUMBER(B27)),SUM($B$2:$B$40)&lt;=0,NOT(ISNUMBER(Summary!$B$1))),"Check",IF(SUM($B$1:B26)/SUM($B$2:$B$40)&lt;Summary!$B$1,"Top","Rest")))</f>
        <v/>
      </c>
    </row>
    <row r="28">
      <c r="A28" s="2" t="n"/>
      <c r="B28" s="3" t="n"/>
      <c r="C28" s="4">
        <f>IF(OR(B28="",NOT(ISNUMBER(B28)),SUM($B$2:$B$40)&lt;=0),"",B28/SUM($B$2:$B$40))</f>
        <v/>
      </c>
      <c r="D28" s="4">
        <f>IF(OR(B28="",NOT(ISNUMBER(B28)),SUM($B$2:$B$40)&lt;=0),"",SUM($B$2:B28)/SUM($B$2:$B$40))</f>
        <v/>
      </c>
      <c r="E28" s="5">
        <f>IF(B28="","",IF(OR(NOT(ISNUMBER(B28)),SUM($B$2:$B$40)&lt;=0,NOT(ISNUMBER(Summary!$B$1))),"Check",IF(SUM($B$1:B27)/SUM($B$2:$B$40)&lt;Summary!$B$1,"Top","Rest")))</f>
        <v/>
      </c>
    </row>
    <row r="29">
      <c r="A29" s="2" t="n"/>
      <c r="B29" s="3" t="n"/>
      <c r="C29" s="4">
        <f>IF(OR(B29="",NOT(ISNUMBER(B29)),SUM($B$2:$B$40)&lt;=0),"",B29/SUM($B$2:$B$40))</f>
        <v/>
      </c>
      <c r="D29" s="4">
        <f>IF(OR(B29="",NOT(ISNUMBER(B29)),SUM($B$2:$B$40)&lt;=0),"",SUM($B$2:B29)/SUM($B$2:$B$40))</f>
        <v/>
      </c>
      <c r="E29" s="5">
        <f>IF(B29="","",IF(OR(NOT(ISNUMBER(B29)),SUM($B$2:$B$40)&lt;=0,NOT(ISNUMBER(Summary!$B$1))),"Check",IF(SUM($B$1:B28)/SUM($B$2:$B$40)&lt;Summary!$B$1,"Top","Rest")))</f>
        <v/>
      </c>
    </row>
    <row r="30">
      <c r="A30" s="2" t="n"/>
      <c r="B30" s="3" t="n"/>
      <c r="C30" s="4">
        <f>IF(OR(B30="",NOT(ISNUMBER(B30)),SUM($B$2:$B$40)&lt;=0),"",B30/SUM($B$2:$B$40))</f>
        <v/>
      </c>
      <c r="D30" s="4">
        <f>IF(OR(B30="",NOT(ISNUMBER(B30)),SUM($B$2:$B$40)&lt;=0),"",SUM($B$2:B30)/SUM($B$2:$B$40))</f>
        <v/>
      </c>
      <c r="E30" s="5">
        <f>IF(B30="","",IF(OR(NOT(ISNUMBER(B30)),SUM($B$2:$B$40)&lt;=0,NOT(ISNUMBER(Summary!$B$1))),"Check",IF(SUM($B$1:B29)/SUM($B$2:$B$40)&lt;Summary!$B$1,"Top","Rest")))</f>
        <v/>
      </c>
    </row>
    <row r="31">
      <c r="A31" s="2" t="n"/>
      <c r="B31" s="3" t="n"/>
      <c r="C31" s="4">
        <f>IF(OR(B31="",NOT(ISNUMBER(B31)),SUM($B$2:$B$40)&lt;=0),"",B31/SUM($B$2:$B$40))</f>
        <v/>
      </c>
      <c r="D31" s="4">
        <f>IF(OR(B31="",NOT(ISNUMBER(B31)),SUM($B$2:$B$40)&lt;=0),"",SUM($B$2:B31)/SUM($B$2:$B$40))</f>
        <v/>
      </c>
      <c r="E31" s="5">
        <f>IF(B31="","",IF(OR(NOT(ISNUMBER(B31)),SUM($B$2:$B$40)&lt;=0,NOT(ISNUMBER(Summary!$B$1))),"Check",IF(SUM($B$1:B30)/SUM($B$2:$B$40)&lt;Summary!$B$1,"Top","Rest")))</f>
        <v/>
      </c>
    </row>
    <row r="32">
      <c r="A32" s="2" t="n"/>
      <c r="B32" s="3" t="n"/>
      <c r="C32" s="4">
        <f>IF(OR(B32="",NOT(ISNUMBER(B32)),SUM($B$2:$B$40)&lt;=0),"",B32/SUM($B$2:$B$40))</f>
        <v/>
      </c>
      <c r="D32" s="4">
        <f>IF(OR(B32="",NOT(ISNUMBER(B32)),SUM($B$2:$B$40)&lt;=0),"",SUM($B$2:B32)/SUM($B$2:$B$40))</f>
        <v/>
      </c>
      <c r="E32" s="5">
        <f>IF(B32="","",IF(OR(NOT(ISNUMBER(B32)),SUM($B$2:$B$40)&lt;=0,NOT(ISNUMBER(Summary!$B$1))),"Check",IF(SUM($B$1:B31)/SUM($B$2:$B$40)&lt;Summary!$B$1,"Top","Rest")))</f>
        <v/>
      </c>
    </row>
    <row r="33">
      <c r="A33" s="2" t="n"/>
      <c r="B33" s="3" t="n"/>
      <c r="C33" s="4">
        <f>IF(OR(B33="",NOT(ISNUMBER(B33)),SUM($B$2:$B$40)&lt;=0),"",B33/SUM($B$2:$B$40))</f>
        <v/>
      </c>
      <c r="D33" s="4">
        <f>IF(OR(B33="",NOT(ISNUMBER(B33)),SUM($B$2:$B$40)&lt;=0),"",SUM($B$2:B33)/SUM($B$2:$B$40))</f>
        <v/>
      </c>
      <c r="E33" s="5">
        <f>IF(B33="","",IF(OR(NOT(ISNUMBER(B33)),SUM($B$2:$B$40)&lt;=0,NOT(ISNUMBER(Summary!$B$1))),"Check",IF(SUM($B$1:B32)/SUM($B$2:$B$40)&lt;Summary!$B$1,"Top","Rest")))</f>
        <v/>
      </c>
    </row>
    <row r="34">
      <c r="A34" s="2" t="n"/>
      <c r="B34" s="3" t="n"/>
      <c r="C34" s="4">
        <f>IF(OR(B34="",NOT(ISNUMBER(B34)),SUM($B$2:$B$40)&lt;=0),"",B34/SUM($B$2:$B$40))</f>
        <v/>
      </c>
      <c r="D34" s="4">
        <f>IF(OR(B34="",NOT(ISNUMBER(B34)),SUM($B$2:$B$40)&lt;=0),"",SUM($B$2:B34)/SUM($B$2:$B$40))</f>
        <v/>
      </c>
      <c r="E34" s="5">
        <f>IF(B34="","",IF(OR(NOT(ISNUMBER(B34)),SUM($B$2:$B$40)&lt;=0,NOT(ISNUMBER(Summary!$B$1))),"Check",IF(SUM($B$1:B33)/SUM($B$2:$B$40)&lt;Summary!$B$1,"Top","Rest")))</f>
        <v/>
      </c>
    </row>
    <row r="35">
      <c r="A35" s="2" t="n"/>
      <c r="B35" s="3" t="n"/>
      <c r="C35" s="4">
        <f>IF(OR(B35="",NOT(ISNUMBER(B35)),SUM($B$2:$B$40)&lt;=0),"",B35/SUM($B$2:$B$40))</f>
        <v/>
      </c>
      <c r="D35" s="4">
        <f>IF(OR(B35="",NOT(ISNUMBER(B35)),SUM($B$2:$B$40)&lt;=0),"",SUM($B$2:B35)/SUM($B$2:$B$40))</f>
        <v/>
      </c>
      <c r="E35" s="5">
        <f>IF(B35="","",IF(OR(NOT(ISNUMBER(B35)),SUM($B$2:$B$40)&lt;=0,NOT(ISNUMBER(Summary!$B$1))),"Check",IF(SUM($B$1:B34)/SUM($B$2:$B$40)&lt;Summary!$B$1,"Top","Rest")))</f>
        <v/>
      </c>
    </row>
    <row r="36">
      <c r="A36" s="2" t="n"/>
      <c r="B36" s="3" t="n"/>
      <c r="C36" s="4">
        <f>IF(OR(B36="",NOT(ISNUMBER(B36)),SUM($B$2:$B$40)&lt;=0),"",B36/SUM($B$2:$B$40))</f>
        <v/>
      </c>
      <c r="D36" s="4">
        <f>IF(OR(B36="",NOT(ISNUMBER(B36)),SUM($B$2:$B$40)&lt;=0),"",SUM($B$2:B36)/SUM($B$2:$B$40))</f>
        <v/>
      </c>
      <c r="E36" s="5">
        <f>IF(B36="","",IF(OR(NOT(ISNUMBER(B36)),SUM($B$2:$B$40)&lt;=0,NOT(ISNUMBER(Summary!$B$1))),"Check",IF(SUM($B$1:B35)/SUM($B$2:$B$40)&lt;Summary!$B$1,"Top","Rest")))</f>
        <v/>
      </c>
    </row>
    <row r="37">
      <c r="A37" s="2" t="n"/>
      <c r="B37" s="3" t="n"/>
      <c r="C37" s="4">
        <f>IF(OR(B37="",NOT(ISNUMBER(B37)),SUM($B$2:$B$40)&lt;=0),"",B37/SUM($B$2:$B$40))</f>
        <v/>
      </c>
      <c r="D37" s="4">
        <f>IF(OR(B37="",NOT(ISNUMBER(B37)),SUM($B$2:$B$40)&lt;=0),"",SUM($B$2:B37)/SUM($B$2:$B$40))</f>
        <v/>
      </c>
      <c r="E37" s="5">
        <f>IF(B37="","",IF(OR(NOT(ISNUMBER(B37)),SUM($B$2:$B$40)&lt;=0,NOT(ISNUMBER(Summary!$B$1))),"Check",IF(SUM($B$1:B36)/SUM($B$2:$B$40)&lt;Summary!$B$1,"Top","Rest")))</f>
        <v/>
      </c>
    </row>
    <row r="38">
      <c r="A38" s="2" t="n"/>
      <c r="B38" s="3" t="n"/>
      <c r="C38" s="4">
        <f>IF(OR(B38="",NOT(ISNUMBER(B38)),SUM($B$2:$B$40)&lt;=0),"",B38/SUM($B$2:$B$40))</f>
        <v/>
      </c>
      <c r="D38" s="4">
        <f>IF(OR(B38="",NOT(ISNUMBER(B38)),SUM($B$2:$B$40)&lt;=0),"",SUM($B$2:B38)/SUM($B$2:$B$40))</f>
        <v/>
      </c>
      <c r="E38" s="5">
        <f>IF(B38="","",IF(OR(NOT(ISNUMBER(B38)),SUM($B$2:$B$40)&lt;=0,NOT(ISNUMBER(Summary!$B$1))),"Check",IF(SUM($B$1:B37)/SUM($B$2:$B$40)&lt;Summary!$B$1,"Top","Rest")))</f>
        <v/>
      </c>
    </row>
    <row r="39">
      <c r="A39" s="2" t="n"/>
      <c r="B39" s="3" t="n"/>
      <c r="C39" s="4">
        <f>IF(OR(B39="",NOT(ISNUMBER(B39)),SUM($B$2:$B$40)&lt;=0),"",B39/SUM($B$2:$B$40))</f>
        <v/>
      </c>
      <c r="D39" s="4">
        <f>IF(OR(B39="",NOT(ISNUMBER(B39)),SUM($B$2:$B$40)&lt;=0),"",SUM($B$2:B39)/SUM($B$2:$B$40))</f>
        <v/>
      </c>
      <c r="E39" s="5">
        <f>IF(B39="","",IF(OR(NOT(ISNUMBER(B39)),SUM($B$2:$B$40)&lt;=0,NOT(ISNUMBER(Summary!$B$1))),"Check",IF(SUM($B$1:B38)/SUM($B$2:$B$40)&lt;Summary!$B$1,"Top","Rest")))</f>
        <v/>
      </c>
    </row>
    <row r="40">
      <c r="A40" s="2" t="n"/>
      <c r="B40" s="3" t="n"/>
      <c r="C40" s="4">
        <f>IF(OR(B40="",NOT(ISNUMBER(B40)),SUM($B$2:$B$40)&lt;=0),"",B40/SUM($B$2:$B$40))</f>
        <v/>
      </c>
      <c r="D40" s="4">
        <f>IF(OR(B40="",NOT(ISNUMBER(B40)),SUM($B$2:$B$40)&lt;=0),"",SUM($B$2:B40)/SUM($B$2:$B$40))</f>
        <v/>
      </c>
      <c r="E40" s="5">
        <f>IF(B40="","",IF(OR(NOT(ISNUMBER(B40)),SUM($B$2:$B$40)&lt;=0,NOT(ISNUMBER(Summary!$B$1))),"Check",IF(SUM($B$1:B39)/SUM($B$2:$B$40)&lt;Summary!$B$1,"Top","Rest")))</f>
        <v/>
      </c>
    </row>
  </sheetData>
  <conditionalFormatting sqref="A2:E40">
    <cfRule type="expression" priority="1" dxfId="0">
      <formula>$E2="Top"</formula>
    </cfRule>
  </conditionalFormatting>
  <conditionalFormatting sqref="E2:E40">
    <cfRule type="expression" priority="2" dxfId="1">
      <formula>$E2="Check"</formula>
    </cfRule>
  </conditionalFormatting>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50" customWidth="1" min="1" max="1"/>
    <col width="18" customWidth="1" min="2" max="2"/>
  </cols>
  <sheetData>
    <row r="1">
      <c r="A1" s="6" t="inlineStr">
        <is>
          <t>Cut line (share of sales, type it)</t>
        </is>
      </c>
      <c r="B1" s="7" t="n">
        <v>0.8</v>
      </c>
    </row>
    <row r="2">
      <c r="A2" s="6" t="inlineStr">
        <is>
          <t>Products listed</t>
        </is>
      </c>
      <c r="B2" s="8">
        <f>COUNT(Products!$B$2:$B$40)</f>
        <v/>
      </c>
    </row>
    <row r="3">
      <c r="A3" s="6" t="inlineStr">
        <is>
          <t>Products in the Top group</t>
        </is>
      </c>
      <c r="B3" s="8">
        <f>COUNTIF(Products!$E$2:$E$40,"Top")</f>
        <v/>
      </c>
    </row>
    <row r="4">
      <c r="A4" s="6" t="inlineStr">
        <is>
          <t>Share of products in Top</t>
        </is>
      </c>
      <c r="B4" s="9">
        <f>IF(B2&gt;0,B3/B2,"")</f>
        <v/>
      </c>
    </row>
    <row r="5">
      <c r="A5" s="6" t="inlineStr">
        <is>
          <t>Share of revenue in Top</t>
        </is>
      </c>
      <c r="B5" s="9">
        <f>IF(SUM(Products!$B$2:$B$40)&gt;0,SUMIF(Products!$E$2:$E$40,"Top",Products!$B$2:$B$40)/SUM(Products!$B$2:$B$40),"")</f>
        <v/>
      </c>
    </row>
    <row r="6">
      <c r="A6" s="6" t="inlineStr">
        <is>
          <t>Sorted check</t>
        </is>
      </c>
      <c r="B6" s="10">
        <f>IF(SUMPRODUCT(--(Products!$B$2:$B$39&lt;Products!$B$3:$B$40))=0,"Sorted","Sort largest first")</f>
        <v/>
      </c>
    </row>
    <row r="7">
      <c r="A7" s="6" t="inlineStr">
        <is>
          <t>Rows to check (text or negative revenue)</t>
        </is>
      </c>
      <c r="B7" s="8">
        <f>COUNTIF(Products!$E$2:$E$40,"Check")</f>
        <v/>
      </c>
    </row>
    <row r="8">
      <c r="A8" s="6" t="inlineStr">
        <is>
          <t>Total revenue</t>
        </is>
      </c>
      <c r="B8" s="11">
        <f>SUM(Products!$B$2:$B$40)</f>
        <v/>
      </c>
    </row>
    <row r="9">
      <c r="A9" s="6" t="inlineStr">
        <is>
          <t>Check: groups cover every product, shares add to 100%</t>
        </is>
      </c>
      <c r="B9" s="10">
        <f>IF(NOT(ISNUMBER(B1)),"Check settings",IF(AND(B6="Sorted",B7=0,B2=B3+COUNTIF(Products!$E$2:$E$40,"Rest"),ABS(SUM(Products!$C$2:$C$40)-1)&lt;0.000001),"OK","CHECK"))</f>
        <v/>
      </c>
    </row>
  </sheetData>
  <conditionalFormatting sqref="B9">
    <cfRule type="expression" priority="1" dxfId="1">
      <formula>B9&lt;&gt;"OK"</formula>
    </cfRule>
  </conditionalFormatting>
  <conditionalFormatting sqref="B6">
    <cfRule type="expression" priority="2" dxfId="1">
      <formula>B6&lt;&gt;"Sorted"</formula>
    </cfRule>
  </conditionalFormatting>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2" t="inlineStr">
        <is>
          <t>Tidy Tabs: Find the Products That Make Up 80 Percent of Sales</t>
        </is>
      </c>
    </row>
    <row r="2">
      <c r="A2" s="13" t="inlineStr"/>
    </row>
    <row r="3">
      <c r="A3" s="13" t="inlineStr">
        <is>
          <t>1. Products tab: type or paste the product and its revenue (A and B, yellow). Sort the table largest revenue first: select A1:B40 and use Data &gt; Sort on Revenue, largest to smallest. Rows 2 to 40 have formulas ready.</t>
        </is>
      </c>
    </row>
    <row r="4">
      <c r="A4" s="13" t="inlineStr">
        <is>
          <t>2. Share C2 =B2/SUM($B$2:$B$40). Cumulative D2 =SUM($B$2:B2)/SUM($B$2:$B$40) is the running share of total revenue.</t>
        </is>
      </c>
    </row>
    <row r="5">
      <c r="A5" s="13" t="inlineStr">
        <is>
          <t>3. Group E2 =IF(SUM($B$1:B1)/SUM($B$2:$B$40)&lt;Summary!$B$1,"Top","Rest"). A product is Top while the revenue above it is still under the cut line (80%), so the product that crosses 80% is the last one in Top. A product that lands on exactly 80.0% is Top, and the next one is Rest. SUM of the header row above row 2 is 0.</t>
        </is>
      </c>
    </row>
    <row r="6">
      <c r="A6" s="13" t="inlineStr">
        <is>
          <t>4. Summary B1 is the cut line (yellow). B3 counts Top products, B4 is their share of the product count, B5 is their share of revenue (at or above the cut line).</t>
        </is>
      </c>
    </row>
    <row r="7">
      <c r="A7" s="13" t="inlineStr">
        <is>
          <t>5. Summary B6 says Sorted or Sort largest first. If it says Sort largest first, the groups are wrong until you sort.</t>
        </is>
      </c>
    </row>
    <row r="8">
      <c r="A8" s="13" t="inlineStr">
        <is>
          <t>6. A text revenue or a negative revenue (a refund) shows Check in Group. Text is left out of the total; a negative number is in the total, so fix it before reading the groups. Summary B9 shows OK only when sorted, nothing to check, and the shares add to 100%.</t>
        </is>
      </c>
    </row>
    <row r="9">
      <c r="A9" s="13" t="inlineStr">
        <is>
          <t>7. The 80/20 split is a rule of thumb. Real shops rarely land exactly on 80 and 20. Use the Top group to decide what to restock or promote; the sheet does not say why a product sells.</t>
        </is>
      </c>
    </row>
    <row r="10">
      <c r="A10" s="13" t="inlineStr">
        <is>
          <t>8. No chart is included. The In-cell bars template shows how to draw bars with REPT.</t>
        </is>
      </c>
    </row>
    <row r="11">
      <c r="A11" s="13" t="inlineStr"/>
    </row>
    <row r="12">
      <c r="A12" s="13" t="inlineStr">
        <is>
          <t>Products and revenue are fictional. Checked in LibreOffice Calc only; not opened in Excel or Google Sheets.</t>
        </is>
      </c>
    </row>
    <row r="13">
      <c r="A13" s="13"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2026-10-19T07:45:47Z</dcterms:created>
  <dcterms:modified xmlns:dcterms="http://purl.org/dc/terms/" xmlns:xsi="http://www.w3.org/2001/XMLSchema-instance" xsi:type="dcterms:W3CDTF">2026-10-19T07:45:47Z</dcterms:modified>
</cp:coreProperties>
</file>