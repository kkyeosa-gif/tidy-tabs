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product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'Sales by product'!$1:$1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3" borderId="0" pivotButton="0" quotePrefix="0" xfId="0"/>
    <xf numFmtId="0" fontId="0" fillId="3" borderId="0" pivotButton="0" quotePrefix="0" xfId="0"/>
    <xf numFmtId="9" fontId="0" fillId="4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4" customWidth="1" min="5" max="5"/>
    <col width="30" customWidth="1" min="7" max="7"/>
    <col width="10" customWidth="1" min="8" max="8"/>
  </cols>
  <sheetData>
    <row r="1" ht="30" customHeight="1">
      <c r="A1" s="1" t="inlineStr">
        <is>
          <t>Product</t>
        </is>
      </c>
      <c r="B1" s="1" t="inlineStr">
        <is>
          <t>Sales</t>
        </is>
      </c>
      <c r="C1" s="1" t="inlineStr">
        <is>
          <t>% of total</t>
        </is>
      </c>
      <c r="D1" s="1" t="inlineStr">
        <is>
          <t>Running %</t>
        </is>
      </c>
      <c r="E1" s="1" t="inlineStr">
        <is>
          <t>Group</t>
        </is>
      </c>
    </row>
    <row r="2">
      <c r="A2" t="inlineStr">
        <is>
          <t>Soy candles</t>
        </is>
      </c>
      <c r="B2" s="2" t="n">
        <v>4200</v>
      </c>
      <c r="C2" s="3">
        <f>B2/SUM($B$2:$B$9)</f>
        <v/>
      </c>
      <c r="D2" s="3">
        <f>SUM($B$2:B2)/SUM($B$2:$B$9)</f>
        <v/>
      </c>
      <c r="E2" s="4">
        <f>IF(ROUND(D2-C2,6)&lt;$H$2,"Top sellers","Long tail")</f>
        <v/>
      </c>
      <c r="G2" t="inlineStr">
        <is>
          <t>Top sellers cover this share</t>
        </is>
      </c>
      <c r="H2" s="5" t="n">
        <v>0.8</v>
      </c>
    </row>
    <row r="3">
      <c r="A3" t="inlineStr">
        <is>
          <t>Soap bars</t>
        </is>
      </c>
      <c r="B3" s="2" t="n">
        <v>2600</v>
      </c>
      <c r="C3" s="3">
        <f>B3/SUM($B$2:$B$9)</f>
        <v/>
      </c>
      <c r="D3" s="3">
        <f>SUM($B$2:B3)/SUM($B$2:$B$9)</f>
        <v/>
      </c>
      <c r="E3" s="4">
        <f>IF(ROUND(D3-C3,6)&lt;$H$2,"Top sellers","Long tail")</f>
        <v/>
      </c>
    </row>
    <row r="4">
      <c r="A4" t="inlineStr">
        <is>
          <t>Brass earrings</t>
        </is>
      </c>
      <c r="B4" s="2" t="n">
        <v>1500</v>
      </c>
      <c r="C4" s="3">
        <f>B4/SUM($B$2:$B$9)</f>
        <v/>
      </c>
      <c r="D4" s="3">
        <f>SUM($B$2:B4)/SUM($B$2:$B$9)</f>
        <v/>
      </c>
      <c r="E4" s="4">
        <f>IF(ROUND(D4-C4,6)&lt;$H$2,"Top sellers","Long tail")</f>
        <v/>
      </c>
      <c r="G4" t="inlineStr">
        <is>
          <t>Products in top sellers</t>
        </is>
      </c>
      <c r="H4" s="4">
        <f>COUNTIF(E2:E9,"Top sellers")</f>
        <v/>
      </c>
    </row>
    <row r="5">
      <c r="A5" t="inlineStr">
        <is>
          <t>Gift boxes</t>
        </is>
      </c>
      <c r="B5" s="2" t="n">
        <v>900</v>
      </c>
      <c r="C5" s="3">
        <f>B5/SUM($B$2:$B$9)</f>
        <v/>
      </c>
      <c r="D5" s="3">
        <f>SUM($B$2:B5)/SUM($B$2:$B$9)</f>
        <v/>
      </c>
      <c r="E5" s="4">
        <f>IF(ROUND(D5-C5,6)&lt;$H$2,"Top sellers","Long tail")</f>
        <v/>
      </c>
      <c r="G5" t="inlineStr">
        <is>
          <t>Sales share of top sellers</t>
        </is>
      </c>
      <c r="H5" s="3">
        <f>SUMIF(E2:E9,"Top sellers",C2:C9)</f>
        <v/>
      </c>
    </row>
    <row r="6">
      <c r="A6" t="inlineStr">
        <is>
          <t>Stickers</t>
        </is>
      </c>
      <c r="B6" s="2" t="n">
        <v>450.75</v>
      </c>
      <c r="C6" s="3">
        <f>B6/SUM($B$2:$B$9)</f>
        <v/>
      </c>
      <c r="D6" s="3">
        <f>SUM($B$2:B6)/SUM($B$2:$B$9)</f>
        <v/>
      </c>
      <c r="E6" s="4">
        <f>IF(ROUND(D6-C6,6)&lt;$H$2,"Top sellers","Long tail")</f>
        <v/>
      </c>
    </row>
    <row r="7">
      <c r="A7" t="inlineStr">
        <is>
          <t>Gift tags</t>
        </is>
      </c>
      <c r="B7" s="2" t="n">
        <v>199.5</v>
      </c>
      <c r="C7" s="3">
        <f>B7/SUM($B$2:$B$9)</f>
        <v/>
      </c>
      <c r="D7" s="3">
        <f>SUM($B$2:B7)/SUM($B$2:$B$9)</f>
        <v/>
      </c>
      <c r="E7" s="4">
        <f>IF(ROUND(D7-C7,6)&lt;$H$2,"Top sellers","Long tail")</f>
        <v/>
      </c>
    </row>
    <row r="8">
      <c r="A8" t="inlineStr">
        <is>
          <t>Greeting cards</t>
        </is>
      </c>
      <c r="B8" s="2" t="n">
        <v>101.25</v>
      </c>
      <c r="C8" s="3">
        <f>B8/SUM($B$2:$B$9)</f>
        <v/>
      </c>
      <c r="D8" s="3">
        <f>SUM($B$2:B8)/SUM($B$2:$B$9)</f>
        <v/>
      </c>
      <c r="E8" s="4">
        <f>IF(ROUND(D8-C8,6)&lt;$H$2,"Top sellers","Long tail")</f>
        <v/>
      </c>
    </row>
    <row r="9">
      <c r="A9" t="inlineStr">
        <is>
          <t>Tote bags</t>
        </is>
      </c>
      <c r="B9" s="2" t="n">
        <v>48.5</v>
      </c>
      <c r="C9" s="3">
        <f>B9/SUM($B$2:$B$9)</f>
        <v/>
      </c>
      <c r="D9" s="3">
        <f>SUM($B$2:B9)/SUM($B$2:$B$9)</f>
        <v/>
      </c>
      <c r="E9" s="4">
        <f>IF(ROUND(D9-C9,6)&lt;$H$2,"Top sellers","Long tail")</f>
        <v/>
      </c>
    </row>
    <row r="10">
      <c r="A10" s="6" t="inlineStr">
        <is>
          <t>Total</t>
        </is>
      </c>
      <c r="B10" s="2">
        <f>SUM(B2:B9)</f>
        <v/>
      </c>
      <c r="C10" s="7">
        <f>SUM(C2:C9)</f>
        <v/>
      </c>
    </row>
  </sheetData>
  <conditionalFormatting sqref="E2:E9">
    <cfRule type="expression" priority="1" dxfId="0">
      <formula>$E2="Top sellers"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Tidy Tabs: Each Product's Percent of Total Sales</t>
        </is>
      </c>
    </row>
    <row r="2">
      <c r="A2" s="9" t="inlineStr"/>
    </row>
    <row r="3">
      <c r="A3" s="9" t="inlineStr">
        <is>
          <t>1. Sales by product tab: type the product in A and its sales for the period in B. Sort the rows from largest to smallest sales (Data &gt; Sort). Extend the formulas if you have more than 8 products.</t>
        </is>
      </c>
    </row>
    <row r="4">
      <c r="A4" s="9" t="inlineStr">
        <is>
          <t>2. C2: =B2/SUM($B$2:$B$9) is the product's share of all sales. The dollar signs keep the total range fixed when you fill down. C10 should show 100.0%.</t>
        </is>
      </c>
    </row>
    <row r="5">
      <c r="A5" s="9" t="inlineStr">
        <is>
          <t>3. D2: =SUM($B$2:B2)/SUM($B$2:$B$9) is the running share: this product plus every product above it. It only makes sense when the list is sorted largest first.</t>
        </is>
      </c>
    </row>
    <row r="6">
      <c r="A6" s="9" t="inlineStr">
        <is>
          <t>4. E2: =IF(ROUND(D2-C2,6)&lt;$H$2,"Top sellers","Long tail"). A product is in the top group when the products above it have not yet reached the share in H2 (80% here). The product that crosses the line is included.</t>
        </is>
      </c>
    </row>
    <row r="7">
      <c r="A7" s="9" t="inlineStr">
        <is>
          <t>5. H4 counts the top sellers and H5 adds up their share of sales. In the sample, 3 of 8 products make 83.0% of sales.</t>
        </is>
      </c>
    </row>
    <row r="8">
      <c r="A8" s="9" t="inlineStr">
        <is>
          <t>6. The 80% line is a rule of thumb you can change in H2, not a law. A percent of total says what sold, not what earned a profit.</t>
        </is>
      </c>
    </row>
    <row r="9">
      <c r="A9" s="9" t="inlineStr"/>
    </row>
    <row r="10">
      <c r="A10" s="9" t="inlineStr">
        <is>
          <t>Products and amounts are fictional. Checked in LibreOffice Calc only; not opened in Excel or Google Sheets.</t>
        </is>
      </c>
    </row>
    <row r="11">
      <c r="A11" s="9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2026-10-11T07:28:26Z</dcterms:created>
  <dcterms:modified xmlns:dcterms="http://purl.org/dc/terms/" xmlns:xsi="http://www.w3.org/2001/XMLSchema-instance" xsi:type="dcterms:W3CDTF">2026-10-11T07:28:26Z</dcterms:modified>
</cp:coreProperties>
</file>