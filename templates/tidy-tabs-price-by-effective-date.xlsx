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How to use" sheetId="3" state="visible" r:id="rId3"/>
  </sheets>
  <definedNames>
    <definedName name="_xlnm.Print_Titles" localSheetId="0">'Prices'!$1:$1</definedName>
    <definedName name="_xlnm.Print_Area" localSheetId="0">'Prices'!$A$1:$D$41</definedName>
    <definedName name="_xlnm.Print_Titles" localSheetId="1">'Orders'!$1:$1</definedName>
    <definedName name="_xlnm.Print_Area" localSheetId="1">'Orders'!$A$1:$E$41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  <xf numFmtId="166" fontId="0" fillId="4" borderId="0" pivotButton="0" quotePrefix="0" xfId="0"/>
    <xf numFmtId="0" fontId="2" fillId="0" borderId="0" pivotButton="0" quotePrefix="0" xfId="0"/>
    <xf numFmtId="1" fontId="0" fillId="4" borderId="0" applyAlignment="1" pivotButton="0" quotePrefix="0" xfId="0">
      <alignment horizontal="right"/>
    </xf>
    <xf numFmtId="166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14" customWidth="1" min="4" max="4"/>
  </cols>
  <sheetData>
    <row r="1" ht="30" customHeight="1">
      <c r="A1" s="1" t="inlineStr">
        <is>
          <t>Product</t>
        </is>
      </c>
      <c r="B1" s="1" t="inlineStr">
        <is>
          <t>Effective date</t>
        </is>
      </c>
      <c r="C1" s="1" t="inlineStr">
        <is>
          <t>New price</t>
        </is>
      </c>
      <c r="D1" s="1" t="inlineStr">
        <is>
          <t>Row check</t>
        </is>
      </c>
    </row>
    <row r="2">
      <c r="A2" s="2" t="inlineStr">
        <is>
          <t>Cold Brew Pack</t>
        </is>
      </c>
      <c r="B2" s="3" t="n">
        <v>46023</v>
      </c>
      <c r="C2" s="4" t="n">
        <v>36</v>
      </c>
      <c r="D2" s="5">
        <f>IF(AND(A2="",B2="",C2=""),"",IF(NOT(AND(A2&lt;&gt;"",ISNUMBER(B2),ISNUMBER(C2))),"Check",IF(AND(A1=A2,ISNUMBER(B1)),IF(B2&lt;B1,"Check order",IF(B2=B1,"Same day","OK")),"OK")))</f>
        <v/>
      </c>
    </row>
    <row r="3">
      <c r="A3" s="2" t="inlineStr">
        <is>
          <t>Cold Brew Pack</t>
        </is>
      </c>
      <c r="B3" s="3" t="n">
        <v>46174</v>
      </c>
      <c r="C3" s="4" t="n">
        <v>38</v>
      </c>
      <c r="D3" s="5">
        <f>IF(AND(A3="",B3="",C3=""),"",IF(NOT(AND(A3&lt;&gt;"",ISNUMBER(B3),ISNUMBER(C3))),"Check",IF(AND(A2=A3,ISNUMBER(B2)),IF(B3&lt;B2,"Check order",IF(B3=B2,"Same day","OK")),"OK")))</f>
        <v/>
      </c>
    </row>
    <row r="4">
      <c r="A4" s="2" t="inlineStr">
        <is>
          <t>Cold Brew Pack</t>
        </is>
      </c>
      <c r="B4" s="3" t="n">
        <v>46296</v>
      </c>
      <c r="C4" s="4" t="n">
        <v>39.5</v>
      </c>
      <c r="D4" s="5">
        <f>IF(AND(A4="",B4="",C4=""),"",IF(NOT(AND(A4&lt;&gt;"",ISNUMBER(B4),ISNUMBER(C4))),"Check",IF(AND(A3=A4,ISNUMBER(B3)),IF(B4&lt;B3,"Check order",IF(B4=B3,"Same day","OK")),"OK")))</f>
        <v/>
      </c>
    </row>
    <row r="5">
      <c r="A5" s="2" t="inlineStr">
        <is>
          <t>Dark Roast</t>
        </is>
      </c>
      <c r="B5" s="3" t="n">
        <v>45658</v>
      </c>
      <c r="C5" s="4" t="n">
        <v>43</v>
      </c>
      <c r="D5" s="5">
        <f>IF(AND(A5="",B5="",C5=""),"",IF(NOT(AND(A5&lt;&gt;"",ISNUMBER(B5),ISNUMBER(C5))),"Check",IF(AND(A4=A5,ISNUMBER(B4)),IF(B5&lt;B4,"Check order",IF(B5=B4,"Same day","OK")),"OK")))</f>
        <v/>
      </c>
    </row>
    <row r="6">
      <c r="A6" s="2" t="inlineStr">
        <is>
          <t>Dark Roast</t>
        </is>
      </c>
      <c r="B6" s="3" t="n">
        <v>46082</v>
      </c>
      <c r="C6" s="4" t="n">
        <v>45.5</v>
      </c>
      <c r="D6" s="5">
        <f>IF(AND(A6="",B6="",C6=""),"",IF(NOT(AND(A6&lt;&gt;"",ISNUMBER(B6),ISNUMBER(C6))),"Check",IF(AND(A5=A6,ISNUMBER(B5)),IF(B6&lt;B5,"Check order",IF(B6=B5,"Same day","OK")),"OK")))</f>
        <v/>
      </c>
    </row>
    <row r="7">
      <c r="A7" s="2" t="inlineStr">
        <is>
          <t>Decaf Blend</t>
        </is>
      </c>
      <c r="B7" s="3" t="n">
        <v>45658</v>
      </c>
      <c r="C7" s="4" t="n">
        <v>48</v>
      </c>
      <c r="D7" s="5">
        <f>IF(AND(A7="",B7="",C7=""),"",IF(NOT(AND(A7&lt;&gt;"",ISNUMBER(B7),ISNUMBER(C7))),"Check",IF(AND(A6=A7,ISNUMBER(B6)),IF(B7&lt;B6,"Check order",IF(B7=B6,"Same day","OK")),"OK")))</f>
        <v/>
      </c>
    </row>
    <row r="8">
      <c r="A8" s="2" t="inlineStr">
        <is>
          <t>Decaf Blend</t>
        </is>
      </c>
      <c r="B8" s="3" t="n">
        <v>45901</v>
      </c>
      <c r="C8" s="4" t="n">
        <v>49.5</v>
      </c>
      <c r="D8" s="5">
        <f>IF(AND(A8="",B8="",C8=""),"",IF(NOT(AND(A8&lt;&gt;"",ISNUMBER(B8),ISNUMBER(C8))),"Check",IF(AND(A7=A8,ISNUMBER(B7)),IF(B8&lt;B7,"Check order",IF(B8=B7,"Same day","OK")),"OK")))</f>
        <v/>
      </c>
    </row>
    <row r="9">
      <c r="A9" s="2" t="inlineStr">
        <is>
          <t>Decaf Blend</t>
        </is>
      </c>
      <c r="B9" s="3" t="n">
        <v>46082</v>
      </c>
      <c r="C9" s="4" t="n">
        <v>51</v>
      </c>
      <c r="D9" s="5">
        <f>IF(AND(A9="",B9="",C9=""),"",IF(NOT(AND(A9&lt;&gt;"",ISNUMBER(B9),ISNUMBER(C9))),"Check",IF(AND(A8=A9,ISNUMBER(B8)),IF(B9&lt;B8,"Check order",IF(B9=B8,"Same day","OK")),"OK")))</f>
        <v/>
      </c>
    </row>
    <row r="10">
      <c r="A10" s="2" t="inlineStr">
        <is>
          <t>Decaf Blend</t>
        </is>
      </c>
      <c r="B10" s="3" t="n">
        <v>46266</v>
      </c>
      <c r="C10" s="4" t="n">
        <v>52.5</v>
      </c>
      <c r="D10" s="5">
        <f>IF(AND(A10="",B10="",C10=""),"",IF(NOT(AND(A10&lt;&gt;"",ISNUMBER(B10),ISNUMBER(C10))),"Check",IF(AND(A9=A10,ISNUMBER(B9)),IF(B10&lt;B9,"Check order",IF(B10=B9,"Same day","OK")),"OK")))</f>
        <v/>
      </c>
    </row>
    <row r="11">
      <c r="A11" s="2" t="inlineStr">
        <is>
          <t>Espresso Blend</t>
        </is>
      </c>
      <c r="B11" s="3" t="n">
        <v>45658</v>
      </c>
      <c r="C11" s="4" t="n">
        <v>45</v>
      </c>
      <c r="D11" s="5">
        <f>IF(AND(A11="",B11="",C11=""),"",IF(NOT(AND(A11&lt;&gt;"",ISNUMBER(B11),ISNUMBER(C11))),"Check",IF(AND(A10=A11,ISNUMBER(B10)),IF(B11&lt;B10,"Check order",IF(B11=B10,"Same day","OK")),"OK")))</f>
        <v/>
      </c>
    </row>
    <row r="12">
      <c r="A12" s="2" t="inlineStr">
        <is>
          <t>Espresso Blend</t>
        </is>
      </c>
      <c r="B12" s="3" t="n">
        <v>45839</v>
      </c>
      <c r="C12" s="4" t="n">
        <v>46.75</v>
      </c>
      <c r="D12" s="5">
        <f>IF(AND(A12="",B12="",C12=""),"",IF(NOT(AND(A12&lt;&gt;"",ISNUMBER(B12),ISNUMBER(C12))),"Check",IF(AND(A11=A12,ISNUMBER(B11)),IF(B12&lt;B11,"Check order",IF(B12=B11,"Same day","OK")),"OK")))</f>
        <v/>
      </c>
    </row>
    <row r="13">
      <c r="A13" s="2" t="inlineStr">
        <is>
          <t>House Blend</t>
        </is>
      </c>
      <c r="B13" s="3" t="n">
        <v>45658</v>
      </c>
      <c r="C13" s="4" t="n">
        <v>42</v>
      </c>
      <c r="D13" s="5">
        <f>IF(AND(A13="",B13="",C13=""),"",IF(NOT(AND(A13&lt;&gt;"",ISNUMBER(B13),ISNUMBER(C13))),"Check",IF(AND(A12=A13,ISNUMBER(B12)),IF(B13&lt;B12,"Check order",IF(B13=B12,"Same day","OK")),"OK")))</f>
        <v/>
      </c>
    </row>
    <row r="14">
      <c r="A14" s="2" t="inlineStr">
        <is>
          <t>House Blend</t>
        </is>
      </c>
      <c r="B14" s="3" t="n">
        <v>45839</v>
      </c>
      <c r="C14" s="4" t="n">
        <v>44.5</v>
      </c>
      <c r="D14" s="5">
        <f>IF(AND(A14="",B14="",C14=""),"",IF(NOT(AND(A14&lt;&gt;"",ISNUMBER(B14),ISNUMBER(C14))),"Check",IF(AND(A13=A14,ISNUMBER(B13)),IF(B14&lt;B13,"Check order",IF(B14=B13,"Same day","OK")),"OK")))</f>
        <v/>
      </c>
    </row>
    <row r="15">
      <c r="A15" s="2" t="inlineStr">
        <is>
          <t>House Blend</t>
        </is>
      </c>
      <c r="B15" s="3" t="n">
        <v>46082</v>
      </c>
      <c r="C15" s="4" t="n">
        <v>46</v>
      </c>
      <c r="D15" s="5">
        <f>IF(AND(A15="",B15="",C15=""),"",IF(NOT(AND(A15&lt;&gt;"",ISNUMBER(B15),ISNUMBER(C15))),"Check",IF(AND(A14=A15,ISNUMBER(B14)),IF(B15&lt;B14,"Check order",IF(B15=B14,"Same day","OK")),"OK")))</f>
        <v/>
      </c>
    </row>
    <row r="16">
      <c r="A16" s="2" t="inlineStr">
        <is>
          <t>Single Origin Ethiopia</t>
        </is>
      </c>
      <c r="B16" s="3" t="n">
        <v>45809</v>
      </c>
      <c r="C16" s="4" t="n">
        <v>58</v>
      </c>
      <c r="D16" s="5">
        <f>IF(AND(A16="",B16="",C16=""),"",IF(NOT(AND(A16&lt;&gt;"",ISNUMBER(B16),ISNUMBER(C16))),"Check",IF(AND(A15=A16,ISNUMBER(B15)),IF(B16&lt;B15,"Check order",IF(B16=B15,"Same day","OK")),"OK")))</f>
        <v/>
      </c>
    </row>
    <row r="17">
      <c r="A17" s="2" t="inlineStr">
        <is>
          <t>Single Origin Ethiopia</t>
        </is>
      </c>
      <c r="B17" s="3" t="n">
        <v>46113</v>
      </c>
      <c r="C17" s="4" t="n">
        <v>61</v>
      </c>
      <c r="D17" s="5">
        <f>IF(AND(A17="",B17="",C17=""),"",IF(NOT(AND(A17&lt;&gt;"",ISNUMBER(B17),ISNUMBER(C17))),"Check",IF(AND(A16=A17,ISNUMBER(B16)),IF(B17&lt;B16,"Check order",IF(B17=B16,"Same day","OK")),"OK")))</f>
        <v/>
      </c>
    </row>
    <row r="18">
      <c r="A18" s="2" t="n"/>
      <c r="B18" s="3" t="n"/>
      <c r="C18" s="4" t="n"/>
      <c r="D18" s="5">
        <f>IF(AND(A18="",B18="",C18=""),"",IF(NOT(AND(A18&lt;&gt;"",ISNUMBER(B18),ISNUMBER(C18))),"Check",IF(AND(A17=A18,ISNUMBER(B17)),IF(B18&lt;B17,"Check order",IF(B18=B17,"Same day","OK")),"OK")))</f>
        <v/>
      </c>
    </row>
    <row r="19">
      <c r="A19" s="2" t="n"/>
      <c r="B19" s="3" t="n"/>
      <c r="C19" s="4" t="n"/>
      <c r="D19" s="5">
        <f>IF(AND(A19="",B19="",C19=""),"",IF(NOT(AND(A19&lt;&gt;"",ISNUMBER(B19),ISNUMBER(C19))),"Check",IF(AND(A18=A19,ISNUMBER(B18)),IF(B19&lt;B18,"Check order",IF(B19=B18,"Same day","OK")),"OK")))</f>
        <v/>
      </c>
    </row>
    <row r="20">
      <c r="A20" s="2" t="n"/>
      <c r="B20" s="3" t="n"/>
      <c r="C20" s="4" t="n"/>
      <c r="D20" s="5">
        <f>IF(AND(A20="",B20="",C20=""),"",IF(NOT(AND(A20&lt;&gt;"",ISNUMBER(B20),ISNUMBER(C20))),"Check",IF(AND(A19=A20,ISNUMBER(B19)),IF(B20&lt;B19,"Check order",IF(B20=B19,"Same day","OK")),"OK")))</f>
        <v/>
      </c>
    </row>
    <row r="21">
      <c r="A21" s="2" t="n"/>
      <c r="B21" s="3" t="n"/>
      <c r="C21" s="4" t="n"/>
      <c r="D21" s="5">
        <f>IF(AND(A21="",B21="",C21=""),"",IF(NOT(AND(A21&lt;&gt;"",ISNUMBER(B21),ISNUMBER(C21))),"Check",IF(AND(A20=A21,ISNUMBER(B20)),IF(B21&lt;B20,"Check order",IF(B21=B20,"Same day","OK")),"OK")))</f>
        <v/>
      </c>
    </row>
    <row r="22">
      <c r="A22" s="2" t="n"/>
      <c r="B22" s="3" t="n"/>
      <c r="C22" s="4" t="n"/>
      <c r="D22" s="5">
        <f>IF(AND(A22="",B22="",C22=""),"",IF(NOT(AND(A22&lt;&gt;"",ISNUMBER(B22),ISNUMBER(C22))),"Check",IF(AND(A21=A22,ISNUMBER(B21)),IF(B22&lt;B21,"Check order",IF(B22=B21,"Same day","OK")),"OK")))</f>
        <v/>
      </c>
    </row>
    <row r="23">
      <c r="A23" s="2" t="n"/>
      <c r="B23" s="3" t="n"/>
      <c r="C23" s="4" t="n"/>
      <c r="D23" s="5">
        <f>IF(AND(A23="",B23="",C23=""),"",IF(NOT(AND(A23&lt;&gt;"",ISNUMBER(B23),ISNUMBER(C23))),"Check",IF(AND(A22=A23,ISNUMBER(B22)),IF(B23&lt;B22,"Check order",IF(B23=B22,"Same day","OK")),"OK")))</f>
        <v/>
      </c>
    </row>
    <row r="24">
      <c r="A24" s="2" t="n"/>
      <c r="B24" s="3" t="n"/>
      <c r="C24" s="4" t="n"/>
      <c r="D24" s="5">
        <f>IF(AND(A24="",B24="",C24=""),"",IF(NOT(AND(A24&lt;&gt;"",ISNUMBER(B24),ISNUMBER(C24))),"Check",IF(AND(A23=A24,ISNUMBER(B23)),IF(B24&lt;B23,"Check order",IF(B24=B23,"Same day","OK")),"OK")))</f>
        <v/>
      </c>
    </row>
    <row r="25">
      <c r="A25" s="2" t="n"/>
      <c r="B25" s="3" t="n"/>
      <c r="C25" s="4" t="n"/>
      <c r="D25" s="5">
        <f>IF(AND(A25="",B25="",C25=""),"",IF(NOT(AND(A25&lt;&gt;"",ISNUMBER(B25),ISNUMBER(C25))),"Check",IF(AND(A24=A25,ISNUMBER(B24)),IF(B25&lt;B24,"Check order",IF(B25=B24,"Same day","OK")),"OK")))</f>
        <v/>
      </c>
    </row>
    <row r="26">
      <c r="A26" s="2" t="n"/>
      <c r="B26" s="3" t="n"/>
      <c r="C26" s="4" t="n"/>
      <c r="D26" s="5">
        <f>IF(AND(A26="",B26="",C26=""),"",IF(NOT(AND(A26&lt;&gt;"",ISNUMBER(B26),ISNUMBER(C26))),"Check",IF(AND(A25=A26,ISNUMBER(B25)),IF(B26&lt;B25,"Check order",IF(B26=B25,"Same day","OK")),"OK")))</f>
        <v/>
      </c>
    </row>
    <row r="27">
      <c r="A27" s="2" t="n"/>
      <c r="B27" s="3" t="n"/>
      <c r="C27" s="4" t="n"/>
      <c r="D27" s="5">
        <f>IF(AND(A27="",B27="",C27=""),"",IF(NOT(AND(A27&lt;&gt;"",ISNUMBER(B27),ISNUMBER(C27))),"Check",IF(AND(A26=A27,ISNUMBER(B26)),IF(B27&lt;B26,"Check order",IF(B27=B26,"Same day","OK")),"OK")))</f>
        <v/>
      </c>
    </row>
    <row r="28">
      <c r="A28" s="2" t="n"/>
      <c r="B28" s="3" t="n"/>
      <c r="C28" s="4" t="n"/>
      <c r="D28" s="5">
        <f>IF(AND(A28="",B28="",C28=""),"",IF(NOT(AND(A28&lt;&gt;"",ISNUMBER(B28),ISNUMBER(C28))),"Check",IF(AND(A27=A28,ISNUMBER(B27)),IF(B28&lt;B27,"Check order",IF(B28=B27,"Same day","OK")),"OK")))</f>
        <v/>
      </c>
    </row>
    <row r="29">
      <c r="A29" s="2" t="n"/>
      <c r="B29" s="3" t="n"/>
      <c r="C29" s="4" t="n"/>
      <c r="D29" s="5">
        <f>IF(AND(A29="",B29="",C29=""),"",IF(NOT(AND(A29&lt;&gt;"",ISNUMBER(B29),ISNUMBER(C29))),"Check",IF(AND(A28=A29,ISNUMBER(B28)),IF(B29&lt;B28,"Check order",IF(B29=B28,"Same day","OK")),"OK")))</f>
        <v/>
      </c>
    </row>
    <row r="30">
      <c r="A30" s="2" t="n"/>
      <c r="B30" s="3" t="n"/>
      <c r="C30" s="4" t="n"/>
      <c r="D30" s="5">
        <f>IF(AND(A30="",B30="",C30=""),"",IF(NOT(AND(A30&lt;&gt;"",ISNUMBER(B30),ISNUMBER(C30))),"Check",IF(AND(A29=A30,ISNUMBER(B29)),IF(B30&lt;B29,"Check order",IF(B30=B29,"Same day","OK")),"OK")))</f>
        <v/>
      </c>
    </row>
    <row r="31">
      <c r="A31" s="2" t="n"/>
      <c r="B31" s="3" t="n"/>
      <c r="C31" s="4" t="n"/>
      <c r="D31" s="5">
        <f>IF(AND(A31="",B31="",C31=""),"",IF(NOT(AND(A31&lt;&gt;"",ISNUMBER(B31),ISNUMBER(C31))),"Check",IF(AND(A30=A31,ISNUMBER(B30)),IF(B31&lt;B30,"Check order",IF(B31=B30,"Same day","OK")),"OK")))</f>
        <v/>
      </c>
    </row>
    <row r="32">
      <c r="A32" s="2" t="n"/>
      <c r="B32" s="3" t="n"/>
      <c r="C32" s="4" t="n"/>
      <c r="D32" s="5">
        <f>IF(AND(A32="",B32="",C32=""),"",IF(NOT(AND(A32&lt;&gt;"",ISNUMBER(B32),ISNUMBER(C32))),"Check",IF(AND(A31=A32,ISNUMBER(B31)),IF(B32&lt;B31,"Check order",IF(B32=B31,"Same day","OK")),"OK")))</f>
        <v/>
      </c>
    </row>
    <row r="33">
      <c r="A33" s="2" t="n"/>
      <c r="B33" s="3" t="n"/>
      <c r="C33" s="4" t="n"/>
      <c r="D33" s="5">
        <f>IF(AND(A33="",B33="",C33=""),"",IF(NOT(AND(A33&lt;&gt;"",ISNUMBER(B33),ISNUMBER(C33))),"Check",IF(AND(A32=A33,ISNUMBER(B32)),IF(B33&lt;B32,"Check order",IF(B33=B32,"Same day","OK")),"OK")))</f>
        <v/>
      </c>
    </row>
    <row r="34">
      <c r="A34" s="2" t="n"/>
      <c r="B34" s="3" t="n"/>
      <c r="C34" s="4" t="n"/>
      <c r="D34" s="5">
        <f>IF(AND(A34="",B34="",C34=""),"",IF(NOT(AND(A34&lt;&gt;"",ISNUMBER(B34),ISNUMBER(C34))),"Check",IF(AND(A33=A34,ISNUMBER(B33)),IF(B34&lt;B33,"Check order",IF(B34=B33,"Same day","OK")),"OK")))</f>
        <v/>
      </c>
    </row>
    <row r="35">
      <c r="A35" s="2" t="n"/>
      <c r="B35" s="3" t="n"/>
      <c r="C35" s="4" t="n"/>
      <c r="D35" s="5">
        <f>IF(AND(A35="",B35="",C35=""),"",IF(NOT(AND(A35&lt;&gt;"",ISNUMBER(B35),ISNUMBER(C35))),"Check",IF(AND(A34=A35,ISNUMBER(B34)),IF(B35&lt;B34,"Check order",IF(B35=B34,"Same day","OK")),"OK")))</f>
        <v/>
      </c>
    </row>
    <row r="36">
      <c r="A36" s="2" t="n"/>
      <c r="B36" s="3" t="n"/>
      <c r="C36" s="4" t="n"/>
      <c r="D36" s="5">
        <f>IF(AND(A36="",B36="",C36=""),"",IF(NOT(AND(A36&lt;&gt;"",ISNUMBER(B36),ISNUMBER(C36))),"Check",IF(AND(A35=A36,ISNUMBER(B35)),IF(B36&lt;B35,"Check order",IF(B36=B35,"Same day","OK")),"OK")))</f>
        <v/>
      </c>
    </row>
    <row r="37">
      <c r="A37" s="2" t="n"/>
      <c r="B37" s="3" t="n"/>
      <c r="C37" s="4" t="n"/>
      <c r="D37" s="5">
        <f>IF(AND(A37="",B37="",C37=""),"",IF(NOT(AND(A37&lt;&gt;"",ISNUMBER(B37),ISNUMBER(C37))),"Check",IF(AND(A36=A37,ISNUMBER(B36)),IF(B37&lt;B36,"Check order",IF(B37=B36,"Same day","OK")),"OK")))</f>
        <v/>
      </c>
    </row>
    <row r="38">
      <c r="A38" s="2" t="n"/>
      <c r="B38" s="3" t="n"/>
      <c r="C38" s="4" t="n"/>
      <c r="D38" s="5">
        <f>IF(AND(A38="",B38="",C38=""),"",IF(NOT(AND(A38&lt;&gt;"",ISNUMBER(B38),ISNUMBER(C38))),"Check",IF(AND(A37=A38,ISNUMBER(B37)),IF(B38&lt;B37,"Check order",IF(B38=B37,"Same day","OK")),"OK")))</f>
        <v/>
      </c>
    </row>
    <row r="39">
      <c r="A39" s="2" t="n"/>
      <c r="B39" s="3" t="n"/>
      <c r="C39" s="4" t="n"/>
      <c r="D39" s="5">
        <f>IF(AND(A39="",B39="",C39=""),"",IF(NOT(AND(A39&lt;&gt;"",ISNUMBER(B39),ISNUMBER(C39))),"Check",IF(AND(A38=A39,ISNUMBER(B38)),IF(B39&lt;B38,"Check order",IF(B39=B38,"Same day","OK")),"OK")))</f>
        <v/>
      </c>
    </row>
    <row r="40">
      <c r="A40" s="2" t="n"/>
      <c r="B40" s="3" t="n"/>
      <c r="C40" s="4" t="n"/>
      <c r="D40" s="5">
        <f>IF(AND(A40="",B40="",C40=""),"",IF(NOT(AND(A40&lt;&gt;"",ISNUMBER(B40),ISNUMBER(C40))),"Check",IF(AND(A39=A40,ISNUMBER(B39)),IF(B40&lt;B39,"Check order",IF(B40=B39,"Same day","OK")),"OK")))</f>
        <v/>
      </c>
    </row>
  </sheetData>
  <conditionalFormatting sqref="D2:D40">
    <cfRule type="expression" priority="1" dxfId="0">
      <formula>OR(D2="Check",D2="Check order")</formula>
    </cfRule>
  </conditionalFormatting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8" customWidth="1" min="3" max="3"/>
    <col width="16" customWidth="1" min="4" max="4"/>
    <col width="14" customWidth="1" min="5" max="5"/>
    <col width="3" customWidth="1" min="7" max="7"/>
    <col width="40" customWidth="1" min="8" max="8"/>
    <col width="16" customWidth="1" min="9" max="9"/>
  </cols>
  <sheetData>
    <row r="1" ht="30" customHeight="1">
      <c r="A1" s="1" t="inlineStr">
        <is>
          <t>Order date</t>
        </is>
      </c>
      <c r="B1" s="1" t="inlineStr">
        <is>
          <t>Product</t>
        </is>
      </c>
      <c r="C1" s="1" t="inlineStr">
        <is>
          <t>Qty</t>
        </is>
      </c>
      <c r="D1" s="1" t="inlineStr">
        <is>
          <t>Price in effect</t>
        </is>
      </c>
      <c r="E1" s="1" t="inlineStr">
        <is>
          <t>Line total</t>
        </is>
      </c>
      <c r="H1" s="6" t="inlineStr">
        <is>
          <t>Summary</t>
        </is>
      </c>
      <c r="I1" s="6" t="inlineStr">
        <is>
          <t>Value</t>
        </is>
      </c>
    </row>
    <row r="2">
      <c r="A2" s="3" t="n">
        <v>46006</v>
      </c>
      <c r="B2" s="2" t="inlineStr">
        <is>
          <t>Dark Roast</t>
        </is>
      </c>
      <c r="C2" s="2" t="n">
        <v>4</v>
      </c>
      <c r="D2" s="7">
        <f>IF(AND(A2="",B2=""),"",IF(OR(NOT(ISNUMBER(A2)),B2=""),"Check",IFERROR(LOOKUP(2,1/((Prices!$A$2:$A$40=B2)*(Prices!$B$2:$B$40&lt;=A2)*ISNUMBER(Prices!$B$2:$B$40)*ISNUMBER(Prices!$C$2:$C$40)),Prices!$C$2:$C$40),"No price yet")))</f>
        <v/>
      </c>
      <c r="E2" s="7">
        <f>IF(ISNUMBER(D2),IF(ISNUMBER(C2),C2*D2,"Check"),"")</f>
        <v/>
      </c>
      <c r="H2" s="8" t="inlineStr">
        <is>
          <t>Orders priced</t>
        </is>
      </c>
      <c r="I2" s="9">
        <f>COUNT(E2:E200)</f>
        <v/>
      </c>
    </row>
    <row r="3">
      <c r="A3" s="3" t="n">
        <v>45658</v>
      </c>
      <c r="B3" s="2" t="inlineStr">
        <is>
          <t>Dark Roast</t>
        </is>
      </c>
      <c r="C3" s="2" t="n">
        <v>2</v>
      </c>
      <c r="D3" s="7">
        <f>IF(AND(A3="",B3=""),"",IF(OR(NOT(ISNUMBER(A3)),B3=""),"Check",IFERROR(LOOKUP(2,1/((Prices!$A$2:$A$40=B3)*(Prices!$B$2:$B$40&lt;=A3)*ISNUMBER(Prices!$B$2:$B$40)*ISNUMBER(Prices!$C$2:$C$40)),Prices!$C$2:$C$40),"No price yet")))</f>
        <v/>
      </c>
      <c r="E3" s="7">
        <f>IF(ISNUMBER(D3),IF(ISNUMBER(C3),C3*D3,"Check"),"")</f>
        <v/>
      </c>
      <c r="H3" s="8" t="inlineStr">
        <is>
          <t>Orders with No price yet</t>
        </is>
      </c>
      <c r="I3" s="9">
        <f>COUNTIF(D2:D200,"No price yet")</f>
        <v/>
      </c>
    </row>
    <row r="4">
      <c r="A4" s="3" t="n">
        <v>45838</v>
      </c>
      <c r="B4" s="2" t="inlineStr">
        <is>
          <t>House Blend</t>
        </is>
      </c>
      <c r="C4" s="2" t="n">
        <v>6</v>
      </c>
      <c r="D4" s="7">
        <f>IF(AND(A4="",B4=""),"",IF(OR(NOT(ISNUMBER(A4)),B4=""),"Check",IFERROR(LOOKUP(2,1/((Prices!$A$2:$A$40=B4)*(Prices!$B$2:$B$40&lt;=A4)*ISNUMBER(Prices!$B$2:$B$40)*ISNUMBER(Prices!$C$2:$C$40)),Prices!$C$2:$C$40),"No price yet")))</f>
        <v/>
      </c>
      <c r="E4" s="7">
        <f>IF(ISNUMBER(D4),IF(ISNUMBER(C4),C4*D4,"Check"),"")</f>
        <v/>
      </c>
      <c r="H4" s="8" t="inlineStr">
        <is>
          <t>Order rows to check</t>
        </is>
      </c>
      <c r="I4" s="9">
        <f>COUNTIF(D2:D200,"Check")+COUNTIF(E2:E200,"Check")</f>
        <v/>
      </c>
    </row>
    <row r="5">
      <c r="A5" s="3" t="n">
        <v>45839</v>
      </c>
      <c r="B5" s="2" t="inlineStr">
        <is>
          <t>House Blend</t>
        </is>
      </c>
      <c r="C5" s="2" t="n">
        <v>6</v>
      </c>
      <c r="D5" s="7">
        <f>IF(AND(A5="",B5=""),"",IF(OR(NOT(ISNUMBER(A5)),B5=""),"Check",IFERROR(LOOKUP(2,1/((Prices!$A$2:$A$40=B5)*(Prices!$B$2:$B$40&lt;=A5)*ISNUMBER(Prices!$B$2:$B$40)*ISNUMBER(Prices!$C$2:$C$40)),Prices!$C$2:$C$40),"No price yet")))</f>
        <v/>
      </c>
      <c r="E5" s="7">
        <f>IF(ISNUMBER(D5),IF(ISNUMBER(C5),C5*D5,"Check"),"")</f>
        <v/>
      </c>
      <c r="H5" s="8" t="inlineStr">
        <is>
          <t>Price rows to check</t>
        </is>
      </c>
      <c r="I5" s="9">
        <f>COUNTIF(Prices!D2:D40,"Check")+COUNTIF(Prices!D2:D40,"Check order")</f>
        <v/>
      </c>
    </row>
    <row r="6">
      <c r="A6" s="3" t="n">
        <v>46081</v>
      </c>
      <c r="B6" s="2" t="inlineStr">
        <is>
          <t>Dark Roast</t>
        </is>
      </c>
      <c r="C6" s="2" t="n">
        <v>3</v>
      </c>
      <c r="D6" s="7">
        <f>IF(AND(A6="",B6=""),"",IF(OR(NOT(ISNUMBER(A6)),B6=""),"Check",IFERROR(LOOKUP(2,1/((Prices!$A$2:$A$40=B6)*(Prices!$B$2:$B$40&lt;=A6)*ISNUMBER(Prices!$B$2:$B$40)*ISNUMBER(Prices!$C$2:$C$40)),Prices!$C$2:$C$40),"No price yet")))</f>
        <v/>
      </c>
      <c r="E6" s="7">
        <f>IF(ISNUMBER(D6),IF(ISNUMBER(C6),C6*D6,"Check"),"")</f>
        <v/>
      </c>
      <c r="H6" s="8" t="inlineStr">
        <is>
          <t>Total of line totals</t>
        </is>
      </c>
      <c r="I6" s="10">
        <f>SUM(E2:E200)</f>
        <v/>
      </c>
    </row>
    <row r="7">
      <c r="A7" s="3" t="n">
        <v>46082</v>
      </c>
      <c r="B7" s="2" t="inlineStr">
        <is>
          <t>Dark Roast</t>
        </is>
      </c>
      <c r="C7" s="2" t="n">
        <v>3</v>
      </c>
      <c r="D7" s="7">
        <f>IF(AND(A7="",B7=""),"",IF(OR(NOT(ISNUMBER(A7)),B7=""),"Check",IFERROR(LOOKUP(2,1/((Prices!$A$2:$A$40=B7)*(Prices!$B$2:$B$40&lt;=A7)*ISNUMBER(Prices!$B$2:$B$40)*ISNUMBER(Prices!$C$2:$C$40)),Prices!$C$2:$C$40),"No price yet")))</f>
        <v/>
      </c>
      <c r="E7" s="7">
        <f>IF(ISNUMBER(D7),IF(ISNUMBER(C7),C7*D7,"Check"),"")</f>
        <v/>
      </c>
      <c r="H7" s="8" t="inlineStr">
        <is>
          <t>Check: every order row is priced, flagged or No price yet</t>
        </is>
      </c>
      <c r="I7" s="11">
        <f>IF(AND(SUMPRODUCT(--((A2:A200&lt;&gt;"")+(B2:B200&lt;&gt;"")&gt;0))=COUNT(E2:E200)+COUNTIF(E2:E200,"Check")+COUNTIF(D2:D200,"No price yet")+COUNTIF(D2:D200,"Check"),I5=0),"OK","CHECK")</f>
        <v/>
      </c>
    </row>
    <row r="8">
      <c r="A8" s="3" t="n">
        <v>46082</v>
      </c>
      <c r="B8" s="2" t="inlineStr">
        <is>
          <t>House Blend</t>
        </is>
      </c>
      <c r="C8" s="2" t="n">
        <v>5</v>
      </c>
      <c r="D8" s="7">
        <f>IF(AND(A8="",B8=""),"",IF(OR(NOT(ISNUMBER(A8)),B8=""),"Check",IFERROR(LOOKUP(2,1/((Prices!$A$2:$A$40=B8)*(Prices!$B$2:$B$40&lt;=A8)*ISNUMBER(Prices!$B$2:$B$40)*ISNUMBER(Prices!$C$2:$C$40)),Prices!$C$2:$C$40),"No price yet")))</f>
        <v/>
      </c>
      <c r="E8" s="7">
        <f>IF(ISNUMBER(D8),IF(ISNUMBER(C8),C8*D8,"Check"),"")</f>
        <v/>
      </c>
    </row>
    <row r="9">
      <c r="A9" s="3" t="n">
        <v>46080</v>
      </c>
      <c r="B9" s="2" t="inlineStr">
        <is>
          <t>House Blend</t>
        </is>
      </c>
      <c r="C9" s="2" t="n">
        <v>5</v>
      </c>
      <c r="D9" s="7">
        <f>IF(AND(A9="",B9=""),"",IF(OR(NOT(ISNUMBER(A9)),B9=""),"Check",IFERROR(LOOKUP(2,1/((Prices!$A$2:$A$40=B9)*(Prices!$B$2:$B$40&lt;=A9)*ISNUMBER(Prices!$B$2:$B$40)*ISNUMBER(Prices!$C$2:$C$40)),Prices!$C$2:$C$40),"No price yet")))</f>
        <v/>
      </c>
      <c r="E9" s="7">
        <f>IF(ISNUMBER(D9),IF(ISNUMBER(C9),C9*D9,"Check"),"")</f>
        <v/>
      </c>
      <c r="H9" s="8" t="inlineStr">
        <is>
          <t>One product with INDEX and MATCH (Cold Brew Pack, Prices rows 2 to 4)</t>
        </is>
      </c>
    </row>
    <row r="10">
      <c r="A10" s="3" t="n">
        <v>45731</v>
      </c>
      <c r="B10" s="2" t="inlineStr">
        <is>
          <t>Single Origin Ethiopia</t>
        </is>
      </c>
      <c r="C10" s="2" t="n">
        <v>2</v>
      </c>
      <c r="D10" s="7">
        <f>IF(AND(A10="",B10=""),"",IF(OR(NOT(ISNUMBER(A10)),B10=""),"Check",IFERROR(LOOKUP(2,1/((Prices!$A$2:$A$40=B10)*(Prices!$B$2:$B$40&lt;=A10)*ISNUMBER(Prices!$B$2:$B$40)*ISNUMBER(Prices!$C$2:$C$40)),Prices!$C$2:$C$40),"No price yet")))</f>
        <v/>
      </c>
      <c r="E10" s="7">
        <f>IF(ISNUMBER(D10),IF(ISNUMBER(C10),C10*D10,"Check"),"")</f>
        <v/>
      </c>
      <c r="H10" t="inlineStr">
        <is>
          <t>Order date (typed)</t>
        </is>
      </c>
      <c r="I10" s="3" t="n">
        <v>46249</v>
      </c>
    </row>
    <row r="11">
      <c r="A11" s="3" t="n">
        <v>45809</v>
      </c>
      <c r="B11" s="2" t="inlineStr">
        <is>
          <t>Single Origin Ethiopia</t>
        </is>
      </c>
      <c r="C11" s="2" t="n">
        <v>2</v>
      </c>
      <c r="D11" s="7">
        <f>IF(AND(A11="",B11=""),"",IF(OR(NOT(ISNUMBER(A11)),B11=""),"Check",IFERROR(LOOKUP(2,1/((Prices!$A$2:$A$40=B11)*(Prices!$B$2:$B$40&lt;=A11)*ISNUMBER(Prices!$B$2:$B$40)*ISNUMBER(Prices!$C$2:$C$40)),Prices!$C$2:$C$40),"No price yet")))</f>
        <v/>
      </c>
      <c r="E11" s="7">
        <f>IF(ISNUMBER(D11),IF(ISNUMBER(C11),C11*D11,"Check"),"")</f>
        <v/>
      </c>
      <c r="H11" t="inlineStr">
        <is>
          <t>Price in effect (INDEX and MATCH)</t>
        </is>
      </c>
      <c r="I11" s="10">
        <f>IF(NOT(ISNUMBER(I10)),"Check",IFERROR(INDEX(Prices!$C$2:$C$4,MATCH(I10,Prices!$B$2:$B$4,1)),"No price yet"))</f>
        <v/>
      </c>
    </row>
    <row r="12">
      <c r="A12" s="3" t="n">
        <v>46114</v>
      </c>
      <c r="B12" s="2" t="inlineStr">
        <is>
          <t>Single Origin Ethiopia</t>
        </is>
      </c>
      <c r="C12" s="2" t="n">
        <v>3</v>
      </c>
      <c r="D12" s="7">
        <f>IF(AND(A12="",B12=""),"",IF(OR(NOT(ISNUMBER(A12)),B12=""),"Check",IFERROR(LOOKUP(2,1/((Prices!$A$2:$A$40=B12)*(Prices!$B$2:$B$40&lt;=A12)*ISNUMBER(Prices!$B$2:$B$40)*ISNUMBER(Prices!$C$2:$C$40)),Prices!$C$2:$C$40),"No price yet")))</f>
        <v/>
      </c>
      <c r="E12" s="7">
        <f>IF(ISNUMBER(D12),IF(ISNUMBER(C12),C12*D12,"Check"),"")</f>
        <v/>
      </c>
      <c r="H12" t="inlineStr">
        <is>
          <t>Dates sorted oldest first?</t>
        </is>
      </c>
      <c r="I12" s="11">
        <f>IF(AND(Prices!B2&lt;=Prices!B3,Prices!B3&lt;=Prices!B4),"Sorted","Not sorted")</f>
        <v/>
      </c>
    </row>
    <row r="13">
      <c r="A13" s="3" t="n">
        <v>46023</v>
      </c>
      <c r="B13" s="2" t="inlineStr">
        <is>
          <t>Cold Brew Pack</t>
        </is>
      </c>
      <c r="C13" s="2" t="n">
        <v>10</v>
      </c>
      <c r="D13" s="7">
        <f>IF(AND(A13="",B13=""),"",IF(OR(NOT(ISNUMBER(A13)),B13=""),"Check",IFERROR(LOOKUP(2,1/((Prices!$A$2:$A$40=B13)*(Prices!$B$2:$B$40&lt;=A13)*ISNUMBER(Prices!$B$2:$B$40)*ISNUMBER(Prices!$C$2:$C$40)),Prices!$C$2:$C$40),"No price yet")))</f>
        <v/>
      </c>
      <c r="E13" s="7">
        <f>IF(ISNUMBER(D13),IF(ISNUMBER(C13),C13*D13,"Check"),"")</f>
        <v/>
      </c>
    </row>
    <row r="14">
      <c r="A14" s="3" t="n">
        <v>45981</v>
      </c>
      <c r="B14" s="2" t="inlineStr">
        <is>
          <t>Cold Brew Pack</t>
        </is>
      </c>
      <c r="C14" s="2" t="n">
        <v>8</v>
      </c>
      <c r="D14" s="7">
        <f>IF(AND(A14="",B14=""),"",IF(OR(NOT(ISNUMBER(A14)),B14=""),"Check",IFERROR(LOOKUP(2,1/((Prices!$A$2:$A$40=B14)*(Prices!$B$2:$B$40&lt;=A14)*ISNUMBER(Prices!$B$2:$B$40)*ISNUMBER(Prices!$C$2:$C$40)),Prices!$C$2:$C$40),"No price yet")))</f>
        <v/>
      </c>
      <c r="E14" s="7">
        <f>IF(ISNUMBER(D14),IF(ISNUMBER(C14),C14*D14,"Check"),"")</f>
        <v/>
      </c>
    </row>
    <row r="15">
      <c r="A15" s="3" t="n">
        <v>46217</v>
      </c>
      <c r="B15" s="2" t="inlineStr">
        <is>
          <t>Cold Brew Pack</t>
        </is>
      </c>
      <c r="C15" s="2" t="n">
        <v>12</v>
      </c>
      <c r="D15" s="7">
        <f>IF(AND(A15="",B15=""),"",IF(OR(NOT(ISNUMBER(A15)),B15=""),"Check",IFERROR(LOOKUP(2,1/((Prices!$A$2:$A$40=B15)*(Prices!$B$2:$B$40&lt;=A15)*ISNUMBER(Prices!$B$2:$B$40)*ISNUMBER(Prices!$C$2:$C$40)),Prices!$C$2:$C$40),"No price yet")))</f>
        <v/>
      </c>
      <c r="E15" s="7">
        <f>IF(ISNUMBER(D15),IF(ISNUMBER(C15),C15*D15,"Check"),"")</f>
        <v/>
      </c>
    </row>
    <row r="16">
      <c r="A16" s="3" t="n">
        <v>46296</v>
      </c>
      <c r="B16" s="2" t="inlineStr">
        <is>
          <t>Cold Brew Pack</t>
        </is>
      </c>
      <c r="C16" s="2" t="n">
        <v>12</v>
      </c>
      <c r="D16" s="7">
        <f>IF(AND(A16="",B16=""),"",IF(OR(NOT(ISNUMBER(A16)),B16=""),"Check",IFERROR(LOOKUP(2,1/((Prices!$A$2:$A$40=B16)*(Prices!$B$2:$B$40&lt;=A16)*ISNUMBER(Prices!$B$2:$B$40)*ISNUMBER(Prices!$C$2:$C$40)),Prices!$C$2:$C$40),"No price yet")))</f>
        <v/>
      </c>
      <c r="E16" s="7">
        <f>IF(ISNUMBER(D16),IF(ISNUMBER(C16),C16*D16,"Check"),"")</f>
        <v/>
      </c>
    </row>
    <row r="17">
      <c r="A17" s="3" t="n">
        <v>45900</v>
      </c>
      <c r="B17" s="2" t="inlineStr">
        <is>
          <t>Decaf Blend</t>
        </is>
      </c>
      <c r="C17" s="2" t="n">
        <v>4</v>
      </c>
      <c r="D17" s="7">
        <f>IF(AND(A17="",B17=""),"",IF(OR(NOT(ISNUMBER(A17)),B17=""),"Check",IFERROR(LOOKUP(2,1/((Prices!$A$2:$A$40=B17)*(Prices!$B$2:$B$40&lt;=A17)*ISNUMBER(Prices!$B$2:$B$40)*ISNUMBER(Prices!$C$2:$C$40)),Prices!$C$2:$C$40),"No price yet")))</f>
        <v/>
      </c>
      <c r="E17" s="7">
        <f>IF(ISNUMBER(D17),IF(ISNUMBER(C17),C17*D17,"Check"),"")</f>
        <v/>
      </c>
    </row>
    <row r="18">
      <c r="A18" s="3" t="n">
        <v>45901</v>
      </c>
      <c r="B18" s="2" t="inlineStr">
        <is>
          <t>Decaf Blend</t>
        </is>
      </c>
      <c r="C18" s="2" t="n">
        <v>4</v>
      </c>
      <c r="D18" s="7">
        <f>IF(AND(A18="",B18=""),"",IF(OR(NOT(ISNUMBER(A18)),B18=""),"Check",IFERROR(LOOKUP(2,1/((Prices!$A$2:$A$40=B18)*(Prices!$B$2:$B$40&lt;=A18)*ISNUMBER(Prices!$B$2:$B$40)*ISNUMBER(Prices!$C$2:$C$40)),Prices!$C$2:$C$40),"No price yet")))</f>
        <v/>
      </c>
      <c r="E18" s="7">
        <f>IF(ISNUMBER(D18),IF(ISNUMBER(C18),C18*D18,"Check"),"")</f>
        <v/>
      </c>
    </row>
    <row r="19">
      <c r="A19" s="3" t="n">
        <v>46265</v>
      </c>
      <c r="B19" s="2" t="inlineStr">
        <is>
          <t>Decaf Blend</t>
        </is>
      </c>
      <c r="C19" s="2" t="n">
        <v>5</v>
      </c>
      <c r="D19" s="7">
        <f>IF(AND(A19="",B19=""),"",IF(OR(NOT(ISNUMBER(A19)),B19=""),"Check",IFERROR(LOOKUP(2,1/((Prices!$A$2:$A$40=B19)*(Prices!$B$2:$B$40&lt;=A19)*ISNUMBER(Prices!$B$2:$B$40)*ISNUMBER(Prices!$C$2:$C$40)),Prices!$C$2:$C$40),"No price yet")))</f>
        <v/>
      </c>
      <c r="E19" s="7">
        <f>IF(ISNUMBER(D19),IF(ISNUMBER(C19),C19*D19,"Check"),"")</f>
        <v/>
      </c>
    </row>
    <row r="20">
      <c r="A20" s="3" t="n">
        <v>46266</v>
      </c>
      <c r="B20" s="2" t="inlineStr">
        <is>
          <t>Decaf Blend</t>
        </is>
      </c>
      <c r="C20" s="2" t="n">
        <v>5</v>
      </c>
      <c r="D20" s="7">
        <f>IF(AND(A20="",B20=""),"",IF(OR(NOT(ISNUMBER(A20)),B20=""),"Check",IFERROR(LOOKUP(2,1/((Prices!$A$2:$A$40=B20)*(Prices!$B$2:$B$40&lt;=A20)*ISNUMBER(Prices!$B$2:$B$40)*ISNUMBER(Prices!$C$2:$C$40)),Prices!$C$2:$C$40),"No price yet")))</f>
        <v/>
      </c>
      <c r="E20" s="7">
        <f>IF(ISNUMBER(D20),IF(ISNUMBER(C20),C20*D20,"Check"),"")</f>
        <v/>
      </c>
    </row>
    <row r="21">
      <c r="A21" s="3" t="n">
        <v>46307</v>
      </c>
      <c r="B21" s="2" t="inlineStr">
        <is>
          <t>Decaf Blend</t>
        </is>
      </c>
      <c r="C21" s="2" t="n">
        <v>6</v>
      </c>
      <c r="D21" s="7">
        <f>IF(AND(A21="",B21=""),"",IF(OR(NOT(ISNUMBER(A21)),B21=""),"Check",IFERROR(LOOKUP(2,1/((Prices!$A$2:$A$40=B21)*(Prices!$B$2:$B$40&lt;=A21)*ISNUMBER(Prices!$B$2:$B$40)*ISNUMBER(Prices!$C$2:$C$40)),Prices!$C$2:$C$40),"No price yet")))</f>
        <v/>
      </c>
      <c r="E21" s="7">
        <f>IF(ISNUMBER(D21),IF(ISNUMBER(C21),C21*D21,"Check"),"")</f>
        <v/>
      </c>
    </row>
    <row r="22">
      <c r="A22" s="3" t="n">
        <v>45782</v>
      </c>
      <c r="B22" s="2" t="inlineStr">
        <is>
          <t>Espresso Blend</t>
        </is>
      </c>
      <c r="C22" s="2" t="n">
        <v>7</v>
      </c>
      <c r="D22" s="7">
        <f>IF(AND(A22="",B22=""),"",IF(OR(NOT(ISNUMBER(A22)),B22=""),"Check",IFERROR(LOOKUP(2,1/((Prices!$A$2:$A$40=B22)*(Prices!$B$2:$B$40&lt;=A22)*ISNUMBER(Prices!$B$2:$B$40)*ISNUMBER(Prices!$C$2:$C$40)),Prices!$C$2:$C$40),"No price yet")))</f>
        <v/>
      </c>
      <c r="E22" s="7">
        <f>IF(ISNUMBER(D22),IF(ISNUMBER(C22),C22*D22,"Check"),"")</f>
        <v/>
      </c>
    </row>
    <row r="23">
      <c r="A23" s="3" t="n">
        <v>45853</v>
      </c>
      <c r="B23" s="2" t="inlineStr">
        <is>
          <t>Espresso Blend</t>
        </is>
      </c>
      <c r="C23" s="2" t="n">
        <v>7</v>
      </c>
      <c r="D23" s="7">
        <f>IF(AND(A23="",B23=""),"",IF(OR(NOT(ISNUMBER(A23)),B23=""),"Check",IFERROR(LOOKUP(2,1/((Prices!$A$2:$A$40=B23)*(Prices!$B$2:$B$40&lt;=A23)*ISNUMBER(Prices!$B$2:$B$40)*ISNUMBER(Prices!$C$2:$C$40)),Prices!$C$2:$C$40),"No price yet")))</f>
        <v/>
      </c>
      <c r="E23" s="7">
        <f>IF(ISNUMBER(D23),IF(ISNUMBER(C23),C23*D23,"Check"),"")</f>
        <v/>
      </c>
    </row>
    <row r="24">
      <c r="A24" s="3" t="n">
        <v>46304</v>
      </c>
      <c r="B24" s="2" t="inlineStr">
        <is>
          <t>Espresso Blend</t>
        </is>
      </c>
      <c r="C24" s="2" t="n">
        <v>9</v>
      </c>
      <c r="D24" s="7">
        <f>IF(AND(A24="",B24=""),"",IF(OR(NOT(ISNUMBER(A24)),B24=""),"Check",IFERROR(LOOKUP(2,1/((Prices!$A$2:$A$40=B24)*(Prices!$B$2:$B$40&lt;=A24)*ISNUMBER(Prices!$B$2:$B$40)*ISNUMBER(Prices!$C$2:$C$40)),Prices!$C$2:$C$40),"No price yet")))</f>
        <v/>
      </c>
      <c r="E24" s="7">
        <f>IF(ISNUMBER(D24),IF(ISNUMBER(C24),C24*D24,"Check"),"")</f>
        <v/>
      </c>
    </row>
    <row r="25">
      <c r="A25" s="3" t="n">
        <v>45698</v>
      </c>
      <c r="B25" s="2" t="inlineStr">
        <is>
          <t>House Blend</t>
        </is>
      </c>
      <c r="C25" s="2" t="n">
        <v>3</v>
      </c>
      <c r="D25" s="7">
        <f>IF(AND(A25="",B25=""),"",IF(OR(NOT(ISNUMBER(A25)),B25=""),"Check",IFERROR(LOOKUP(2,1/((Prices!$A$2:$A$40=B25)*(Prices!$B$2:$B$40&lt;=A25)*ISNUMBER(Prices!$B$2:$B$40)*ISNUMBER(Prices!$C$2:$C$40)),Prices!$C$2:$C$40),"No price yet")))</f>
        <v/>
      </c>
      <c r="E25" s="7">
        <f>IF(ISNUMBER(D25),IF(ISNUMBER(C25),C25*D25,"Check"),"")</f>
        <v/>
      </c>
    </row>
    <row r="26">
      <c r="A26" s="3" t="n">
        <v>45909</v>
      </c>
      <c r="B26" s="2" t="inlineStr">
        <is>
          <t>House Blend</t>
        </is>
      </c>
      <c r="C26" s="2" t="n">
        <v>8</v>
      </c>
      <c r="D26" s="7">
        <f>IF(AND(A26="",B26=""),"",IF(OR(NOT(ISNUMBER(A26)),B26=""),"Check",IFERROR(LOOKUP(2,1/((Prices!$A$2:$A$40=B26)*(Prices!$B$2:$B$40&lt;=A26)*ISNUMBER(Prices!$B$2:$B$40)*ISNUMBER(Prices!$C$2:$C$40)),Prices!$C$2:$C$40),"No price yet")))</f>
        <v/>
      </c>
      <c r="E26" s="7">
        <f>IF(ISNUMBER(D26),IF(ISNUMBER(C26),C26*D26,"Check"),"")</f>
        <v/>
      </c>
    </row>
    <row r="27">
      <c r="A27" s="3" t="n">
        <v>46160</v>
      </c>
      <c r="B27" s="2" t="inlineStr">
        <is>
          <t>House Blend</t>
        </is>
      </c>
      <c r="C27" s="2" t="n">
        <v>8</v>
      </c>
      <c r="D27" s="7">
        <f>IF(AND(A27="",B27=""),"",IF(OR(NOT(ISNUMBER(A27)),B27=""),"Check",IFERROR(LOOKUP(2,1/((Prices!$A$2:$A$40=B27)*(Prices!$B$2:$B$40&lt;=A27)*ISNUMBER(Prices!$B$2:$B$40)*ISNUMBER(Prices!$C$2:$C$40)),Prices!$C$2:$C$40),"No price yet")))</f>
        <v/>
      </c>
      <c r="E27" s="7">
        <f>IF(ISNUMBER(D27),IF(ISNUMBER(C27),C27*D27,"Check"),"")</f>
        <v/>
      </c>
    </row>
    <row r="28">
      <c r="A28" s="3" t="n">
        <v>45769</v>
      </c>
      <c r="B28" s="2" t="inlineStr">
        <is>
          <t>Dark Roast</t>
        </is>
      </c>
      <c r="C28" s="2" t="n">
        <v>5</v>
      </c>
      <c r="D28" s="7">
        <f>IF(AND(A28="",B28=""),"",IF(OR(NOT(ISNUMBER(A28)),B28=""),"Check",IFERROR(LOOKUP(2,1/((Prices!$A$2:$A$40=B28)*(Prices!$B$2:$B$40&lt;=A28)*ISNUMBER(Prices!$B$2:$B$40)*ISNUMBER(Prices!$C$2:$C$40)),Prices!$C$2:$C$40),"No price yet")))</f>
        <v/>
      </c>
      <c r="E28" s="7">
        <f>IF(ISNUMBER(D28),IF(ISNUMBER(C28),C28*D28,"Check"),"")</f>
        <v/>
      </c>
    </row>
    <row r="29">
      <c r="A29" s="3" t="n">
        <v>46295</v>
      </c>
      <c r="B29" s="2" t="inlineStr">
        <is>
          <t>Dark Roast</t>
        </is>
      </c>
      <c r="C29" s="2" t="n">
        <v>6</v>
      </c>
      <c r="D29" s="7">
        <f>IF(AND(A29="",B29=""),"",IF(OR(NOT(ISNUMBER(A29)),B29=""),"Check",IFERROR(LOOKUP(2,1/((Prices!$A$2:$A$40=B29)*(Prices!$B$2:$B$40&lt;=A29)*ISNUMBER(Prices!$B$2:$B$40)*ISNUMBER(Prices!$C$2:$C$40)),Prices!$C$2:$C$40),"No price yet")))</f>
        <v/>
      </c>
      <c r="E29" s="7">
        <f>IF(ISNUMBER(D29),IF(ISNUMBER(C29),C29*D29,"Check"),"")</f>
        <v/>
      </c>
    </row>
    <row r="30">
      <c r="A30" s="3" t="n">
        <v>46249</v>
      </c>
      <c r="B30" s="2" t="inlineStr">
        <is>
          <t>Cold Brew Pack</t>
        </is>
      </c>
      <c r="C30" s="2" t="n">
        <v>6</v>
      </c>
      <c r="D30" s="7">
        <f>IF(AND(A30="",B30=""),"",IF(OR(NOT(ISNUMBER(A30)),B30=""),"Check",IFERROR(LOOKUP(2,1/((Prices!$A$2:$A$40=B30)*(Prices!$B$2:$B$40&lt;=A30)*ISNUMBER(Prices!$B$2:$B$40)*ISNUMBER(Prices!$C$2:$C$40)),Prices!$C$2:$C$40),"No price yet")))</f>
        <v/>
      </c>
      <c r="E30" s="7">
        <f>IF(ISNUMBER(D30),IF(ISNUMBER(C30),C30*D30,"Check"),"")</f>
        <v/>
      </c>
    </row>
    <row r="31">
      <c r="A31" s="3" t="n">
        <v>46174</v>
      </c>
      <c r="B31" s="2" t="inlineStr">
        <is>
          <t>Cold Brew Pack</t>
        </is>
      </c>
      <c r="C31" s="2" t="n">
        <v>4</v>
      </c>
      <c r="D31" s="7">
        <f>IF(AND(A31="",B31=""),"",IF(OR(NOT(ISNUMBER(A31)),B31=""),"Check",IFERROR(LOOKUP(2,1/((Prices!$A$2:$A$40=B31)*(Prices!$B$2:$B$40&lt;=A31)*ISNUMBER(Prices!$B$2:$B$40)*ISNUMBER(Prices!$C$2:$C$40)),Prices!$C$2:$C$40),"No price yet")))</f>
        <v/>
      </c>
      <c r="E31" s="7">
        <f>IF(ISNUMBER(D31),IF(ISNUMBER(C31),C31*D31,"Check"),"")</f>
        <v/>
      </c>
    </row>
    <row r="32">
      <c r="A32" s="3" t="n"/>
      <c r="B32" s="2" t="n"/>
      <c r="C32" s="2" t="n"/>
      <c r="D32" s="7">
        <f>IF(AND(A32="",B32=""),"",IF(OR(NOT(ISNUMBER(A32)),B32=""),"Check",IFERROR(LOOKUP(2,1/((Prices!$A$2:$A$40=B32)*(Prices!$B$2:$B$40&lt;=A32)*ISNUMBER(Prices!$B$2:$B$40)*ISNUMBER(Prices!$C$2:$C$40)),Prices!$C$2:$C$40),"No price yet")))</f>
        <v/>
      </c>
      <c r="E32" s="7">
        <f>IF(ISNUMBER(D32),IF(ISNUMBER(C32),C32*D32,"Check"),"")</f>
        <v/>
      </c>
    </row>
    <row r="33">
      <c r="A33" s="3" t="n"/>
      <c r="B33" s="2" t="n"/>
      <c r="C33" s="2" t="n"/>
      <c r="D33" s="7">
        <f>IF(AND(A33="",B33=""),"",IF(OR(NOT(ISNUMBER(A33)),B33=""),"Check",IFERROR(LOOKUP(2,1/((Prices!$A$2:$A$40=B33)*(Prices!$B$2:$B$40&lt;=A33)*ISNUMBER(Prices!$B$2:$B$40)*ISNUMBER(Prices!$C$2:$C$40)),Prices!$C$2:$C$40),"No price yet")))</f>
        <v/>
      </c>
      <c r="E33" s="7">
        <f>IF(ISNUMBER(D33),IF(ISNUMBER(C33),C33*D33,"Check"),"")</f>
        <v/>
      </c>
    </row>
    <row r="34">
      <c r="A34" s="3" t="n"/>
      <c r="B34" s="2" t="n"/>
      <c r="C34" s="2" t="n"/>
      <c r="D34" s="7">
        <f>IF(AND(A34="",B34=""),"",IF(OR(NOT(ISNUMBER(A34)),B34=""),"Check",IFERROR(LOOKUP(2,1/((Prices!$A$2:$A$40=B34)*(Prices!$B$2:$B$40&lt;=A34)*ISNUMBER(Prices!$B$2:$B$40)*ISNUMBER(Prices!$C$2:$C$40)),Prices!$C$2:$C$40),"No price yet")))</f>
        <v/>
      </c>
      <c r="E34" s="7">
        <f>IF(ISNUMBER(D34),IF(ISNUMBER(C34),C34*D34,"Check"),"")</f>
        <v/>
      </c>
    </row>
    <row r="35">
      <c r="A35" s="3" t="n"/>
      <c r="B35" s="2" t="n"/>
      <c r="C35" s="2" t="n"/>
      <c r="D35" s="7">
        <f>IF(AND(A35="",B35=""),"",IF(OR(NOT(ISNUMBER(A35)),B35=""),"Check",IFERROR(LOOKUP(2,1/((Prices!$A$2:$A$40=B35)*(Prices!$B$2:$B$40&lt;=A35)*ISNUMBER(Prices!$B$2:$B$40)*ISNUMBER(Prices!$C$2:$C$40)),Prices!$C$2:$C$40),"No price yet")))</f>
        <v/>
      </c>
      <c r="E35" s="7">
        <f>IF(ISNUMBER(D35),IF(ISNUMBER(C35),C35*D35,"Check"),"")</f>
        <v/>
      </c>
    </row>
    <row r="36">
      <c r="A36" s="3" t="n"/>
      <c r="B36" s="2" t="n"/>
      <c r="C36" s="2" t="n"/>
      <c r="D36" s="7">
        <f>IF(AND(A36="",B36=""),"",IF(OR(NOT(ISNUMBER(A36)),B36=""),"Check",IFERROR(LOOKUP(2,1/((Prices!$A$2:$A$40=B36)*(Prices!$B$2:$B$40&lt;=A36)*ISNUMBER(Prices!$B$2:$B$40)*ISNUMBER(Prices!$C$2:$C$40)),Prices!$C$2:$C$40),"No price yet")))</f>
        <v/>
      </c>
      <c r="E36" s="7">
        <f>IF(ISNUMBER(D36),IF(ISNUMBER(C36),C36*D36,"Check"),"")</f>
        <v/>
      </c>
    </row>
    <row r="37">
      <c r="A37" s="3" t="n"/>
      <c r="B37" s="2" t="n"/>
      <c r="C37" s="2" t="n"/>
      <c r="D37" s="7">
        <f>IF(AND(A37="",B37=""),"",IF(OR(NOT(ISNUMBER(A37)),B37=""),"Check",IFERROR(LOOKUP(2,1/((Prices!$A$2:$A$40=B37)*(Prices!$B$2:$B$40&lt;=A37)*ISNUMBER(Prices!$B$2:$B$40)*ISNUMBER(Prices!$C$2:$C$40)),Prices!$C$2:$C$40),"No price yet")))</f>
        <v/>
      </c>
      <c r="E37" s="7">
        <f>IF(ISNUMBER(D37),IF(ISNUMBER(C37),C37*D37,"Check"),"")</f>
        <v/>
      </c>
    </row>
    <row r="38">
      <c r="A38" s="3" t="n"/>
      <c r="B38" s="2" t="n"/>
      <c r="C38" s="2" t="n"/>
      <c r="D38" s="7">
        <f>IF(AND(A38="",B38=""),"",IF(OR(NOT(ISNUMBER(A38)),B38=""),"Check",IFERROR(LOOKUP(2,1/((Prices!$A$2:$A$40=B38)*(Prices!$B$2:$B$40&lt;=A38)*ISNUMBER(Prices!$B$2:$B$40)*ISNUMBER(Prices!$C$2:$C$40)),Prices!$C$2:$C$40),"No price yet")))</f>
        <v/>
      </c>
      <c r="E38" s="7">
        <f>IF(ISNUMBER(D38),IF(ISNUMBER(C38),C38*D38,"Check"),"")</f>
        <v/>
      </c>
    </row>
    <row r="39">
      <c r="A39" s="3" t="n"/>
      <c r="B39" s="2" t="n"/>
      <c r="C39" s="2" t="n"/>
      <c r="D39" s="7">
        <f>IF(AND(A39="",B39=""),"",IF(OR(NOT(ISNUMBER(A39)),B39=""),"Check",IFERROR(LOOKUP(2,1/((Prices!$A$2:$A$40=B39)*(Prices!$B$2:$B$40&lt;=A39)*ISNUMBER(Prices!$B$2:$B$40)*ISNUMBER(Prices!$C$2:$C$40)),Prices!$C$2:$C$40),"No price yet")))</f>
        <v/>
      </c>
      <c r="E39" s="7">
        <f>IF(ISNUMBER(D39),IF(ISNUMBER(C39),C39*D39,"Check"),"")</f>
        <v/>
      </c>
    </row>
    <row r="40">
      <c r="A40" s="3" t="n"/>
      <c r="B40" s="2" t="n"/>
      <c r="C40" s="2" t="n"/>
      <c r="D40" s="7">
        <f>IF(AND(A40="",B40=""),"",IF(OR(NOT(ISNUMBER(A40)),B40=""),"Check",IFERROR(LOOKUP(2,1/((Prices!$A$2:$A$40=B40)*(Prices!$B$2:$B$40&lt;=A40)*ISNUMBER(Prices!$B$2:$B$40)*ISNUMBER(Prices!$C$2:$C$40)),Prices!$C$2:$C$40),"No price yet")))</f>
        <v/>
      </c>
      <c r="E40" s="7">
        <f>IF(ISNUMBER(D40),IF(ISNUMBER(C40),C40*D40,"Check"),"")</f>
        <v/>
      </c>
    </row>
    <row r="41">
      <c r="A41" s="3" t="n"/>
      <c r="B41" s="2" t="n"/>
      <c r="C41" s="2" t="n"/>
      <c r="D41" s="7">
        <f>IF(AND(A41="",B41=""),"",IF(OR(NOT(ISNUMBER(A41)),B41=""),"Check",IFERROR(LOOKUP(2,1/((Prices!$A$2:$A$40=B41)*(Prices!$B$2:$B$40&lt;=A41)*ISNUMBER(Prices!$B$2:$B$40)*ISNUMBER(Prices!$C$2:$C$40)),Prices!$C$2:$C$40),"No price yet")))</f>
        <v/>
      </c>
      <c r="E41" s="7">
        <f>IF(ISNUMBER(D41),IF(ISNUMBER(C41),C41*D41,"Check"),"")</f>
        <v/>
      </c>
    </row>
    <row r="42">
      <c r="A42" s="3" t="n"/>
      <c r="B42" s="2" t="n"/>
      <c r="C42" s="2" t="n"/>
      <c r="D42" s="7">
        <f>IF(AND(A42="",B42=""),"",IF(OR(NOT(ISNUMBER(A42)),B42=""),"Check",IFERROR(LOOKUP(2,1/((Prices!$A$2:$A$40=B42)*(Prices!$B$2:$B$40&lt;=A42)*ISNUMBER(Prices!$B$2:$B$40)*ISNUMBER(Prices!$C$2:$C$40)),Prices!$C$2:$C$40),"No price yet")))</f>
        <v/>
      </c>
      <c r="E42" s="7">
        <f>IF(ISNUMBER(D42),IF(ISNUMBER(C42),C42*D42,"Check"),"")</f>
        <v/>
      </c>
    </row>
    <row r="43">
      <c r="A43" s="3" t="n"/>
      <c r="B43" s="2" t="n"/>
      <c r="C43" s="2" t="n"/>
      <c r="D43" s="7">
        <f>IF(AND(A43="",B43=""),"",IF(OR(NOT(ISNUMBER(A43)),B43=""),"Check",IFERROR(LOOKUP(2,1/((Prices!$A$2:$A$40=B43)*(Prices!$B$2:$B$40&lt;=A43)*ISNUMBER(Prices!$B$2:$B$40)*ISNUMBER(Prices!$C$2:$C$40)),Prices!$C$2:$C$40),"No price yet")))</f>
        <v/>
      </c>
      <c r="E43" s="7">
        <f>IF(ISNUMBER(D43),IF(ISNUMBER(C43),C43*D43,"Check"),"")</f>
        <v/>
      </c>
    </row>
    <row r="44">
      <c r="A44" s="3" t="n"/>
      <c r="B44" s="2" t="n"/>
      <c r="C44" s="2" t="n"/>
      <c r="D44" s="7">
        <f>IF(AND(A44="",B44=""),"",IF(OR(NOT(ISNUMBER(A44)),B44=""),"Check",IFERROR(LOOKUP(2,1/((Prices!$A$2:$A$40=B44)*(Prices!$B$2:$B$40&lt;=A44)*ISNUMBER(Prices!$B$2:$B$40)*ISNUMBER(Prices!$C$2:$C$40)),Prices!$C$2:$C$40),"No price yet")))</f>
        <v/>
      </c>
      <c r="E44" s="7">
        <f>IF(ISNUMBER(D44),IF(ISNUMBER(C44),C44*D44,"Check"),"")</f>
        <v/>
      </c>
    </row>
    <row r="45">
      <c r="A45" s="3" t="n"/>
      <c r="B45" s="2" t="n"/>
      <c r="C45" s="2" t="n"/>
      <c r="D45" s="7">
        <f>IF(AND(A45="",B45=""),"",IF(OR(NOT(ISNUMBER(A45)),B45=""),"Check",IFERROR(LOOKUP(2,1/((Prices!$A$2:$A$40=B45)*(Prices!$B$2:$B$40&lt;=A45)*ISNUMBER(Prices!$B$2:$B$40)*ISNUMBER(Prices!$C$2:$C$40)),Prices!$C$2:$C$40),"No price yet")))</f>
        <v/>
      </c>
      <c r="E45" s="7">
        <f>IF(ISNUMBER(D45),IF(ISNUMBER(C45),C45*D45,"Check"),"")</f>
        <v/>
      </c>
    </row>
    <row r="46">
      <c r="A46" s="3" t="n"/>
      <c r="B46" s="2" t="n"/>
      <c r="C46" s="2" t="n"/>
      <c r="D46" s="7">
        <f>IF(AND(A46="",B46=""),"",IF(OR(NOT(ISNUMBER(A46)),B46=""),"Check",IFERROR(LOOKUP(2,1/((Prices!$A$2:$A$40=B46)*(Prices!$B$2:$B$40&lt;=A46)*ISNUMBER(Prices!$B$2:$B$40)*ISNUMBER(Prices!$C$2:$C$40)),Prices!$C$2:$C$40),"No price yet")))</f>
        <v/>
      </c>
      <c r="E46" s="7">
        <f>IF(ISNUMBER(D46),IF(ISNUMBER(C46),C46*D46,"Check"),"")</f>
        <v/>
      </c>
    </row>
    <row r="47">
      <c r="A47" s="3" t="n"/>
      <c r="B47" s="2" t="n"/>
      <c r="C47" s="2" t="n"/>
      <c r="D47" s="7">
        <f>IF(AND(A47="",B47=""),"",IF(OR(NOT(ISNUMBER(A47)),B47=""),"Check",IFERROR(LOOKUP(2,1/((Prices!$A$2:$A$40=B47)*(Prices!$B$2:$B$40&lt;=A47)*ISNUMBER(Prices!$B$2:$B$40)*ISNUMBER(Prices!$C$2:$C$40)),Prices!$C$2:$C$40),"No price yet")))</f>
        <v/>
      </c>
      <c r="E47" s="7">
        <f>IF(ISNUMBER(D47),IF(ISNUMBER(C47),C47*D47,"Check"),"")</f>
        <v/>
      </c>
    </row>
    <row r="48">
      <c r="A48" s="3" t="n"/>
      <c r="B48" s="2" t="n"/>
      <c r="C48" s="2" t="n"/>
      <c r="D48" s="7">
        <f>IF(AND(A48="",B48=""),"",IF(OR(NOT(ISNUMBER(A48)),B48=""),"Check",IFERROR(LOOKUP(2,1/((Prices!$A$2:$A$40=B48)*(Prices!$B$2:$B$40&lt;=A48)*ISNUMBER(Prices!$B$2:$B$40)*ISNUMBER(Prices!$C$2:$C$40)),Prices!$C$2:$C$40),"No price yet")))</f>
        <v/>
      </c>
      <c r="E48" s="7">
        <f>IF(ISNUMBER(D48),IF(ISNUMBER(C48),C48*D48,"Check"),"")</f>
        <v/>
      </c>
    </row>
    <row r="49">
      <c r="A49" s="3" t="n"/>
      <c r="B49" s="2" t="n"/>
      <c r="C49" s="2" t="n"/>
      <c r="D49" s="7">
        <f>IF(AND(A49="",B49=""),"",IF(OR(NOT(ISNUMBER(A49)),B49=""),"Check",IFERROR(LOOKUP(2,1/((Prices!$A$2:$A$40=B49)*(Prices!$B$2:$B$40&lt;=A49)*ISNUMBER(Prices!$B$2:$B$40)*ISNUMBER(Prices!$C$2:$C$40)),Prices!$C$2:$C$40),"No price yet")))</f>
        <v/>
      </c>
      <c r="E49" s="7">
        <f>IF(ISNUMBER(D49),IF(ISNUMBER(C49),C49*D49,"Check"),"")</f>
        <v/>
      </c>
    </row>
    <row r="50">
      <c r="A50" s="3" t="n"/>
      <c r="B50" s="2" t="n"/>
      <c r="C50" s="2" t="n"/>
      <c r="D50" s="7">
        <f>IF(AND(A50="",B50=""),"",IF(OR(NOT(ISNUMBER(A50)),B50=""),"Check",IFERROR(LOOKUP(2,1/((Prices!$A$2:$A$40=B50)*(Prices!$B$2:$B$40&lt;=A50)*ISNUMBER(Prices!$B$2:$B$40)*ISNUMBER(Prices!$C$2:$C$40)),Prices!$C$2:$C$40),"No price yet")))</f>
        <v/>
      </c>
      <c r="E50" s="7">
        <f>IF(ISNUMBER(D50),IF(ISNUMBER(C50),C50*D50,"Check"),"")</f>
        <v/>
      </c>
    </row>
    <row r="51">
      <c r="A51" s="3" t="n"/>
      <c r="B51" s="2" t="n"/>
      <c r="C51" s="2" t="n"/>
      <c r="D51" s="7">
        <f>IF(AND(A51="",B51=""),"",IF(OR(NOT(ISNUMBER(A51)),B51=""),"Check",IFERROR(LOOKUP(2,1/((Prices!$A$2:$A$40=B51)*(Prices!$B$2:$B$40&lt;=A51)*ISNUMBER(Prices!$B$2:$B$40)*ISNUMBER(Prices!$C$2:$C$40)),Prices!$C$2:$C$40),"No price yet")))</f>
        <v/>
      </c>
      <c r="E51" s="7">
        <f>IF(ISNUMBER(D51),IF(ISNUMBER(C51),C51*D51,"Check"),"")</f>
        <v/>
      </c>
    </row>
    <row r="52">
      <c r="A52" s="3" t="n"/>
      <c r="B52" s="2" t="n"/>
      <c r="C52" s="2" t="n"/>
      <c r="D52" s="7">
        <f>IF(AND(A52="",B52=""),"",IF(OR(NOT(ISNUMBER(A52)),B52=""),"Check",IFERROR(LOOKUP(2,1/((Prices!$A$2:$A$40=B52)*(Prices!$B$2:$B$40&lt;=A52)*ISNUMBER(Prices!$B$2:$B$40)*ISNUMBER(Prices!$C$2:$C$40)),Prices!$C$2:$C$40),"No price yet")))</f>
        <v/>
      </c>
      <c r="E52" s="7">
        <f>IF(ISNUMBER(D52),IF(ISNUMBER(C52),C52*D52,"Check"),"")</f>
        <v/>
      </c>
    </row>
    <row r="53">
      <c r="A53" s="3" t="n"/>
      <c r="B53" s="2" t="n"/>
      <c r="C53" s="2" t="n"/>
      <c r="D53" s="7">
        <f>IF(AND(A53="",B53=""),"",IF(OR(NOT(ISNUMBER(A53)),B53=""),"Check",IFERROR(LOOKUP(2,1/((Prices!$A$2:$A$40=B53)*(Prices!$B$2:$B$40&lt;=A53)*ISNUMBER(Prices!$B$2:$B$40)*ISNUMBER(Prices!$C$2:$C$40)),Prices!$C$2:$C$40),"No price yet")))</f>
        <v/>
      </c>
      <c r="E53" s="7">
        <f>IF(ISNUMBER(D53),IF(ISNUMBER(C53),C53*D53,"Check"),"")</f>
        <v/>
      </c>
    </row>
    <row r="54">
      <c r="A54" s="3" t="n"/>
      <c r="B54" s="2" t="n"/>
      <c r="C54" s="2" t="n"/>
      <c r="D54" s="7">
        <f>IF(AND(A54="",B54=""),"",IF(OR(NOT(ISNUMBER(A54)),B54=""),"Check",IFERROR(LOOKUP(2,1/((Prices!$A$2:$A$40=B54)*(Prices!$B$2:$B$40&lt;=A54)*ISNUMBER(Prices!$B$2:$B$40)*ISNUMBER(Prices!$C$2:$C$40)),Prices!$C$2:$C$40),"No price yet")))</f>
        <v/>
      </c>
      <c r="E54" s="7">
        <f>IF(ISNUMBER(D54),IF(ISNUMBER(C54),C54*D54,"Check"),"")</f>
        <v/>
      </c>
    </row>
    <row r="55">
      <c r="A55" s="3" t="n"/>
      <c r="B55" s="2" t="n"/>
      <c r="C55" s="2" t="n"/>
      <c r="D55" s="7">
        <f>IF(AND(A55="",B55=""),"",IF(OR(NOT(ISNUMBER(A55)),B55=""),"Check",IFERROR(LOOKUP(2,1/((Prices!$A$2:$A$40=B55)*(Prices!$B$2:$B$40&lt;=A55)*ISNUMBER(Prices!$B$2:$B$40)*ISNUMBER(Prices!$C$2:$C$40)),Prices!$C$2:$C$40),"No price yet")))</f>
        <v/>
      </c>
      <c r="E55" s="7">
        <f>IF(ISNUMBER(D55),IF(ISNUMBER(C55),C55*D55,"Check"),"")</f>
        <v/>
      </c>
    </row>
    <row r="56">
      <c r="A56" s="3" t="n"/>
      <c r="B56" s="2" t="n"/>
      <c r="C56" s="2" t="n"/>
      <c r="D56" s="7">
        <f>IF(AND(A56="",B56=""),"",IF(OR(NOT(ISNUMBER(A56)),B56=""),"Check",IFERROR(LOOKUP(2,1/((Prices!$A$2:$A$40=B56)*(Prices!$B$2:$B$40&lt;=A56)*ISNUMBER(Prices!$B$2:$B$40)*ISNUMBER(Prices!$C$2:$C$40)),Prices!$C$2:$C$40),"No price yet")))</f>
        <v/>
      </c>
      <c r="E56" s="7">
        <f>IF(ISNUMBER(D56),IF(ISNUMBER(C56),C56*D56,"Check"),"")</f>
        <v/>
      </c>
    </row>
    <row r="57">
      <c r="A57" s="3" t="n"/>
      <c r="B57" s="2" t="n"/>
      <c r="C57" s="2" t="n"/>
      <c r="D57" s="7">
        <f>IF(AND(A57="",B57=""),"",IF(OR(NOT(ISNUMBER(A57)),B57=""),"Check",IFERROR(LOOKUP(2,1/((Prices!$A$2:$A$40=B57)*(Prices!$B$2:$B$40&lt;=A57)*ISNUMBER(Prices!$B$2:$B$40)*ISNUMBER(Prices!$C$2:$C$40)),Prices!$C$2:$C$40),"No price yet")))</f>
        <v/>
      </c>
      <c r="E57" s="7">
        <f>IF(ISNUMBER(D57),IF(ISNUMBER(C57),C57*D57,"Check"),"")</f>
        <v/>
      </c>
    </row>
    <row r="58">
      <c r="A58" s="3" t="n"/>
      <c r="B58" s="2" t="n"/>
      <c r="C58" s="2" t="n"/>
      <c r="D58" s="7">
        <f>IF(AND(A58="",B58=""),"",IF(OR(NOT(ISNUMBER(A58)),B58=""),"Check",IFERROR(LOOKUP(2,1/((Prices!$A$2:$A$40=B58)*(Prices!$B$2:$B$40&lt;=A58)*ISNUMBER(Prices!$B$2:$B$40)*ISNUMBER(Prices!$C$2:$C$40)),Prices!$C$2:$C$40),"No price yet")))</f>
        <v/>
      </c>
      <c r="E58" s="7">
        <f>IF(ISNUMBER(D58),IF(ISNUMBER(C58),C58*D58,"Check"),"")</f>
        <v/>
      </c>
    </row>
    <row r="59">
      <c r="A59" s="3" t="n"/>
      <c r="B59" s="2" t="n"/>
      <c r="C59" s="2" t="n"/>
      <c r="D59" s="7">
        <f>IF(AND(A59="",B59=""),"",IF(OR(NOT(ISNUMBER(A59)),B59=""),"Check",IFERROR(LOOKUP(2,1/((Prices!$A$2:$A$40=B59)*(Prices!$B$2:$B$40&lt;=A59)*ISNUMBER(Prices!$B$2:$B$40)*ISNUMBER(Prices!$C$2:$C$40)),Prices!$C$2:$C$40),"No price yet")))</f>
        <v/>
      </c>
      <c r="E59" s="7">
        <f>IF(ISNUMBER(D59),IF(ISNUMBER(C59),C59*D59,"Check"),"")</f>
        <v/>
      </c>
    </row>
    <row r="60">
      <c r="A60" s="3" t="n"/>
      <c r="B60" s="2" t="n"/>
      <c r="C60" s="2" t="n"/>
      <c r="D60" s="7">
        <f>IF(AND(A60="",B60=""),"",IF(OR(NOT(ISNUMBER(A60)),B60=""),"Check",IFERROR(LOOKUP(2,1/((Prices!$A$2:$A$40=B60)*(Prices!$B$2:$B$40&lt;=A60)*ISNUMBER(Prices!$B$2:$B$40)*ISNUMBER(Prices!$C$2:$C$40)),Prices!$C$2:$C$40),"No price yet")))</f>
        <v/>
      </c>
      <c r="E60" s="7">
        <f>IF(ISNUMBER(D60),IF(ISNUMBER(C60),C60*D60,"Check"),"")</f>
        <v/>
      </c>
    </row>
    <row r="61">
      <c r="A61" s="3" t="n"/>
      <c r="B61" s="2" t="n"/>
      <c r="C61" s="2" t="n"/>
      <c r="D61" s="7">
        <f>IF(AND(A61="",B61=""),"",IF(OR(NOT(ISNUMBER(A61)),B61=""),"Check",IFERROR(LOOKUP(2,1/((Prices!$A$2:$A$40=B61)*(Prices!$B$2:$B$40&lt;=A61)*ISNUMBER(Prices!$B$2:$B$40)*ISNUMBER(Prices!$C$2:$C$40)),Prices!$C$2:$C$40),"No price yet")))</f>
        <v/>
      </c>
      <c r="E61" s="7">
        <f>IF(ISNUMBER(D61),IF(ISNUMBER(C61),C61*D61,"Check"),"")</f>
        <v/>
      </c>
    </row>
    <row r="62">
      <c r="A62" s="3" t="n"/>
      <c r="B62" s="2" t="n"/>
      <c r="C62" s="2" t="n"/>
      <c r="D62" s="7">
        <f>IF(AND(A62="",B62=""),"",IF(OR(NOT(ISNUMBER(A62)),B62=""),"Check",IFERROR(LOOKUP(2,1/((Prices!$A$2:$A$40=B62)*(Prices!$B$2:$B$40&lt;=A62)*ISNUMBER(Prices!$B$2:$B$40)*ISNUMBER(Prices!$C$2:$C$40)),Prices!$C$2:$C$40),"No price yet")))</f>
        <v/>
      </c>
      <c r="E62" s="7">
        <f>IF(ISNUMBER(D62),IF(ISNUMBER(C62),C62*D62,"Check"),"")</f>
        <v/>
      </c>
    </row>
    <row r="63">
      <c r="A63" s="3" t="n"/>
      <c r="B63" s="2" t="n"/>
      <c r="C63" s="2" t="n"/>
      <c r="D63" s="7">
        <f>IF(AND(A63="",B63=""),"",IF(OR(NOT(ISNUMBER(A63)),B63=""),"Check",IFERROR(LOOKUP(2,1/((Prices!$A$2:$A$40=B63)*(Prices!$B$2:$B$40&lt;=A63)*ISNUMBER(Prices!$B$2:$B$40)*ISNUMBER(Prices!$C$2:$C$40)),Prices!$C$2:$C$40),"No price yet")))</f>
        <v/>
      </c>
      <c r="E63" s="7">
        <f>IF(ISNUMBER(D63),IF(ISNUMBER(C63),C63*D63,"Check"),"")</f>
        <v/>
      </c>
    </row>
    <row r="64">
      <c r="A64" s="3" t="n"/>
      <c r="B64" s="2" t="n"/>
      <c r="C64" s="2" t="n"/>
      <c r="D64" s="7">
        <f>IF(AND(A64="",B64=""),"",IF(OR(NOT(ISNUMBER(A64)),B64=""),"Check",IFERROR(LOOKUP(2,1/((Prices!$A$2:$A$40=B64)*(Prices!$B$2:$B$40&lt;=A64)*ISNUMBER(Prices!$B$2:$B$40)*ISNUMBER(Prices!$C$2:$C$40)),Prices!$C$2:$C$40),"No price yet")))</f>
        <v/>
      </c>
      <c r="E64" s="7">
        <f>IF(ISNUMBER(D64),IF(ISNUMBER(C64),C64*D64,"Check"),"")</f>
        <v/>
      </c>
    </row>
    <row r="65">
      <c r="A65" s="3" t="n"/>
      <c r="B65" s="2" t="n"/>
      <c r="C65" s="2" t="n"/>
      <c r="D65" s="7">
        <f>IF(AND(A65="",B65=""),"",IF(OR(NOT(ISNUMBER(A65)),B65=""),"Check",IFERROR(LOOKUP(2,1/((Prices!$A$2:$A$40=B65)*(Prices!$B$2:$B$40&lt;=A65)*ISNUMBER(Prices!$B$2:$B$40)*ISNUMBER(Prices!$C$2:$C$40)),Prices!$C$2:$C$40),"No price yet")))</f>
        <v/>
      </c>
      <c r="E65" s="7">
        <f>IF(ISNUMBER(D65),IF(ISNUMBER(C65),C65*D65,"Check"),"")</f>
        <v/>
      </c>
    </row>
    <row r="66">
      <c r="A66" s="3" t="n"/>
      <c r="B66" s="2" t="n"/>
      <c r="C66" s="2" t="n"/>
      <c r="D66" s="7">
        <f>IF(AND(A66="",B66=""),"",IF(OR(NOT(ISNUMBER(A66)),B66=""),"Check",IFERROR(LOOKUP(2,1/((Prices!$A$2:$A$40=B66)*(Prices!$B$2:$B$40&lt;=A66)*ISNUMBER(Prices!$B$2:$B$40)*ISNUMBER(Prices!$C$2:$C$40)),Prices!$C$2:$C$40),"No price yet")))</f>
        <v/>
      </c>
      <c r="E66" s="7">
        <f>IF(ISNUMBER(D66),IF(ISNUMBER(C66),C66*D66,"Check"),"")</f>
        <v/>
      </c>
    </row>
    <row r="67">
      <c r="A67" s="3" t="n"/>
      <c r="B67" s="2" t="n"/>
      <c r="C67" s="2" t="n"/>
      <c r="D67" s="7">
        <f>IF(AND(A67="",B67=""),"",IF(OR(NOT(ISNUMBER(A67)),B67=""),"Check",IFERROR(LOOKUP(2,1/((Prices!$A$2:$A$40=B67)*(Prices!$B$2:$B$40&lt;=A67)*ISNUMBER(Prices!$B$2:$B$40)*ISNUMBER(Prices!$C$2:$C$40)),Prices!$C$2:$C$40),"No price yet")))</f>
        <v/>
      </c>
      <c r="E67" s="7">
        <f>IF(ISNUMBER(D67),IF(ISNUMBER(C67),C67*D67,"Check"),"")</f>
        <v/>
      </c>
    </row>
    <row r="68">
      <c r="A68" s="3" t="n"/>
      <c r="B68" s="2" t="n"/>
      <c r="C68" s="2" t="n"/>
      <c r="D68" s="7">
        <f>IF(AND(A68="",B68=""),"",IF(OR(NOT(ISNUMBER(A68)),B68=""),"Check",IFERROR(LOOKUP(2,1/((Prices!$A$2:$A$40=B68)*(Prices!$B$2:$B$40&lt;=A68)*ISNUMBER(Prices!$B$2:$B$40)*ISNUMBER(Prices!$C$2:$C$40)),Prices!$C$2:$C$40),"No price yet")))</f>
        <v/>
      </c>
      <c r="E68" s="7">
        <f>IF(ISNUMBER(D68),IF(ISNUMBER(C68),C68*D68,"Check"),"")</f>
        <v/>
      </c>
    </row>
    <row r="69">
      <c r="A69" s="3" t="n"/>
      <c r="B69" s="2" t="n"/>
      <c r="C69" s="2" t="n"/>
      <c r="D69" s="7">
        <f>IF(AND(A69="",B69=""),"",IF(OR(NOT(ISNUMBER(A69)),B69=""),"Check",IFERROR(LOOKUP(2,1/((Prices!$A$2:$A$40=B69)*(Prices!$B$2:$B$40&lt;=A69)*ISNUMBER(Prices!$B$2:$B$40)*ISNUMBER(Prices!$C$2:$C$40)),Prices!$C$2:$C$40),"No price yet")))</f>
        <v/>
      </c>
      <c r="E69" s="7">
        <f>IF(ISNUMBER(D69),IF(ISNUMBER(C69),C69*D69,"Check"),"")</f>
        <v/>
      </c>
    </row>
    <row r="70">
      <c r="A70" s="3" t="n"/>
      <c r="B70" s="2" t="n"/>
      <c r="C70" s="2" t="n"/>
      <c r="D70" s="7">
        <f>IF(AND(A70="",B70=""),"",IF(OR(NOT(ISNUMBER(A70)),B70=""),"Check",IFERROR(LOOKUP(2,1/((Prices!$A$2:$A$40=B70)*(Prices!$B$2:$B$40&lt;=A70)*ISNUMBER(Prices!$B$2:$B$40)*ISNUMBER(Prices!$C$2:$C$40)),Prices!$C$2:$C$40),"No price yet")))</f>
        <v/>
      </c>
      <c r="E70" s="7">
        <f>IF(ISNUMBER(D70),IF(ISNUMBER(C70),C70*D70,"Check"),"")</f>
        <v/>
      </c>
    </row>
    <row r="71">
      <c r="A71" s="3" t="n"/>
      <c r="B71" s="2" t="n"/>
      <c r="C71" s="2" t="n"/>
      <c r="D71" s="7">
        <f>IF(AND(A71="",B71=""),"",IF(OR(NOT(ISNUMBER(A71)),B71=""),"Check",IFERROR(LOOKUP(2,1/((Prices!$A$2:$A$40=B71)*(Prices!$B$2:$B$40&lt;=A71)*ISNUMBER(Prices!$B$2:$B$40)*ISNUMBER(Prices!$C$2:$C$40)),Prices!$C$2:$C$40),"No price yet")))</f>
        <v/>
      </c>
      <c r="E71" s="7">
        <f>IF(ISNUMBER(D71),IF(ISNUMBER(C71),C71*D71,"Check"),"")</f>
        <v/>
      </c>
    </row>
    <row r="72">
      <c r="A72" s="3" t="n"/>
      <c r="B72" s="2" t="n"/>
      <c r="C72" s="2" t="n"/>
      <c r="D72" s="7">
        <f>IF(AND(A72="",B72=""),"",IF(OR(NOT(ISNUMBER(A72)),B72=""),"Check",IFERROR(LOOKUP(2,1/((Prices!$A$2:$A$40=B72)*(Prices!$B$2:$B$40&lt;=A72)*ISNUMBER(Prices!$B$2:$B$40)*ISNUMBER(Prices!$C$2:$C$40)),Prices!$C$2:$C$40),"No price yet")))</f>
        <v/>
      </c>
      <c r="E72" s="7">
        <f>IF(ISNUMBER(D72),IF(ISNUMBER(C72),C72*D72,"Check"),"")</f>
        <v/>
      </c>
    </row>
    <row r="73">
      <c r="A73" s="3" t="n"/>
      <c r="B73" s="2" t="n"/>
      <c r="C73" s="2" t="n"/>
      <c r="D73" s="7">
        <f>IF(AND(A73="",B73=""),"",IF(OR(NOT(ISNUMBER(A73)),B73=""),"Check",IFERROR(LOOKUP(2,1/((Prices!$A$2:$A$40=B73)*(Prices!$B$2:$B$40&lt;=A73)*ISNUMBER(Prices!$B$2:$B$40)*ISNUMBER(Prices!$C$2:$C$40)),Prices!$C$2:$C$40),"No price yet")))</f>
        <v/>
      </c>
      <c r="E73" s="7">
        <f>IF(ISNUMBER(D73),IF(ISNUMBER(C73),C73*D73,"Check"),"")</f>
        <v/>
      </c>
    </row>
    <row r="74">
      <c r="A74" s="3" t="n"/>
      <c r="B74" s="2" t="n"/>
      <c r="C74" s="2" t="n"/>
      <c r="D74" s="7">
        <f>IF(AND(A74="",B74=""),"",IF(OR(NOT(ISNUMBER(A74)),B74=""),"Check",IFERROR(LOOKUP(2,1/((Prices!$A$2:$A$40=B74)*(Prices!$B$2:$B$40&lt;=A74)*ISNUMBER(Prices!$B$2:$B$40)*ISNUMBER(Prices!$C$2:$C$40)),Prices!$C$2:$C$40),"No price yet")))</f>
        <v/>
      </c>
      <c r="E74" s="7">
        <f>IF(ISNUMBER(D74),IF(ISNUMBER(C74),C74*D74,"Check"),"")</f>
        <v/>
      </c>
    </row>
    <row r="75">
      <c r="A75" s="3" t="n"/>
      <c r="B75" s="2" t="n"/>
      <c r="C75" s="2" t="n"/>
      <c r="D75" s="7">
        <f>IF(AND(A75="",B75=""),"",IF(OR(NOT(ISNUMBER(A75)),B75=""),"Check",IFERROR(LOOKUP(2,1/((Prices!$A$2:$A$40=B75)*(Prices!$B$2:$B$40&lt;=A75)*ISNUMBER(Prices!$B$2:$B$40)*ISNUMBER(Prices!$C$2:$C$40)),Prices!$C$2:$C$40),"No price yet")))</f>
        <v/>
      </c>
      <c r="E75" s="7">
        <f>IF(ISNUMBER(D75),IF(ISNUMBER(C75),C75*D75,"Check"),"")</f>
        <v/>
      </c>
    </row>
    <row r="76">
      <c r="A76" s="3" t="n"/>
      <c r="B76" s="2" t="n"/>
      <c r="C76" s="2" t="n"/>
      <c r="D76" s="7">
        <f>IF(AND(A76="",B76=""),"",IF(OR(NOT(ISNUMBER(A76)),B76=""),"Check",IFERROR(LOOKUP(2,1/((Prices!$A$2:$A$40=B76)*(Prices!$B$2:$B$40&lt;=A76)*ISNUMBER(Prices!$B$2:$B$40)*ISNUMBER(Prices!$C$2:$C$40)),Prices!$C$2:$C$40),"No price yet")))</f>
        <v/>
      </c>
      <c r="E76" s="7">
        <f>IF(ISNUMBER(D76),IF(ISNUMBER(C76),C76*D76,"Check"),"")</f>
        <v/>
      </c>
    </row>
    <row r="77">
      <c r="A77" s="3" t="n"/>
      <c r="B77" s="2" t="n"/>
      <c r="C77" s="2" t="n"/>
      <c r="D77" s="7">
        <f>IF(AND(A77="",B77=""),"",IF(OR(NOT(ISNUMBER(A77)),B77=""),"Check",IFERROR(LOOKUP(2,1/((Prices!$A$2:$A$40=B77)*(Prices!$B$2:$B$40&lt;=A77)*ISNUMBER(Prices!$B$2:$B$40)*ISNUMBER(Prices!$C$2:$C$40)),Prices!$C$2:$C$40),"No price yet")))</f>
        <v/>
      </c>
      <c r="E77" s="7">
        <f>IF(ISNUMBER(D77),IF(ISNUMBER(C77),C77*D77,"Check"),"")</f>
        <v/>
      </c>
    </row>
    <row r="78">
      <c r="A78" s="3" t="n"/>
      <c r="B78" s="2" t="n"/>
      <c r="C78" s="2" t="n"/>
      <c r="D78" s="7">
        <f>IF(AND(A78="",B78=""),"",IF(OR(NOT(ISNUMBER(A78)),B78=""),"Check",IFERROR(LOOKUP(2,1/((Prices!$A$2:$A$40=B78)*(Prices!$B$2:$B$40&lt;=A78)*ISNUMBER(Prices!$B$2:$B$40)*ISNUMBER(Prices!$C$2:$C$40)),Prices!$C$2:$C$40),"No price yet")))</f>
        <v/>
      </c>
      <c r="E78" s="7">
        <f>IF(ISNUMBER(D78),IF(ISNUMBER(C78),C78*D78,"Check"),"")</f>
        <v/>
      </c>
    </row>
    <row r="79">
      <c r="A79" s="3" t="n"/>
      <c r="B79" s="2" t="n"/>
      <c r="C79" s="2" t="n"/>
      <c r="D79" s="7">
        <f>IF(AND(A79="",B79=""),"",IF(OR(NOT(ISNUMBER(A79)),B79=""),"Check",IFERROR(LOOKUP(2,1/((Prices!$A$2:$A$40=B79)*(Prices!$B$2:$B$40&lt;=A79)*ISNUMBER(Prices!$B$2:$B$40)*ISNUMBER(Prices!$C$2:$C$40)),Prices!$C$2:$C$40),"No price yet")))</f>
        <v/>
      </c>
      <c r="E79" s="7">
        <f>IF(ISNUMBER(D79),IF(ISNUMBER(C79),C79*D79,"Check"),"")</f>
        <v/>
      </c>
    </row>
    <row r="80">
      <c r="A80" s="3" t="n"/>
      <c r="B80" s="2" t="n"/>
      <c r="C80" s="2" t="n"/>
      <c r="D80" s="7">
        <f>IF(AND(A80="",B80=""),"",IF(OR(NOT(ISNUMBER(A80)),B80=""),"Check",IFERROR(LOOKUP(2,1/((Prices!$A$2:$A$40=B80)*(Prices!$B$2:$B$40&lt;=A80)*ISNUMBER(Prices!$B$2:$B$40)*ISNUMBER(Prices!$C$2:$C$40)),Prices!$C$2:$C$40),"No price yet")))</f>
        <v/>
      </c>
      <c r="E80" s="7">
        <f>IF(ISNUMBER(D80),IF(ISNUMBER(C80),C80*D80,"Check"),"")</f>
        <v/>
      </c>
    </row>
    <row r="81">
      <c r="A81" s="3" t="n"/>
      <c r="B81" s="2" t="n"/>
      <c r="C81" s="2" t="n"/>
      <c r="D81" s="7">
        <f>IF(AND(A81="",B81=""),"",IF(OR(NOT(ISNUMBER(A81)),B81=""),"Check",IFERROR(LOOKUP(2,1/((Prices!$A$2:$A$40=B81)*(Prices!$B$2:$B$40&lt;=A81)*ISNUMBER(Prices!$B$2:$B$40)*ISNUMBER(Prices!$C$2:$C$40)),Prices!$C$2:$C$40),"No price yet")))</f>
        <v/>
      </c>
      <c r="E81" s="7">
        <f>IF(ISNUMBER(D81),IF(ISNUMBER(C81),C81*D81,"Check"),"")</f>
        <v/>
      </c>
    </row>
    <row r="82">
      <c r="A82" s="3" t="n"/>
      <c r="B82" s="2" t="n"/>
      <c r="C82" s="2" t="n"/>
      <c r="D82" s="7">
        <f>IF(AND(A82="",B82=""),"",IF(OR(NOT(ISNUMBER(A82)),B82=""),"Check",IFERROR(LOOKUP(2,1/((Prices!$A$2:$A$40=B82)*(Prices!$B$2:$B$40&lt;=A82)*ISNUMBER(Prices!$B$2:$B$40)*ISNUMBER(Prices!$C$2:$C$40)),Prices!$C$2:$C$40),"No price yet")))</f>
        <v/>
      </c>
      <c r="E82" s="7">
        <f>IF(ISNUMBER(D82),IF(ISNUMBER(C82),C82*D82,"Check"),"")</f>
        <v/>
      </c>
    </row>
    <row r="83">
      <c r="A83" s="3" t="n"/>
      <c r="B83" s="2" t="n"/>
      <c r="C83" s="2" t="n"/>
      <c r="D83" s="7">
        <f>IF(AND(A83="",B83=""),"",IF(OR(NOT(ISNUMBER(A83)),B83=""),"Check",IFERROR(LOOKUP(2,1/((Prices!$A$2:$A$40=B83)*(Prices!$B$2:$B$40&lt;=A83)*ISNUMBER(Prices!$B$2:$B$40)*ISNUMBER(Prices!$C$2:$C$40)),Prices!$C$2:$C$40),"No price yet")))</f>
        <v/>
      </c>
      <c r="E83" s="7">
        <f>IF(ISNUMBER(D83),IF(ISNUMBER(C83),C83*D83,"Check"),"")</f>
        <v/>
      </c>
    </row>
    <row r="84">
      <c r="A84" s="3" t="n"/>
      <c r="B84" s="2" t="n"/>
      <c r="C84" s="2" t="n"/>
      <c r="D84" s="7">
        <f>IF(AND(A84="",B84=""),"",IF(OR(NOT(ISNUMBER(A84)),B84=""),"Check",IFERROR(LOOKUP(2,1/((Prices!$A$2:$A$40=B84)*(Prices!$B$2:$B$40&lt;=A84)*ISNUMBER(Prices!$B$2:$B$40)*ISNUMBER(Prices!$C$2:$C$40)),Prices!$C$2:$C$40),"No price yet")))</f>
        <v/>
      </c>
      <c r="E84" s="7">
        <f>IF(ISNUMBER(D84),IF(ISNUMBER(C84),C84*D84,"Check"),"")</f>
        <v/>
      </c>
    </row>
    <row r="85">
      <c r="A85" s="3" t="n"/>
      <c r="B85" s="2" t="n"/>
      <c r="C85" s="2" t="n"/>
      <c r="D85" s="7">
        <f>IF(AND(A85="",B85=""),"",IF(OR(NOT(ISNUMBER(A85)),B85=""),"Check",IFERROR(LOOKUP(2,1/((Prices!$A$2:$A$40=B85)*(Prices!$B$2:$B$40&lt;=A85)*ISNUMBER(Prices!$B$2:$B$40)*ISNUMBER(Prices!$C$2:$C$40)),Prices!$C$2:$C$40),"No price yet")))</f>
        <v/>
      </c>
      <c r="E85" s="7">
        <f>IF(ISNUMBER(D85),IF(ISNUMBER(C85),C85*D85,"Check"),"")</f>
        <v/>
      </c>
    </row>
    <row r="86">
      <c r="A86" s="3" t="n"/>
      <c r="B86" s="2" t="n"/>
      <c r="C86" s="2" t="n"/>
      <c r="D86" s="7">
        <f>IF(AND(A86="",B86=""),"",IF(OR(NOT(ISNUMBER(A86)),B86=""),"Check",IFERROR(LOOKUP(2,1/((Prices!$A$2:$A$40=B86)*(Prices!$B$2:$B$40&lt;=A86)*ISNUMBER(Prices!$B$2:$B$40)*ISNUMBER(Prices!$C$2:$C$40)),Prices!$C$2:$C$40),"No price yet")))</f>
        <v/>
      </c>
      <c r="E86" s="7">
        <f>IF(ISNUMBER(D86),IF(ISNUMBER(C86),C86*D86,"Check"),"")</f>
        <v/>
      </c>
    </row>
    <row r="87">
      <c r="A87" s="3" t="n"/>
      <c r="B87" s="2" t="n"/>
      <c r="C87" s="2" t="n"/>
      <c r="D87" s="7">
        <f>IF(AND(A87="",B87=""),"",IF(OR(NOT(ISNUMBER(A87)),B87=""),"Check",IFERROR(LOOKUP(2,1/((Prices!$A$2:$A$40=B87)*(Prices!$B$2:$B$40&lt;=A87)*ISNUMBER(Prices!$B$2:$B$40)*ISNUMBER(Prices!$C$2:$C$40)),Prices!$C$2:$C$40),"No price yet")))</f>
        <v/>
      </c>
      <c r="E87" s="7">
        <f>IF(ISNUMBER(D87),IF(ISNUMBER(C87),C87*D87,"Check"),"")</f>
        <v/>
      </c>
    </row>
    <row r="88">
      <c r="A88" s="3" t="n"/>
      <c r="B88" s="2" t="n"/>
      <c r="C88" s="2" t="n"/>
      <c r="D88" s="7">
        <f>IF(AND(A88="",B88=""),"",IF(OR(NOT(ISNUMBER(A88)),B88=""),"Check",IFERROR(LOOKUP(2,1/((Prices!$A$2:$A$40=B88)*(Prices!$B$2:$B$40&lt;=A88)*ISNUMBER(Prices!$B$2:$B$40)*ISNUMBER(Prices!$C$2:$C$40)),Prices!$C$2:$C$40),"No price yet")))</f>
        <v/>
      </c>
      <c r="E88" s="7">
        <f>IF(ISNUMBER(D88),IF(ISNUMBER(C88),C88*D88,"Check"),"")</f>
        <v/>
      </c>
    </row>
    <row r="89">
      <c r="A89" s="3" t="n"/>
      <c r="B89" s="2" t="n"/>
      <c r="C89" s="2" t="n"/>
      <c r="D89" s="7">
        <f>IF(AND(A89="",B89=""),"",IF(OR(NOT(ISNUMBER(A89)),B89=""),"Check",IFERROR(LOOKUP(2,1/((Prices!$A$2:$A$40=B89)*(Prices!$B$2:$B$40&lt;=A89)*ISNUMBER(Prices!$B$2:$B$40)*ISNUMBER(Prices!$C$2:$C$40)),Prices!$C$2:$C$40),"No price yet")))</f>
        <v/>
      </c>
      <c r="E89" s="7">
        <f>IF(ISNUMBER(D89),IF(ISNUMBER(C89),C89*D89,"Check"),"")</f>
        <v/>
      </c>
    </row>
    <row r="90">
      <c r="A90" s="3" t="n"/>
      <c r="B90" s="2" t="n"/>
      <c r="C90" s="2" t="n"/>
      <c r="D90" s="7">
        <f>IF(AND(A90="",B90=""),"",IF(OR(NOT(ISNUMBER(A90)),B90=""),"Check",IFERROR(LOOKUP(2,1/((Prices!$A$2:$A$40=B90)*(Prices!$B$2:$B$40&lt;=A90)*ISNUMBER(Prices!$B$2:$B$40)*ISNUMBER(Prices!$C$2:$C$40)),Prices!$C$2:$C$40),"No price yet")))</f>
        <v/>
      </c>
      <c r="E90" s="7">
        <f>IF(ISNUMBER(D90),IF(ISNUMBER(C90),C90*D90,"Check"),"")</f>
        <v/>
      </c>
    </row>
    <row r="91">
      <c r="A91" s="3" t="n"/>
      <c r="B91" s="2" t="n"/>
      <c r="C91" s="2" t="n"/>
      <c r="D91" s="7">
        <f>IF(AND(A91="",B91=""),"",IF(OR(NOT(ISNUMBER(A91)),B91=""),"Check",IFERROR(LOOKUP(2,1/((Prices!$A$2:$A$40=B91)*(Prices!$B$2:$B$40&lt;=A91)*ISNUMBER(Prices!$B$2:$B$40)*ISNUMBER(Prices!$C$2:$C$40)),Prices!$C$2:$C$40),"No price yet")))</f>
        <v/>
      </c>
      <c r="E91" s="7">
        <f>IF(ISNUMBER(D91),IF(ISNUMBER(C91),C91*D91,"Check"),"")</f>
        <v/>
      </c>
    </row>
    <row r="92">
      <c r="A92" s="3" t="n"/>
      <c r="B92" s="2" t="n"/>
      <c r="C92" s="2" t="n"/>
      <c r="D92" s="7">
        <f>IF(AND(A92="",B92=""),"",IF(OR(NOT(ISNUMBER(A92)),B92=""),"Check",IFERROR(LOOKUP(2,1/((Prices!$A$2:$A$40=B92)*(Prices!$B$2:$B$40&lt;=A92)*ISNUMBER(Prices!$B$2:$B$40)*ISNUMBER(Prices!$C$2:$C$40)),Prices!$C$2:$C$40),"No price yet")))</f>
        <v/>
      </c>
      <c r="E92" s="7">
        <f>IF(ISNUMBER(D92),IF(ISNUMBER(C92),C92*D92,"Check"),"")</f>
        <v/>
      </c>
    </row>
    <row r="93">
      <c r="A93" s="3" t="n"/>
      <c r="B93" s="2" t="n"/>
      <c r="C93" s="2" t="n"/>
      <c r="D93" s="7">
        <f>IF(AND(A93="",B93=""),"",IF(OR(NOT(ISNUMBER(A93)),B93=""),"Check",IFERROR(LOOKUP(2,1/((Prices!$A$2:$A$40=B93)*(Prices!$B$2:$B$40&lt;=A93)*ISNUMBER(Prices!$B$2:$B$40)*ISNUMBER(Prices!$C$2:$C$40)),Prices!$C$2:$C$40),"No price yet")))</f>
        <v/>
      </c>
      <c r="E93" s="7">
        <f>IF(ISNUMBER(D93),IF(ISNUMBER(C93),C93*D93,"Check"),"")</f>
        <v/>
      </c>
    </row>
    <row r="94">
      <c r="A94" s="3" t="n"/>
      <c r="B94" s="2" t="n"/>
      <c r="C94" s="2" t="n"/>
      <c r="D94" s="7">
        <f>IF(AND(A94="",B94=""),"",IF(OR(NOT(ISNUMBER(A94)),B94=""),"Check",IFERROR(LOOKUP(2,1/((Prices!$A$2:$A$40=B94)*(Prices!$B$2:$B$40&lt;=A94)*ISNUMBER(Prices!$B$2:$B$40)*ISNUMBER(Prices!$C$2:$C$40)),Prices!$C$2:$C$40),"No price yet")))</f>
        <v/>
      </c>
      <c r="E94" s="7">
        <f>IF(ISNUMBER(D94),IF(ISNUMBER(C94),C94*D94,"Check"),"")</f>
        <v/>
      </c>
    </row>
    <row r="95">
      <c r="A95" s="3" t="n"/>
      <c r="B95" s="2" t="n"/>
      <c r="C95" s="2" t="n"/>
      <c r="D95" s="7">
        <f>IF(AND(A95="",B95=""),"",IF(OR(NOT(ISNUMBER(A95)),B95=""),"Check",IFERROR(LOOKUP(2,1/((Prices!$A$2:$A$40=B95)*(Prices!$B$2:$B$40&lt;=A95)*ISNUMBER(Prices!$B$2:$B$40)*ISNUMBER(Prices!$C$2:$C$40)),Prices!$C$2:$C$40),"No price yet")))</f>
        <v/>
      </c>
      <c r="E95" s="7">
        <f>IF(ISNUMBER(D95),IF(ISNUMBER(C95),C95*D95,"Check"),"")</f>
        <v/>
      </c>
    </row>
    <row r="96">
      <c r="A96" s="3" t="n"/>
      <c r="B96" s="2" t="n"/>
      <c r="C96" s="2" t="n"/>
      <c r="D96" s="7">
        <f>IF(AND(A96="",B96=""),"",IF(OR(NOT(ISNUMBER(A96)),B96=""),"Check",IFERROR(LOOKUP(2,1/((Prices!$A$2:$A$40=B96)*(Prices!$B$2:$B$40&lt;=A96)*ISNUMBER(Prices!$B$2:$B$40)*ISNUMBER(Prices!$C$2:$C$40)),Prices!$C$2:$C$40),"No price yet")))</f>
        <v/>
      </c>
      <c r="E96" s="7">
        <f>IF(ISNUMBER(D96),IF(ISNUMBER(C96),C96*D96,"Check"),"")</f>
        <v/>
      </c>
    </row>
    <row r="97">
      <c r="A97" s="3" t="n"/>
      <c r="B97" s="2" t="n"/>
      <c r="C97" s="2" t="n"/>
      <c r="D97" s="7">
        <f>IF(AND(A97="",B97=""),"",IF(OR(NOT(ISNUMBER(A97)),B97=""),"Check",IFERROR(LOOKUP(2,1/((Prices!$A$2:$A$40=B97)*(Prices!$B$2:$B$40&lt;=A97)*ISNUMBER(Prices!$B$2:$B$40)*ISNUMBER(Prices!$C$2:$C$40)),Prices!$C$2:$C$40),"No price yet")))</f>
        <v/>
      </c>
      <c r="E97" s="7">
        <f>IF(ISNUMBER(D97),IF(ISNUMBER(C97),C97*D97,"Check"),"")</f>
        <v/>
      </c>
    </row>
    <row r="98">
      <c r="A98" s="3" t="n"/>
      <c r="B98" s="2" t="n"/>
      <c r="C98" s="2" t="n"/>
      <c r="D98" s="7">
        <f>IF(AND(A98="",B98=""),"",IF(OR(NOT(ISNUMBER(A98)),B98=""),"Check",IFERROR(LOOKUP(2,1/((Prices!$A$2:$A$40=B98)*(Prices!$B$2:$B$40&lt;=A98)*ISNUMBER(Prices!$B$2:$B$40)*ISNUMBER(Prices!$C$2:$C$40)),Prices!$C$2:$C$40),"No price yet")))</f>
        <v/>
      </c>
      <c r="E98" s="7">
        <f>IF(ISNUMBER(D98),IF(ISNUMBER(C98),C98*D98,"Check"),"")</f>
        <v/>
      </c>
    </row>
    <row r="99">
      <c r="A99" s="3" t="n"/>
      <c r="B99" s="2" t="n"/>
      <c r="C99" s="2" t="n"/>
      <c r="D99" s="7">
        <f>IF(AND(A99="",B99=""),"",IF(OR(NOT(ISNUMBER(A99)),B99=""),"Check",IFERROR(LOOKUP(2,1/((Prices!$A$2:$A$40=B99)*(Prices!$B$2:$B$40&lt;=A99)*ISNUMBER(Prices!$B$2:$B$40)*ISNUMBER(Prices!$C$2:$C$40)),Prices!$C$2:$C$40),"No price yet")))</f>
        <v/>
      </c>
      <c r="E99" s="7">
        <f>IF(ISNUMBER(D99),IF(ISNUMBER(C99),C99*D99,"Check"),"")</f>
        <v/>
      </c>
    </row>
    <row r="100">
      <c r="A100" s="3" t="n"/>
      <c r="B100" s="2" t="n"/>
      <c r="C100" s="2" t="n"/>
      <c r="D100" s="7">
        <f>IF(AND(A100="",B100=""),"",IF(OR(NOT(ISNUMBER(A100)),B100=""),"Check",IFERROR(LOOKUP(2,1/((Prices!$A$2:$A$40=B100)*(Prices!$B$2:$B$40&lt;=A100)*ISNUMBER(Prices!$B$2:$B$40)*ISNUMBER(Prices!$C$2:$C$40)),Prices!$C$2:$C$40),"No price yet")))</f>
        <v/>
      </c>
      <c r="E100" s="7">
        <f>IF(ISNUMBER(D100),IF(ISNUMBER(C100),C100*D100,"Check"),"")</f>
        <v/>
      </c>
    </row>
    <row r="101">
      <c r="A101" s="3" t="n"/>
      <c r="B101" s="2" t="n"/>
      <c r="C101" s="2" t="n"/>
      <c r="D101" s="7">
        <f>IF(AND(A101="",B101=""),"",IF(OR(NOT(ISNUMBER(A101)),B101=""),"Check",IFERROR(LOOKUP(2,1/((Prices!$A$2:$A$40=B101)*(Prices!$B$2:$B$40&lt;=A101)*ISNUMBER(Prices!$B$2:$B$40)*ISNUMBER(Prices!$C$2:$C$40)),Prices!$C$2:$C$40),"No price yet")))</f>
        <v/>
      </c>
      <c r="E101" s="7">
        <f>IF(ISNUMBER(D101),IF(ISNUMBER(C101),C101*D101,"Check"),"")</f>
        <v/>
      </c>
    </row>
    <row r="102">
      <c r="A102" s="3" t="n"/>
      <c r="B102" s="2" t="n"/>
      <c r="C102" s="2" t="n"/>
      <c r="D102" s="7">
        <f>IF(AND(A102="",B102=""),"",IF(OR(NOT(ISNUMBER(A102)),B102=""),"Check",IFERROR(LOOKUP(2,1/((Prices!$A$2:$A$40=B102)*(Prices!$B$2:$B$40&lt;=A102)*ISNUMBER(Prices!$B$2:$B$40)*ISNUMBER(Prices!$C$2:$C$40)),Prices!$C$2:$C$40),"No price yet")))</f>
        <v/>
      </c>
      <c r="E102" s="7">
        <f>IF(ISNUMBER(D102),IF(ISNUMBER(C102),C102*D102,"Check"),"")</f>
        <v/>
      </c>
    </row>
    <row r="103">
      <c r="A103" s="3" t="n"/>
      <c r="B103" s="2" t="n"/>
      <c r="C103" s="2" t="n"/>
      <c r="D103" s="7">
        <f>IF(AND(A103="",B103=""),"",IF(OR(NOT(ISNUMBER(A103)),B103=""),"Check",IFERROR(LOOKUP(2,1/((Prices!$A$2:$A$40=B103)*(Prices!$B$2:$B$40&lt;=A103)*ISNUMBER(Prices!$B$2:$B$40)*ISNUMBER(Prices!$C$2:$C$40)),Prices!$C$2:$C$40),"No price yet")))</f>
        <v/>
      </c>
      <c r="E103" s="7">
        <f>IF(ISNUMBER(D103),IF(ISNUMBER(C103),C103*D103,"Check"),"")</f>
        <v/>
      </c>
    </row>
    <row r="104">
      <c r="A104" s="3" t="n"/>
      <c r="B104" s="2" t="n"/>
      <c r="C104" s="2" t="n"/>
      <c r="D104" s="7">
        <f>IF(AND(A104="",B104=""),"",IF(OR(NOT(ISNUMBER(A104)),B104=""),"Check",IFERROR(LOOKUP(2,1/((Prices!$A$2:$A$40=B104)*(Prices!$B$2:$B$40&lt;=A104)*ISNUMBER(Prices!$B$2:$B$40)*ISNUMBER(Prices!$C$2:$C$40)),Prices!$C$2:$C$40),"No price yet")))</f>
        <v/>
      </c>
      <c r="E104" s="7">
        <f>IF(ISNUMBER(D104),IF(ISNUMBER(C104),C104*D104,"Check"),"")</f>
        <v/>
      </c>
    </row>
    <row r="105">
      <c r="A105" s="3" t="n"/>
      <c r="B105" s="2" t="n"/>
      <c r="C105" s="2" t="n"/>
      <c r="D105" s="7">
        <f>IF(AND(A105="",B105=""),"",IF(OR(NOT(ISNUMBER(A105)),B105=""),"Check",IFERROR(LOOKUP(2,1/((Prices!$A$2:$A$40=B105)*(Prices!$B$2:$B$40&lt;=A105)*ISNUMBER(Prices!$B$2:$B$40)*ISNUMBER(Prices!$C$2:$C$40)),Prices!$C$2:$C$40),"No price yet")))</f>
        <v/>
      </c>
      <c r="E105" s="7">
        <f>IF(ISNUMBER(D105),IF(ISNUMBER(C105),C105*D105,"Check"),"")</f>
        <v/>
      </c>
    </row>
    <row r="106">
      <c r="A106" s="3" t="n"/>
      <c r="B106" s="2" t="n"/>
      <c r="C106" s="2" t="n"/>
      <c r="D106" s="7">
        <f>IF(AND(A106="",B106=""),"",IF(OR(NOT(ISNUMBER(A106)),B106=""),"Check",IFERROR(LOOKUP(2,1/((Prices!$A$2:$A$40=B106)*(Prices!$B$2:$B$40&lt;=A106)*ISNUMBER(Prices!$B$2:$B$40)*ISNUMBER(Prices!$C$2:$C$40)),Prices!$C$2:$C$40),"No price yet")))</f>
        <v/>
      </c>
      <c r="E106" s="7">
        <f>IF(ISNUMBER(D106),IF(ISNUMBER(C106),C106*D106,"Check"),"")</f>
        <v/>
      </c>
    </row>
    <row r="107">
      <c r="A107" s="3" t="n"/>
      <c r="B107" s="2" t="n"/>
      <c r="C107" s="2" t="n"/>
      <c r="D107" s="7">
        <f>IF(AND(A107="",B107=""),"",IF(OR(NOT(ISNUMBER(A107)),B107=""),"Check",IFERROR(LOOKUP(2,1/((Prices!$A$2:$A$40=B107)*(Prices!$B$2:$B$40&lt;=A107)*ISNUMBER(Prices!$B$2:$B$40)*ISNUMBER(Prices!$C$2:$C$40)),Prices!$C$2:$C$40),"No price yet")))</f>
        <v/>
      </c>
      <c r="E107" s="7">
        <f>IF(ISNUMBER(D107),IF(ISNUMBER(C107),C107*D107,"Check"),"")</f>
        <v/>
      </c>
    </row>
    <row r="108">
      <c r="A108" s="3" t="n"/>
      <c r="B108" s="2" t="n"/>
      <c r="C108" s="2" t="n"/>
      <c r="D108" s="7">
        <f>IF(AND(A108="",B108=""),"",IF(OR(NOT(ISNUMBER(A108)),B108=""),"Check",IFERROR(LOOKUP(2,1/((Prices!$A$2:$A$40=B108)*(Prices!$B$2:$B$40&lt;=A108)*ISNUMBER(Prices!$B$2:$B$40)*ISNUMBER(Prices!$C$2:$C$40)),Prices!$C$2:$C$40),"No price yet")))</f>
        <v/>
      </c>
      <c r="E108" s="7">
        <f>IF(ISNUMBER(D108),IF(ISNUMBER(C108),C108*D108,"Check"),"")</f>
        <v/>
      </c>
    </row>
    <row r="109">
      <c r="A109" s="3" t="n"/>
      <c r="B109" s="2" t="n"/>
      <c r="C109" s="2" t="n"/>
      <c r="D109" s="7">
        <f>IF(AND(A109="",B109=""),"",IF(OR(NOT(ISNUMBER(A109)),B109=""),"Check",IFERROR(LOOKUP(2,1/((Prices!$A$2:$A$40=B109)*(Prices!$B$2:$B$40&lt;=A109)*ISNUMBER(Prices!$B$2:$B$40)*ISNUMBER(Prices!$C$2:$C$40)),Prices!$C$2:$C$40),"No price yet")))</f>
        <v/>
      </c>
      <c r="E109" s="7">
        <f>IF(ISNUMBER(D109),IF(ISNUMBER(C109),C109*D109,"Check"),"")</f>
        <v/>
      </c>
    </row>
    <row r="110">
      <c r="A110" s="3" t="n"/>
      <c r="B110" s="2" t="n"/>
      <c r="C110" s="2" t="n"/>
      <c r="D110" s="7">
        <f>IF(AND(A110="",B110=""),"",IF(OR(NOT(ISNUMBER(A110)),B110=""),"Check",IFERROR(LOOKUP(2,1/((Prices!$A$2:$A$40=B110)*(Prices!$B$2:$B$40&lt;=A110)*ISNUMBER(Prices!$B$2:$B$40)*ISNUMBER(Prices!$C$2:$C$40)),Prices!$C$2:$C$40),"No price yet")))</f>
        <v/>
      </c>
      <c r="E110" s="7">
        <f>IF(ISNUMBER(D110),IF(ISNUMBER(C110),C110*D110,"Check"),"")</f>
        <v/>
      </c>
    </row>
    <row r="111">
      <c r="A111" s="3" t="n"/>
      <c r="B111" s="2" t="n"/>
      <c r="C111" s="2" t="n"/>
      <c r="D111" s="7">
        <f>IF(AND(A111="",B111=""),"",IF(OR(NOT(ISNUMBER(A111)),B111=""),"Check",IFERROR(LOOKUP(2,1/((Prices!$A$2:$A$40=B111)*(Prices!$B$2:$B$40&lt;=A111)*ISNUMBER(Prices!$B$2:$B$40)*ISNUMBER(Prices!$C$2:$C$40)),Prices!$C$2:$C$40),"No price yet")))</f>
        <v/>
      </c>
      <c r="E111" s="7">
        <f>IF(ISNUMBER(D111),IF(ISNUMBER(C111),C111*D111,"Check"),"")</f>
        <v/>
      </c>
    </row>
    <row r="112">
      <c r="A112" s="3" t="n"/>
      <c r="B112" s="2" t="n"/>
      <c r="C112" s="2" t="n"/>
      <c r="D112" s="7">
        <f>IF(AND(A112="",B112=""),"",IF(OR(NOT(ISNUMBER(A112)),B112=""),"Check",IFERROR(LOOKUP(2,1/((Prices!$A$2:$A$40=B112)*(Prices!$B$2:$B$40&lt;=A112)*ISNUMBER(Prices!$B$2:$B$40)*ISNUMBER(Prices!$C$2:$C$40)),Prices!$C$2:$C$40),"No price yet")))</f>
        <v/>
      </c>
      <c r="E112" s="7">
        <f>IF(ISNUMBER(D112),IF(ISNUMBER(C112),C112*D112,"Check"),"")</f>
        <v/>
      </c>
    </row>
    <row r="113">
      <c r="A113" s="3" t="n"/>
      <c r="B113" s="2" t="n"/>
      <c r="C113" s="2" t="n"/>
      <c r="D113" s="7">
        <f>IF(AND(A113="",B113=""),"",IF(OR(NOT(ISNUMBER(A113)),B113=""),"Check",IFERROR(LOOKUP(2,1/((Prices!$A$2:$A$40=B113)*(Prices!$B$2:$B$40&lt;=A113)*ISNUMBER(Prices!$B$2:$B$40)*ISNUMBER(Prices!$C$2:$C$40)),Prices!$C$2:$C$40),"No price yet")))</f>
        <v/>
      </c>
      <c r="E113" s="7">
        <f>IF(ISNUMBER(D113),IF(ISNUMBER(C113),C113*D113,"Check"),"")</f>
        <v/>
      </c>
    </row>
    <row r="114">
      <c r="A114" s="3" t="n"/>
      <c r="B114" s="2" t="n"/>
      <c r="C114" s="2" t="n"/>
      <c r="D114" s="7">
        <f>IF(AND(A114="",B114=""),"",IF(OR(NOT(ISNUMBER(A114)),B114=""),"Check",IFERROR(LOOKUP(2,1/((Prices!$A$2:$A$40=B114)*(Prices!$B$2:$B$40&lt;=A114)*ISNUMBER(Prices!$B$2:$B$40)*ISNUMBER(Prices!$C$2:$C$40)),Prices!$C$2:$C$40),"No price yet")))</f>
        <v/>
      </c>
      <c r="E114" s="7">
        <f>IF(ISNUMBER(D114),IF(ISNUMBER(C114),C114*D114,"Check"),"")</f>
        <v/>
      </c>
    </row>
    <row r="115">
      <c r="A115" s="3" t="n"/>
      <c r="B115" s="2" t="n"/>
      <c r="C115" s="2" t="n"/>
      <c r="D115" s="7">
        <f>IF(AND(A115="",B115=""),"",IF(OR(NOT(ISNUMBER(A115)),B115=""),"Check",IFERROR(LOOKUP(2,1/((Prices!$A$2:$A$40=B115)*(Prices!$B$2:$B$40&lt;=A115)*ISNUMBER(Prices!$B$2:$B$40)*ISNUMBER(Prices!$C$2:$C$40)),Prices!$C$2:$C$40),"No price yet")))</f>
        <v/>
      </c>
      <c r="E115" s="7">
        <f>IF(ISNUMBER(D115),IF(ISNUMBER(C115),C115*D115,"Check"),"")</f>
        <v/>
      </c>
    </row>
    <row r="116">
      <c r="A116" s="3" t="n"/>
      <c r="B116" s="2" t="n"/>
      <c r="C116" s="2" t="n"/>
      <c r="D116" s="7">
        <f>IF(AND(A116="",B116=""),"",IF(OR(NOT(ISNUMBER(A116)),B116=""),"Check",IFERROR(LOOKUP(2,1/((Prices!$A$2:$A$40=B116)*(Prices!$B$2:$B$40&lt;=A116)*ISNUMBER(Prices!$B$2:$B$40)*ISNUMBER(Prices!$C$2:$C$40)),Prices!$C$2:$C$40),"No price yet")))</f>
        <v/>
      </c>
      <c r="E116" s="7">
        <f>IF(ISNUMBER(D116),IF(ISNUMBER(C116),C116*D116,"Check"),"")</f>
        <v/>
      </c>
    </row>
    <row r="117">
      <c r="A117" s="3" t="n"/>
      <c r="B117" s="2" t="n"/>
      <c r="C117" s="2" t="n"/>
      <c r="D117" s="7">
        <f>IF(AND(A117="",B117=""),"",IF(OR(NOT(ISNUMBER(A117)),B117=""),"Check",IFERROR(LOOKUP(2,1/((Prices!$A$2:$A$40=B117)*(Prices!$B$2:$B$40&lt;=A117)*ISNUMBER(Prices!$B$2:$B$40)*ISNUMBER(Prices!$C$2:$C$40)),Prices!$C$2:$C$40),"No price yet")))</f>
        <v/>
      </c>
      <c r="E117" s="7">
        <f>IF(ISNUMBER(D117),IF(ISNUMBER(C117),C117*D117,"Check"),"")</f>
        <v/>
      </c>
    </row>
    <row r="118">
      <c r="A118" s="3" t="n"/>
      <c r="B118" s="2" t="n"/>
      <c r="C118" s="2" t="n"/>
      <c r="D118" s="7">
        <f>IF(AND(A118="",B118=""),"",IF(OR(NOT(ISNUMBER(A118)),B118=""),"Check",IFERROR(LOOKUP(2,1/((Prices!$A$2:$A$40=B118)*(Prices!$B$2:$B$40&lt;=A118)*ISNUMBER(Prices!$B$2:$B$40)*ISNUMBER(Prices!$C$2:$C$40)),Prices!$C$2:$C$40),"No price yet")))</f>
        <v/>
      </c>
      <c r="E118" s="7">
        <f>IF(ISNUMBER(D118),IF(ISNUMBER(C118),C118*D118,"Check"),"")</f>
        <v/>
      </c>
    </row>
    <row r="119">
      <c r="A119" s="3" t="n"/>
      <c r="B119" s="2" t="n"/>
      <c r="C119" s="2" t="n"/>
      <c r="D119" s="7">
        <f>IF(AND(A119="",B119=""),"",IF(OR(NOT(ISNUMBER(A119)),B119=""),"Check",IFERROR(LOOKUP(2,1/((Prices!$A$2:$A$40=B119)*(Prices!$B$2:$B$40&lt;=A119)*ISNUMBER(Prices!$B$2:$B$40)*ISNUMBER(Prices!$C$2:$C$40)),Prices!$C$2:$C$40),"No price yet")))</f>
        <v/>
      </c>
      <c r="E119" s="7">
        <f>IF(ISNUMBER(D119),IF(ISNUMBER(C119),C119*D119,"Check"),"")</f>
        <v/>
      </c>
    </row>
    <row r="120">
      <c r="A120" s="3" t="n"/>
      <c r="B120" s="2" t="n"/>
      <c r="C120" s="2" t="n"/>
      <c r="D120" s="7">
        <f>IF(AND(A120="",B120=""),"",IF(OR(NOT(ISNUMBER(A120)),B120=""),"Check",IFERROR(LOOKUP(2,1/((Prices!$A$2:$A$40=B120)*(Prices!$B$2:$B$40&lt;=A120)*ISNUMBER(Prices!$B$2:$B$40)*ISNUMBER(Prices!$C$2:$C$40)),Prices!$C$2:$C$40),"No price yet")))</f>
        <v/>
      </c>
      <c r="E120" s="7">
        <f>IF(ISNUMBER(D120),IF(ISNUMBER(C120),C120*D120,"Check"),"")</f>
        <v/>
      </c>
    </row>
    <row r="121">
      <c r="A121" s="3" t="n"/>
      <c r="B121" s="2" t="n"/>
      <c r="C121" s="2" t="n"/>
      <c r="D121" s="7">
        <f>IF(AND(A121="",B121=""),"",IF(OR(NOT(ISNUMBER(A121)),B121=""),"Check",IFERROR(LOOKUP(2,1/((Prices!$A$2:$A$40=B121)*(Prices!$B$2:$B$40&lt;=A121)*ISNUMBER(Prices!$B$2:$B$40)*ISNUMBER(Prices!$C$2:$C$40)),Prices!$C$2:$C$40),"No price yet")))</f>
        <v/>
      </c>
      <c r="E121" s="7">
        <f>IF(ISNUMBER(D121),IF(ISNUMBER(C121),C121*D121,"Check"),"")</f>
        <v/>
      </c>
    </row>
    <row r="122">
      <c r="A122" s="3" t="n"/>
      <c r="B122" s="2" t="n"/>
      <c r="C122" s="2" t="n"/>
      <c r="D122" s="7">
        <f>IF(AND(A122="",B122=""),"",IF(OR(NOT(ISNUMBER(A122)),B122=""),"Check",IFERROR(LOOKUP(2,1/((Prices!$A$2:$A$40=B122)*(Prices!$B$2:$B$40&lt;=A122)*ISNUMBER(Prices!$B$2:$B$40)*ISNUMBER(Prices!$C$2:$C$40)),Prices!$C$2:$C$40),"No price yet")))</f>
        <v/>
      </c>
      <c r="E122" s="7">
        <f>IF(ISNUMBER(D122),IF(ISNUMBER(C122),C122*D122,"Check"),"")</f>
        <v/>
      </c>
    </row>
    <row r="123">
      <c r="A123" s="3" t="n"/>
      <c r="B123" s="2" t="n"/>
      <c r="C123" s="2" t="n"/>
      <c r="D123" s="7">
        <f>IF(AND(A123="",B123=""),"",IF(OR(NOT(ISNUMBER(A123)),B123=""),"Check",IFERROR(LOOKUP(2,1/((Prices!$A$2:$A$40=B123)*(Prices!$B$2:$B$40&lt;=A123)*ISNUMBER(Prices!$B$2:$B$40)*ISNUMBER(Prices!$C$2:$C$40)),Prices!$C$2:$C$40),"No price yet")))</f>
        <v/>
      </c>
      <c r="E123" s="7">
        <f>IF(ISNUMBER(D123),IF(ISNUMBER(C123),C123*D123,"Check"),"")</f>
        <v/>
      </c>
    </row>
    <row r="124">
      <c r="A124" s="3" t="n"/>
      <c r="B124" s="2" t="n"/>
      <c r="C124" s="2" t="n"/>
      <c r="D124" s="7">
        <f>IF(AND(A124="",B124=""),"",IF(OR(NOT(ISNUMBER(A124)),B124=""),"Check",IFERROR(LOOKUP(2,1/((Prices!$A$2:$A$40=B124)*(Prices!$B$2:$B$40&lt;=A124)*ISNUMBER(Prices!$B$2:$B$40)*ISNUMBER(Prices!$C$2:$C$40)),Prices!$C$2:$C$40),"No price yet")))</f>
        <v/>
      </c>
      <c r="E124" s="7">
        <f>IF(ISNUMBER(D124),IF(ISNUMBER(C124),C124*D124,"Check"),"")</f>
        <v/>
      </c>
    </row>
    <row r="125">
      <c r="A125" s="3" t="n"/>
      <c r="B125" s="2" t="n"/>
      <c r="C125" s="2" t="n"/>
      <c r="D125" s="7">
        <f>IF(AND(A125="",B125=""),"",IF(OR(NOT(ISNUMBER(A125)),B125=""),"Check",IFERROR(LOOKUP(2,1/((Prices!$A$2:$A$40=B125)*(Prices!$B$2:$B$40&lt;=A125)*ISNUMBER(Prices!$B$2:$B$40)*ISNUMBER(Prices!$C$2:$C$40)),Prices!$C$2:$C$40),"No price yet")))</f>
        <v/>
      </c>
      <c r="E125" s="7">
        <f>IF(ISNUMBER(D125),IF(ISNUMBER(C125),C125*D125,"Check"),"")</f>
        <v/>
      </c>
    </row>
    <row r="126">
      <c r="A126" s="3" t="n"/>
      <c r="B126" s="2" t="n"/>
      <c r="C126" s="2" t="n"/>
      <c r="D126" s="7">
        <f>IF(AND(A126="",B126=""),"",IF(OR(NOT(ISNUMBER(A126)),B126=""),"Check",IFERROR(LOOKUP(2,1/((Prices!$A$2:$A$40=B126)*(Prices!$B$2:$B$40&lt;=A126)*ISNUMBER(Prices!$B$2:$B$40)*ISNUMBER(Prices!$C$2:$C$40)),Prices!$C$2:$C$40),"No price yet")))</f>
        <v/>
      </c>
      <c r="E126" s="7">
        <f>IF(ISNUMBER(D126),IF(ISNUMBER(C126),C126*D126,"Check"),"")</f>
        <v/>
      </c>
    </row>
    <row r="127">
      <c r="A127" s="3" t="n"/>
      <c r="B127" s="2" t="n"/>
      <c r="C127" s="2" t="n"/>
      <c r="D127" s="7">
        <f>IF(AND(A127="",B127=""),"",IF(OR(NOT(ISNUMBER(A127)),B127=""),"Check",IFERROR(LOOKUP(2,1/((Prices!$A$2:$A$40=B127)*(Prices!$B$2:$B$40&lt;=A127)*ISNUMBER(Prices!$B$2:$B$40)*ISNUMBER(Prices!$C$2:$C$40)),Prices!$C$2:$C$40),"No price yet")))</f>
        <v/>
      </c>
      <c r="E127" s="7">
        <f>IF(ISNUMBER(D127),IF(ISNUMBER(C127),C127*D127,"Check"),"")</f>
        <v/>
      </c>
    </row>
    <row r="128">
      <c r="A128" s="3" t="n"/>
      <c r="B128" s="2" t="n"/>
      <c r="C128" s="2" t="n"/>
      <c r="D128" s="7">
        <f>IF(AND(A128="",B128=""),"",IF(OR(NOT(ISNUMBER(A128)),B128=""),"Check",IFERROR(LOOKUP(2,1/((Prices!$A$2:$A$40=B128)*(Prices!$B$2:$B$40&lt;=A128)*ISNUMBER(Prices!$B$2:$B$40)*ISNUMBER(Prices!$C$2:$C$40)),Prices!$C$2:$C$40),"No price yet")))</f>
        <v/>
      </c>
      <c r="E128" s="7">
        <f>IF(ISNUMBER(D128),IF(ISNUMBER(C128),C128*D128,"Check"),"")</f>
        <v/>
      </c>
    </row>
    <row r="129">
      <c r="A129" s="3" t="n"/>
      <c r="B129" s="2" t="n"/>
      <c r="C129" s="2" t="n"/>
      <c r="D129" s="7">
        <f>IF(AND(A129="",B129=""),"",IF(OR(NOT(ISNUMBER(A129)),B129=""),"Check",IFERROR(LOOKUP(2,1/((Prices!$A$2:$A$40=B129)*(Prices!$B$2:$B$40&lt;=A129)*ISNUMBER(Prices!$B$2:$B$40)*ISNUMBER(Prices!$C$2:$C$40)),Prices!$C$2:$C$40),"No price yet")))</f>
        <v/>
      </c>
      <c r="E129" s="7">
        <f>IF(ISNUMBER(D129),IF(ISNUMBER(C129),C129*D129,"Check"),"")</f>
        <v/>
      </c>
    </row>
    <row r="130">
      <c r="A130" s="3" t="n"/>
      <c r="B130" s="2" t="n"/>
      <c r="C130" s="2" t="n"/>
      <c r="D130" s="7">
        <f>IF(AND(A130="",B130=""),"",IF(OR(NOT(ISNUMBER(A130)),B130=""),"Check",IFERROR(LOOKUP(2,1/((Prices!$A$2:$A$40=B130)*(Prices!$B$2:$B$40&lt;=A130)*ISNUMBER(Prices!$B$2:$B$40)*ISNUMBER(Prices!$C$2:$C$40)),Prices!$C$2:$C$40),"No price yet")))</f>
        <v/>
      </c>
      <c r="E130" s="7">
        <f>IF(ISNUMBER(D130),IF(ISNUMBER(C130),C130*D130,"Check"),"")</f>
        <v/>
      </c>
    </row>
    <row r="131">
      <c r="A131" s="3" t="n"/>
      <c r="B131" s="2" t="n"/>
      <c r="C131" s="2" t="n"/>
      <c r="D131" s="7">
        <f>IF(AND(A131="",B131=""),"",IF(OR(NOT(ISNUMBER(A131)),B131=""),"Check",IFERROR(LOOKUP(2,1/((Prices!$A$2:$A$40=B131)*(Prices!$B$2:$B$40&lt;=A131)*ISNUMBER(Prices!$B$2:$B$40)*ISNUMBER(Prices!$C$2:$C$40)),Prices!$C$2:$C$40),"No price yet")))</f>
        <v/>
      </c>
      <c r="E131" s="7">
        <f>IF(ISNUMBER(D131),IF(ISNUMBER(C131),C131*D131,"Check"),"")</f>
        <v/>
      </c>
    </row>
    <row r="132">
      <c r="A132" s="3" t="n"/>
      <c r="B132" s="2" t="n"/>
      <c r="C132" s="2" t="n"/>
      <c r="D132" s="7">
        <f>IF(AND(A132="",B132=""),"",IF(OR(NOT(ISNUMBER(A132)),B132=""),"Check",IFERROR(LOOKUP(2,1/((Prices!$A$2:$A$40=B132)*(Prices!$B$2:$B$40&lt;=A132)*ISNUMBER(Prices!$B$2:$B$40)*ISNUMBER(Prices!$C$2:$C$40)),Prices!$C$2:$C$40),"No price yet")))</f>
        <v/>
      </c>
      <c r="E132" s="7">
        <f>IF(ISNUMBER(D132),IF(ISNUMBER(C132),C132*D132,"Check"),"")</f>
        <v/>
      </c>
    </row>
    <row r="133">
      <c r="A133" s="3" t="n"/>
      <c r="B133" s="2" t="n"/>
      <c r="C133" s="2" t="n"/>
      <c r="D133" s="7">
        <f>IF(AND(A133="",B133=""),"",IF(OR(NOT(ISNUMBER(A133)),B133=""),"Check",IFERROR(LOOKUP(2,1/((Prices!$A$2:$A$40=B133)*(Prices!$B$2:$B$40&lt;=A133)*ISNUMBER(Prices!$B$2:$B$40)*ISNUMBER(Prices!$C$2:$C$40)),Prices!$C$2:$C$40),"No price yet")))</f>
        <v/>
      </c>
      <c r="E133" s="7">
        <f>IF(ISNUMBER(D133),IF(ISNUMBER(C133),C133*D133,"Check"),"")</f>
        <v/>
      </c>
    </row>
    <row r="134">
      <c r="A134" s="3" t="n"/>
      <c r="B134" s="2" t="n"/>
      <c r="C134" s="2" t="n"/>
      <c r="D134" s="7">
        <f>IF(AND(A134="",B134=""),"",IF(OR(NOT(ISNUMBER(A134)),B134=""),"Check",IFERROR(LOOKUP(2,1/((Prices!$A$2:$A$40=B134)*(Prices!$B$2:$B$40&lt;=A134)*ISNUMBER(Prices!$B$2:$B$40)*ISNUMBER(Prices!$C$2:$C$40)),Prices!$C$2:$C$40),"No price yet")))</f>
        <v/>
      </c>
      <c r="E134" s="7">
        <f>IF(ISNUMBER(D134),IF(ISNUMBER(C134),C134*D134,"Check"),"")</f>
        <v/>
      </c>
    </row>
    <row r="135">
      <c r="A135" s="3" t="n"/>
      <c r="B135" s="2" t="n"/>
      <c r="C135" s="2" t="n"/>
      <c r="D135" s="7">
        <f>IF(AND(A135="",B135=""),"",IF(OR(NOT(ISNUMBER(A135)),B135=""),"Check",IFERROR(LOOKUP(2,1/((Prices!$A$2:$A$40=B135)*(Prices!$B$2:$B$40&lt;=A135)*ISNUMBER(Prices!$B$2:$B$40)*ISNUMBER(Prices!$C$2:$C$40)),Prices!$C$2:$C$40),"No price yet")))</f>
        <v/>
      </c>
      <c r="E135" s="7">
        <f>IF(ISNUMBER(D135),IF(ISNUMBER(C135),C135*D135,"Check"),"")</f>
        <v/>
      </c>
    </row>
    <row r="136">
      <c r="A136" s="3" t="n"/>
      <c r="B136" s="2" t="n"/>
      <c r="C136" s="2" t="n"/>
      <c r="D136" s="7">
        <f>IF(AND(A136="",B136=""),"",IF(OR(NOT(ISNUMBER(A136)),B136=""),"Check",IFERROR(LOOKUP(2,1/((Prices!$A$2:$A$40=B136)*(Prices!$B$2:$B$40&lt;=A136)*ISNUMBER(Prices!$B$2:$B$40)*ISNUMBER(Prices!$C$2:$C$40)),Prices!$C$2:$C$40),"No price yet")))</f>
        <v/>
      </c>
      <c r="E136" s="7">
        <f>IF(ISNUMBER(D136),IF(ISNUMBER(C136),C136*D136,"Check"),"")</f>
        <v/>
      </c>
    </row>
    <row r="137">
      <c r="A137" s="3" t="n"/>
      <c r="B137" s="2" t="n"/>
      <c r="C137" s="2" t="n"/>
      <c r="D137" s="7">
        <f>IF(AND(A137="",B137=""),"",IF(OR(NOT(ISNUMBER(A137)),B137=""),"Check",IFERROR(LOOKUP(2,1/((Prices!$A$2:$A$40=B137)*(Prices!$B$2:$B$40&lt;=A137)*ISNUMBER(Prices!$B$2:$B$40)*ISNUMBER(Prices!$C$2:$C$40)),Prices!$C$2:$C$40),"No price yet")))</f>
        <v/>
      </c>
      <c r="E137" s="7">
        <f>IF(ISNUMBER(D137),IF(ISNUMBER(C137),C137*D137,"Check"),"")</f>
        <v/>
      </c>
    </row>
    <row r="138">
      <c r="A138" s="3" t="n"/>
      <c r="B138" s="2" t="n"/>
      <c r="C138" s="2" t="n"/>
      <c r="D138" s="7">
        <f>IF(AND(A138="",B138=""),"",IF(OR(NOT(ISNUMBER(A138)),B138=""),"Check",IFERROR(LOOKUP(2,1/((Prices!$A$2:$A$40=B138)*(Prices!$B$2:$B$40&lt;=A138)*ISNUMBER(Prices!$B$2:$B$40)*ISNUMBER(Prices!$C$2:$C$40)),Prices!$C$2:$C$40),"No price yet")))</f>
        <v/>
      </c>
      <c r="E138" s="7">
        <f>IF(ISNUMBER(D138),IF(ISNUMBER(C138),C138*D138,"Check"),"")</f>
        <v/>
      </c>
    </row>
    <row r="139">
      <c r="A139" s="3" t="n"/>
      <c r="B139" s="2" t="n"/>
      <c r="C139" s="2" t="n"/>
      <c r="D139" s="7">
        <f>IF(AND(A139="",B139=""),"",IF(OR(NOT(ISNUMBER(A139)),B139=""),"Check",IFERROR(LOOKUP(2,1/((Prices!$A$2:$A$40=B139)*(Prices!$B$2:$B$40&lt;=A139)*ISNUMBER(Prices!$B$2:$B$40)*ISNUMBER(Prices!$C$2:$C$40)),Prices!$C$2:$C$40),"No price yet")))</f>
        <v/>
      </c>
      <c r="E139" s="7">
        <f>IF(ISNUMBER(D139),IF(ISNUMBER(C139),C139*D139,"Check"),"")</f>
        <v/>
      </c>
    </row>
    <row r="140">
      <c r="A140" s="3" t="n"/>
      <c r="B140" s="2" t="n"/>
      <c r="C140" s="2" t="n"/>
      <c r="D140" s="7">
        <f>IF(AND(A140="",B140=""),"",IF(OR(NOT(ISNUMBER(A140)),B140=""),"Check",IFERROR(LOOKUP(2,1/((Prices!$A$2:$A$40=B140)*(Prices!$B$2:$B$40&lt;=A140)*ISNUMBER(Prices!$B$2:$B$40)*ISNUMBER(Prices!$C$2:$C$40)),Prices!$C$2:$C$40),"No price yet")))</f>
        <v/>
      </c>
      <c r="E140" s="7">
        <f>IF(ISNUMBER(D140),IF(ISNUMBER(C140),C140*D140,"Check"),"")</f>
        <v/>
      </c>
    </row>
    <row r="141">
      <c r="A141" s="3" t="n"/>
      <c r="B141" s="2" t="n"/>
      <c r="C141" s="2" t="n"/>
      <c r="D141" s="7">
        <f>IF(AND(A141="",B141=""),"",IF(OR(NOT(ISNUMBER(A141)),B141=""),"Check",IFERROR(LOOKUP(2,1/((Prices!$A$2:$A$40=B141)*(Prices!$B$2:$B$40&lt;=A141)*ISNUMBER(Prices!$B$2:$B$40)*ISNUMBER(Prices!$C$2:$C$40)),Prices!$C$2:$C$40),"No price yet")))</f>
        <v/>
      </c>
      <c r="E141" s="7">
        <f>IF(ISNUMBER(D141),IF(ISNUMBER(C141),C141*D141,"Check"),"")</f>
        <v/>
      </c>
    </row>
    <row r="142">
      <c r="A142" s="3" t="n"/>
      <c r="B142" s="2" t="n"/>
      <c r="C142" s="2" t="n"/>
      <c r="D142" s="7">
        <f>IF(AND(A142="",B142=""),"",IF(OR(NOT(ISNUMBER(A142)),B142=""),"Check",IFERROR(LOOKUP(2,1/((Prices!$A$2:$A$40=B142)*(Prices!$B$2:$B$40&lt;=A142)*ISNUMBER(Prices!$B$2:$B$40)*ISNUMBER(Prices!$C$2:$C$40)),Prices!$C$2:$C$40),"No price yet")))</f>
        <v/>
      </c>
      <c r="E142" s="7">
        <f>IF(ISNUMBER(D142),IF(ISNUMBER(C142),C142*D142,"Check"),"")</f>
        <v/>
      </c>
    </row>
    <row r="143">
      <c r="A143" s="3" t="n"/>
      <c r="B143" s="2" t="n"/>
      <c r="C143" s="2" t="n"/>
      <c r="D143" s="7">
        <f>IF(AND(A143="",B143=""),"",IF(OR(NOT(ISNUMBER(A143)),B143=""),"Check",IFERROR(LOOKUP(2,1/((Prices!$A$2:$A$40=B143)*(Prices!$B$2:$B$40&lt;=A143)*ISNUMBER(Prices!$B$2:$B$40)*ISNUMBER(Prices!$C$2:$C$40)),Prices!$C$2:$C$40),"No price yet")))</f>
        <v/>
      </c>
      <c r="E143" s="7">
        <f>IF(ISNUMBER(D143),IF(ISNUMBER(C143),C143*D143,"Check"),"")</f>
        <v/>
      </c>
    </row>
    <row r="144">
      <c r="A144" s="3" t="n"/>
      <c r="B144" s="2" t="n"/>
      <c r="C144" s="2" t="n"/>
      <c r="D144" s="7">
        <f>IF(AND(A144="",B144=""),"",IF(OR(NOT(ISNUMBER(A144)),B144=""),"Check",IFERROR(LOOKUP(2,1/((Prices!$A$2:$A$40=B144)*(Prices!$B$2:$B$40&lt;=A144)*ISNUMBER(Prices!$B$2:$B$40)*ISNUMBER(Prices!$C$2:$C$40)),Prices!$C$2:$C$40),"No price yet")))</f>
        <v/>
      </c>
      <c r="E144" s="7">
        <f>IF(ISNUMBER(D144),IF(ISNUMBER(C144),C144*D144,"Check"),"")</f>
        <v/>
      </c>
    </row>
    <row r="145">
      <c r="A145" s="3" t="n"/>
      <c r="B145" s="2" t="n"/>
      <c r="C145" s="2" t="n"/>
      <c r="D145" s="7">
        <f>IF(AND(A145="",B145=""),"",IF(OR(NOT(ISNUMBER(A145)),B145=""),"Check",IFERROR(LOOKUP(2,1/((Prices!$A$2:$A$40=B145)*(Prices!$B$2:$B$40&lt;=A145)*ISNUMBER(Prices!$B$2:$B$40)*ISNUMBER(Prices!$C$2:$C$40)),Prices!$C$2:$C$40),"No price yet")))</f>
        <v/>
      </c>
      <c r="E145" s="7">
        <f>IF(ISNUMBER(D145),IF(ISNUMBER(C145),C145*D145,"Check"),"")</f>
        <v/>
      </c>
    </row>
    <row r="146">
      <c r="A146" s="3" t="n"/>
      <c r="B146" s="2" t="n"/>
      <c r="C146" s="2" t="n"/>
      <c r="D146" s="7">
        <f>IF(AND(A146="",B146=""),"",IF(OR(NOT(ISNUMBER(A146)),B146=""),"Check",IFERROR(LOOKUP(2,1/((Prices!$A$2:$A$40=B146)*(Prices!$B$2:$B$40&lt;=A146)*ISNUMBER(Prices!$B$2:$B$40)*ISNUMBER(Prices!$C$2:$C$40)),Prices!$C$2:$C$40),"No price yet")))</f>
        <v/>
      </c>
      <c r="E146" s="7">
        <f>IF(ISNUMBER(D146),IF(ISNUMBER(C146),C146*D146,"Check"),"")</f>
        <v/>
      </c>
    </row>
    <row r="147">
      <c r="A147" s="3" t="n"/>
      <c r="B147" s="2" t="n"/>
      <c r="C147" s="2" t="n"/>
      <c r="D147" s="7">
        <f>IF(AND(A147="",B147=""),"",IF(OR(NOT(ISNUMBER(A147)),B147=""),"Check",IFERROR(LOOKUP(2,1/((Prices!$A$2:$A$40=B147)*(Prices!$B$2:$B$40&lt;=A147)*ISNUMBER(Prices!$B$2:$B$40)*ISNUMBER(Prices!$C$2:$C$40)),Prices!$C$2:$C$40),"No price yet")))</f>
        <v/>
      </c>
      <c r="E147" s="7">
        <f>IF(ISNUMBER(D147),IF(ISNUMBER(C147),C147*D147,"Check"),"")</f>
        <v/>
      </c>
    </row>
    <row r="148">
      <c r="A148" s="3" t="n"/>
      <c r="B148" s="2" t="n"/>
      <c r="C148" s="2" t="n"/>
      <c r="D148" s="7">
        <f>IF(AND(A148="",B148=""),"",IF(OR(NOT(ISNUMBER(A148)),B148=""),"Check",IFERROR(LOOKUP(2,1/((Prices!$A$2:$A$40=B148)*(Prices!$B$2:$B$40&lt;=A148)*ISNUMBER(Prices!$B$2:$B$40)*ISNUMBER(Prices!$C$2:$C$40)),Prices!$C$2:$C$40),"No price yet")))</f>
        <v/>
      </c>
      <c r="E148" s="7">
        <f>IF(ISNUMBER(D148),IF(ISNUMBER(C148),C148*D148,"Check"),"")</f>
        <v/>
      </c>
    </row>
    <row r="149">
      <c r="A149" s="3" t="n"/>
      <c r="B149" s="2" t="n"/>
      <c r="C149" s="2" t="n"/>
      <c r="D149" s="7">
        <f>IF(AND(A149="",B149=""),"",IF(OR(NOT(ISNUMBER(A149)),B149=""),"Check",IFERROR(LOOKUP(2,1/((Prices!$A$2:$A$40=B149)*(Prices!$B$2:$B$40&lt;=A149)*ISNUMBER(Prices!$B$2:$B$40)*ISNUMBER(Prices!$C$2:$C$40)),Prices!$C$2:$C$40),"No price yet")))</f>
        <v/>
      </c>
      <c r="E149" s="7">
        <f>IF(ISNUMBER(D149),IF(ISNUMBER(C149),C149*D149,"Check"),"")</f>
        <v/>
      </c>
    </row>
    <row r="150">
      <c r="A150" s="3" t="n"/>
      <c r="B150" s="2" t="n"/>
      <c r="C150" s="2" t="n"/>
      <c r="D150" s="7">
        <f>IF(AND(A150="",B150=""),"",IF(OR(NOT(ISNUMBER(A150)),B150=""),"Check",IFERROR(LOOKUP(2,1/((Prices!$A$2:$A$40=B150)*(Prices!$B$2:$B$40&lt;=A150)*ISNUMBER(Prices!$B$2:$B$40)*ISNUMBER(Prices!$C$2:$C$40)),Prices!$C$2:$C$40),"No price yet")))</f>
        <v/>
      </c>
      <c r="E150" s="7">
        <f>IF(ISNUMBER(D150),IF(ISNUMBER(C150),C150*D150,"Check"),"")</f>
        <v/>
      </c>
    </row>
    <row r="151">
      <c r="A151" s="3" t="n"/>
      <c r="B151" s="2" t="n"/>
      <c r="C151" s="2" t="n"/>
      <c r="D151" s="7">
        <f>IF(AND(A151="",B151=""),"",IF(OR(NOT(ISNUMBER(A151)),B151=""),"Check",IFERROR(LOOKUP(2,1/((Prices!$A$2:$A$40=B151)*(Prices!$B$2:$B$40&lt;=A151)*ISNUMBER(Prices!$B$2:$B$40)*ISNUMBER(Prices!$C$2:$C$40)),Prices!$C$2:$C$40),"No price yet")))</f>
        <v/>
      </c>
      <c r="E151" s="7">
        <f>IF(ISNUMBER(D151),IF(ISNUMBER(C151),C151*D151,"Check"),"")</f>
        <v/>
      </c>
    </row>
    <row r="152">
      <c r="A152" s="3" t="n"/>
      <c r="B152" s="2" t="n"/>
      <c r="C152" s="2" t="n"/>
      <c r="D152" s="7">
        <f>IF(AND(A152="",B152=""),"",IF(OR(NOT(ISNUMBER(A152)),B152=""),"Check",IFERROR(LOOKUP(2,1/((Prices!$A$2:$A$40=B152)*(Prices!$B$2:$B$40&lt;=A152)*ISNUMBER(Prices!$B$2:$B$40)*ISNUMBER(Prices!$C$2:$C$40)),Prices!$C$2:$C$40),"No price yet")))</f>
        <v/>
      </c>
      <c r="E152" s="7">
        <f>IF(ISNUMBER(D152),IF(ISNUMBER(C152),C152*D152,"Check"),"")</f>
        <v/>
      </c>
    </row>
    <row r="153">
      <c r="A153" s="3" t="n"/>
      <c r="B153" s="2" t="n"/>
      <c r="C153" s="2" t="n"/>
      <c r="D153" s="7">
        <f>IF(AND(A153="",B153=""),"",IF(OR(NOT(ISNUMBER(A153)),B153=""),"Check",IFERROR(LOOKUP(2,1/((Prices!$A$2:$A$40=B153)*(Prices!$B$2:$B$40&lt;=A153)*ISNUMBER(Prices!$B$2:$B$40)*ISNUMBER(Prices!$C$2:$C$40)),Prices!$C$2:$C$40),"No price yet")))</f>
        <v/>
      </c>
      <c r="E153" s="7">
        <f>IF(ISNUMBER(D153),IF(ISNUMBER(C153),C153*D153,"Check"),"")</f>
        <v/>
      </c>
    </row>
    <row r="154">
      <c r="A154" s="3" t="n"/>
      <c r="B154" s="2" t="n"/>
      <c r="C154" s="2" t="n"/>
      <c r="D154" s="7">
        <f>IF(AND(A154="",B154=""),"",IF(OR(NOT(ISNUMBER(A154)),B154=""),"Check",IFERROR(LOOKUP(2,1/((Prices!$A$2:$A$40=B154)*(Prices!$B$2:$B$40&lt;=A154)*ISNUMBER(Prices!$B$2:$B$40)*ISNUMBER(Prices!$C$2:$C$40)),Prices!$C$2:$C$40),"No price yet")))</f>
        <v/>
      </c>
      <c r="E154" s="7">
        <f>IF(ISNUMBER(D154),IF(ISNUMBER(C154),C154*D154,"Check"),"")</f>
        <v/>
      </c>
    </row>
    <row r="155">
      <c r="A155" s="3" t="n"/>
      <c r="B155" s="2" t="n"/>
      <c r="C155" s="2" t="n"/>
      <c r="D155" s="7">
        <f>IF(AND(A155="",B155=""),"",IF(OR(NOT(ISNUMBER(A155)),B155=""),"Check",IFERROR(LOOKUP(2,1/((Prices!$A$2:$A$40=B155)*(Prices!$B$2:$B$40&lt;=A155)*ISNUMBER(Prices!$B$2:$B$40)*ISNUMBER(Prices!$C$2:$C$40)),Prices!$C$2:$C$40),"No price yet")))</f>
        <v/>
      </c>
      <c r="E155" s="7">
        <f>IF(ISNUMBER(D155),IF(ISNUMBER(C155),C155*D155,"Check"),"")</f>
        <v/>
      </c>
    </row>
    <row r="156">
      <c r="A156" s="3" t="n"/>
      <c r="B156" s="2" t="n"/>
      <c r="C156" s="2" t="n"/>
      <c r="D156" s="7">
        <f>IF(AND(A156="",B156=""),"",IF(OR(NOT(ISNUMBER(A156)),B156=""),"Check",IFERROR(LOOKUP(2,1/((Prices!$A$2:$A$40=B156)*(Prices!$B$2:$B$40&lt;=A156)*ISNUMBER(Prices!$B$2:$B$40)*ISNUMBER(Prices!$C$2:$C$40)),Prices!$C$2:$C$40),"No price yet")))</f>
        <v/>
      </c>
      <c r="E156" s="7">
        <f>IF(ISNUMBER(D156),IF(ISNUMBER(C156),C156*D156,"Check"),"")</f>
        <v/>
      </c>
    </row>
    <row r="157">
      <c r="A157" s="3" t="n"/>
      <c r="B157" s="2" t="n"/>
      <c r="C157" s="2" t="n"/>
      <c r="D157" s="7">
        <f>IF(AND(A157="",B157=""),"",IF(OR(NOT(ISNUMBER(A157)),B157=""),"Check",IFERROR(LOOKUP(2,1/((Prices!$A$2:$A$40=B157)*(Prices!$B$2:$B$40&lt;=A157)*ISNUMBER(Prices!$B$2:$B$40)*ISNUMBER(Prices!$C$2:$C$40)),Prices!$C$2:$C$40),"No price yet")))</f>
        <v/>
      </c>
      <c r="E157" s="7">
        <f>IF(ISNUMBER(D157),IF(ISNUMBER(C157),C157*D157,"Check"),"")</f>
        <v/>
      </c>
    </row>
    <row r="158">
      <c r="A158" s="3" t="n"/>
      <c r="B158" s="2" t="n"/>
      <c r="C158" s="2" t="n"/>
      <c r="D158" s="7">
        <f>IF(AND(A158="",B158=""),"",IF(OR(NOT(ISNUMBER(A158)),B158=""),"Check",IFERROR(LOOKUP(2,1/((Prices!$A$2:$A$40=B158)*(Prices!$B$2:$B$40&lt;=A158)*ISNUMBER(Prices!$B$2:$B$40)*ISNUMBER(Prices!$C$2:$C$40)),Prices!$C$2:$C$40),"No price yet")))</f>
        <v/>
      </c>
      <c r="E158" s="7">
        <f>IF(ISNUMBER(D158),IF(ISNUMBER(C158),C158*D158,"Check"),"")</f>
        <v/>
      </c>
    </row>
    <row r="159">
      <c r="A159" s="3" t="n"/>
      <c r="B159" s="2" t="n"/>
      <c r="C159" s="2" t="n"/>
      <c r="D159" s="7">
        <f>IF(AND(A159="",B159=""),"",IF(OR(NOT(ISNUMBER(A159)),B159=""),"Check",IFERROR(LOOKUP(2,1/((Prices!$A$2:$A$40=B159)*(Prices!$B$2:$B$40&lt;=A159)*ISNUMBER(Prices!$B$2:$B$40)*ISNUMBER(Prices!$C$2:$C$40)),Prices!$C$2:$C$40),"No price yet")))</f>
        <v/>
      </c>
      <c r="E159" s="7">
        <f>IF(ISNUMBER(D159),IF(ISNUMBER(C159),C159*D159,"Check"),"")</f>
        <v/>
      </c>
    </row>
    <row r="160">
      <c r="A160" s="3" t="n"/>
      <c r="B160" s="2" t="n"/>
      <c r="C160" s="2" t="n"/>
      <c r="D160" s="7">
        <f>IF(AND(A160="",B160=""),"",IF(OR(NOT(ISNUMBER(A160)),B160=""),"Check",IFERROR(LOOKUP(2,1/((Prices!$A$2:$A$40=B160)*(Prices!$B$2:$B$40&lt;=A160)*ISNUMBER(Prices!$B$2:$B$40)*ISNUMBER(Prices!$C$2:$C$40)),Prices!$C$2:$C$40),"No price yet")))</f>
        <v/>
      </c>
      <c r="E160" s="7">
        <f>IF(ISNUMBER(D160),IF(ISNUMBER(C160),C160*D160,"Check"),"")</f>
        <v/>
      </c>
    </row>
    <row r="161">
      <c r="A161" s="3" t="n"/>
      <c r="B161" s="2" t="n"/>
      <c r="C161" s="2" t="n"/>
      <c r="D161" s="7">
        <f>IF(AND(A161="",B161=""),"",IF(OR(NOT(ISNUMBER(A161)),B161=""),"Check",IFERROR(LOOKUP(2,1/((Prices!$A$2:$A$40=B161)*(Prices!$B$2:$B$40&lt;=A161)*ISNUMBER(Prices!$B$2:$B$40)*ISNUMBER(Prices!$C$2:$C$40)),Prices!$C$2:$C$40),"No price yet")))</f>
        <v/>
      </c>
      <c r="E161" s="7">
        <f>IF(ISNUMBER(D161),IF(ISNUMBER(C161),C161*D161,"Check"),"")</f>
        <v/>
      </c>
    </row>
    <row r="162">
      <c r="A162" s="3" t="n"/>
      <c r="B162" s="2" t="n"/>
      <c r="C162" s="2" t="n"/>
      <c r="D162" s="7">
        <f>IF(AND(A162="",B162=""),"",IF(OR(NOT(ISNUMBER(A162)),B162=""),"Check",IFERROR(LOOKUP(2,1/((Prices!$A$2:$A$40=B162)*(Prices!$B$2:$B$40&lt;=A162)*ISNUMBER(Prices!$B$2:$B$40)*ISNUMBER(Prices!$C$2:$C$40)),Prices!$C$2:$C$40),"No price yet")))</f>
        <v/>
      </c>
      <c r="E162" s="7">
        <f>IF(ISNUMBER(D162),IF(ISNUMBER(C162),C162*D162,"Check"),"")</f>
        <v/>
      </c>
    </row>
    <row r="163">
      <c r="A163" s="3" t="n"/>
      <c r="B163" s="2" t="n"/>
      <c r="C163" s="2" t="n"/>
      <c r="D163" s="7">
        <f>IF(AND(A163="",B163=""),"",IF(OR(NOT(ISNUMBER(A163)),B163=""),"Check",IFERROR(LOOKUP(2,1/((Prices!$A$2:$A$40=B163)*(Prices!$B$2:$B$40&lt;=A163)*ISNUMBER(Prices!$B$2:$B$40)*ISNUMBER(Prices!$C$2:$C$40)),Prices!$C$2:$C$40),"No price yet")))</f>
        <v/>
      </c>
      <c r="E163" s="7">
        <f>IF(ISNUMBER(D163),IF(ISNUMBER(C163),C163*D163,"Check"),"")</f>
        <v/>
      </c>
    </row>
    <row r="164">
      <c r="A164" s="3" t="n"/>
      <c r="B164" s="2" t="n"/>
      <c r="C164" s="2" t="n"/>
      <c r="D164" s="7">
        <f>IF(AND(A164="",B164=""),"",IF(OR(NOT(ISNUMBER(A164)),B164=""),"Check",IFERROR(LOOKUP(2,1/((Prices!$A$2:$A$40=B164)*(Prices!$B$2:$B$40&lt;=A164)*ISNUMBER(Prices!$B$2:$B$40)*ISNUMBER(Prices!$C$2:$C$40)),Prices!$C$2:$C$40),"No price yet")))</f>
        <v/>
      </c>
      <c r="E164" s="7">
        <f>IF(ISNUMBER(D164),IF(ISNUMBER(C164),C164*D164,"Check"),"")</f>
        <v/>
      </c>
    </row>
    <row r="165">
      <c r="A165" s="3" t="n"/>
      <c r="B165" s="2" t="n"/>
      <c r="C165" s="2" t="n"/>
      <c r="D165" s="7">
        <f>IF(AND(A165="",B165=""),"",IF(OR(NOT(ISNUMBER(A165)),B165=""),"Check",IFERROR(LOOKUP(2,1/((Prices!$A$2:$A$40=B165)*(Prices!$B$2:$B$40&lt;=A165)*ISNUMBER(Prices!$B$2:$B$40)*ISNUMBER(Prices!$C$2:$C$40)),Prices!$C$2:$C$40),"No price yet")))</f>
        <v/>
      </c>
      <c r="E165" s="7">
        <f>IF(ISNUMBER(D165),IF(ISNUMBER(C165),C165*D165,"Check"),"")</f>
        <v/>
      </c>
    </row>
    <row r="166">
      <c r="A166" s="3" t="n"/>
      <c r="B166" s="2" t="n"/>
      <c r="C166" s="2" t="n"/>
      <c r="D166" s="7">
        <f>IF(AND(A166="",B166=""),"",IF(OR(NOT(ISNUMBER(A166)),B166=""),"Check",IFERROR(LOOKUP(2,1/((Prices!$A$2:$A$40=B166)*(Prices!$B$2:$B$40&lt;=A166)*ISNUMBER(Prices!$B$2:$B$40)*ISNUMBER(Prices!$C$2:$C$40)),Prices!$C$2:$C$40),"No price yet")))</f>
        <v/>
      </c>
      <c r="E166" s="7">
        <f>IF(ISNUMBER(D166),IF(ISNUMBER(C166),C166*D166,"Check"),"")</f>
        <v/>
      </c>
    </row>
    <row r="167">
      <c r="A167" s="3" t="n"/>
      <c r="B167" s="2" t="n"/>
      <c r="C167" s="2" t="n"/>
      <c r="D167" s="7">
        <f>IF(AND(A167="",B167=""),"",IF(OR(NOT(ISNUMBER(A167)),B167=""),"Check",IFERROR(LOOKUP(2,1/((Prices!$A$2:$A$40=B167)*(Prices!$B$2:$B$40&lt;=A167)*ISNUMBER(Prices!$B$2:$B$40)*ISNUMBER(Prices!$C$2:$C$40)),Prices!$C$2:$C$40),"No price yet")))</f>
        <v/>
      </c>
      <c r="E167" s="7">
        <f>IF(ISNUMBER(D167),IF(ISNUMBER(C167),C167*D167,"Check"),"")</f>
        <v/>
      </c>
    </row>
    <row r="168">
      <c r="A168" s="3" t="n"/>
      <c r="B168" s="2" t="n"/>
      <c r="C168" s="2" t="n"/>
      <c r="D168" s="7">
        <f>IF(AND(A168="",B168=""),"",IF(OR(NOT(ISNUMBER(A168)),B168=""),"Check",IFERROR(LOOKUP(2,1/((Prices!$A$2:$A$40=B168)*(Prices!$B$2:$B$40&lt;=A168)*ISNUMBER(Prices!$B$2:$B$40)*ISNUMBER(Prices!$C$2:$C$40)),Prices!$C$2:$C$40),"No price yet")))</f>
        <v/>
      </c>
      <c r="E168" s="7">
        <f>IF(ISNUMBER(D168),IF(ISNUMBER(C168),C168*D168,"Check"),"")</f>
        <v/>
      </c>
    </row>
    <row r="169">
      <c r="A169" s="3" t="n"/>
      <c r="B169" s="2" t="n"/>
      <c r="C169" s="2" t="n"/>
      <c r="D169" s="7">
        <f>IF(AND(A169="",B169=""),"",IF(OR(NOT(ISNUMBER(A169)),B169=""),"Check",IFERROR(LOOKUP(2,1/((Prices!$A$2:$A$40=B169)*(Prices!$B$2:$B$40&lt;=A169)*ISNUMBER(Prices!$B$2:$B$40)*ISNUMBER(Prices!$C$2:$C$40)),Prices!$C$2:$C$40),"No price yet")))</f>
        <v/>
      </c>
      <c r="E169" s="7">
        <f>IF(ISNUMBER(D169),IF(ISNUMBER(C169),C169*D169,"Check"),"")</f>
        <v/>
      </c>
    </row>
    <row r="170">
      <c r="A170" s="3" t="n"/>
      <c r="B170" s="2" t="n"/>
      <c r="C170" s="2" t="n"/>
      <c r="D170" s="7">
        <f>IF(AND(A170="",B170=""),"",IF(OR(NOT(ISNUMBER(A170)),B170=""),"Check",IFERROR(LOOKUP(2,1/((Prices!$A$2:$A$40=B170)*(Prices!$B$2:$B$40&lt;=A170)*ISNUMBER(Prices!$B$2:$B$40)*ISNUMBER(Prices!$C$2:$C$40)),Prices!$C$2:$C$40),"No price yet")))</f>
        <v/>
      </c>
      <c r="E170" s="7">
        <f>IF(ISNUMBER(D170),IF(ISNUMBER(C170),C170*D170,"Check"),"")</f>
        <v/>
      </c>
    </row>
    <row r="171">
      <c r="A171" s="3" t="n"/>
      <c r="B171" s="2" t="n"/>
      <c r="C171" s="2" t="n"/>
      <c r="D171" s="7">
        <f>IF(AND(A171="",B171=""),"",IF(OR(NOT(ISNUMBER(A171)),B171=""),"Check",IFERROR(LOOKUP(2,1/((Prices!$A$2:$A$40=B171)*(Prices!$B$2:$B$40&lt;=A171)*ISNUMBER(Prices!$B$2:$B$40)*ISNUMBER(Prices!$C$2:$C$40)),Prices!$C$2:$C$40),"No price yet")))</f>
        <v/>
      </c>
      <c r="E171" s="7">
        <f>IF(ISNUMBER(D171),IF(ISNUMBER(C171),C171*D171,"Check"),"")</f>
        <v/>
      </c>
    </row>
    <row r="172">
      <c r="A172" s="3" t="n"/>
      <c r="B172" s="2" t="n"/>
      <c r="C172" s="2" t="n"/>
      <c r="D172" s="7">
        <f>IF(AND(A172="",B172=""),"",IF(OR(NOT(ISNUMBER(A172)),B172=""),"Check",IFERROR(LOOKUP(2,1/((Prices!$A$2:$A$40=B172)*(Prices!$B$2:$B$40&lt;=A172)*ISNUMBER(Prices!$B$2:$B$40)*ISNUMBER(Prices!$C$2:$C$40)),Prices!$C$2:$C$40),"No price yet")))</f>
        <v/>
      </c>
      <c r="E172" s="7">
        <f>IF(ISNUMBER(D172),IF(ISNUMBER(C172),C172*D172,"Check"),"")</f>
        <v/>
      </c>
    </row>
    <row r="173">
      <c r="A173" s="3" t="n"/>
      <c r="B173" s="2" t="n"/>
      <c r="C173" s="2" t="n"/>
      <c r="D173" s="7">
        <f>IF(AND(A173="",B173=""),"",IF(OR(NOT(ISNUMBER(A173)),B173=""),"Check",IFERROR(LOOKUP(2,1/((Prices!$A$2:$A$40=B173)*(Prices!$B$2:$B$40&lt;=A173)*ISNUMBER(Prices!$B$2:$B$40)*ISNUMBER(Prices!$C$2:$C$40)),Prices!$C$2:$C$40),"No price yet")))</f>
        <v/>
      </c>
      <c r="E173" s="7">
        <f>IF(ISNUMBER(D173),IF(ISNUMBER(C173),C173*D173,"Check"),"")</f>
        <v/>
      </c>
    </row>
    <row r="174">
      <c r="A174" s="3" t="n"/>
      <c r="B174" s="2" t="n"/>
      <c r="C174" s="2" t="n"/>
      <c r="D174" s="7">
        <f>IF(AND(A174="",B174=""),"",IF(OR(NOT(ISNUMBER(A174)),B174=""),"Check",IFERROR(LOOKUP(2,1/((Prices!$A$2:$A$40=B174)*(Prices!$B$2:$B$40&lt;=A174)*ISNUMBER(Prices!$B$2:$B$40)*ISNUMBER(Prices!$C$2:$C$40)),Prices!$C$2:$C$40),"No price yet")))</f>
        <v/>
      </c>
      <c r="E174" s="7">
        <f>IF(ISNUMBER(D174),IF(ISNUMBER(C174),C174*D174,"Check"),"")</f>
        <v/>
      </c>
    </row>
    <row r="175">
      <c r="A175" s="3" t="n"/>
      <c r="B175" s="2" t="n"/>
      <c r="C175" s="2" t="n"/>
      <c r="D175" s="7">
        <f>IF(AND(A175="",B175=""),"",IF(OR(NOT(ISNUMBER(A175)),B175=""),"Check",IFERROR(LOOKUP(2,1/((Prices!$A$2:$A$40=B175)*(Prices!$B$2:$B$40&lt;=A175)*ISNUMBER(Prices!$B$2:$B$40)*ISNUMBER(Prices!$C$2:$C$40)),Prices!$C$2:$C$40),"No price yet")))</f>
        <v/>
      </c>
      <c r="E175" s="7">
        <f>IF(ISNUMBER(D175),IF(ISNUMBER(C175),C175*D175,"Check"),"")</f>
        <v/>
      </c>
    </row>
    <row r="176">
      <c r="A176" s="3" t="n"/>
      <c r="B176" s="2" t="n"/>
      <c r="C176" s="2" t="n"/>
      <c r="D176" s="7">
        <f>IF(AND(A176="",B176=""),"",IF(OR(NOT(ISNUMBER(A176)),B176=""),"Check",IFERROR(LOOKUP(2,1/((Prices!$A$2:$A$40=B176)*(Prices!$B$2:$B$40&lt;=A176)*ISNUMBER(Prices!$B$2:$B$40)*ISNUMBER(Prices!$C$2:$C$40)),Prices!$C$2:$C$40),"No price yet")))</f>
        <v/>
      </c>
      <c r="E176" s="7">
        <f>IF(ISNUMBER(D176),IF(ISNUMBER(C176),C176*D176,"Check"),"")</f>
        <v/>
      </c>
    </row>
    <row r="177">
      <c r="A177" s="3" t="n"/>
      <c r="B177" s="2" t="n"/>
      <c r="C177" s="2" t="n"/>
      <c r="D177" s="7">
        <f>IF(AND(A177="",B177=""),"",IF(OR(NOT(ISNUMBER(A177)),B177=""),"Check",IFERROR(LOOKUP(2,1/((Prices!$A$2:$A$40=B177)*(Prices!$B$2:$B$40&lt;=A177)*ISNUMBER(Prices!$B$2:$B$40)*ISNUMBER(Prices!$C$2:$C$40)),Prices!$C$2:$C$40),"No price yet")))</f>
        <v/>
      </c>
      <c r="E177" s="7">
        <f>IF(ISNUMBER(D177),IF(ISNUMBER(C177),C177*D177,"Check"),"")</f>
        <v/>
      </c>
    </row>
    <row r="178">
      <c r="A178" s="3" t="n"/>
      <c r="B178" s="2" t="n"/>
      <c r="C178" s="2" t="n"/>
      <c r="D178" s="7">
        <f>IF(AND(A178="",B178=""),"",IF(OR(NOT(ISNUMBER(A178)),B178=""),"Check",IFERROR(LOOKUP(2,1/((Prices!$A$2:$A$40=B178)*(Prices!$B$2:$B$40&lt;=A178)*ISNUMBER(Prices!$B$2:$B$40)*ISNUMBER(Prices!$C$2:$C$40)),Prices!$C$2:$C$40),"No price yet")))</f>
        <v/>
      </c>
      <c r="E178" s="7">
        <f>IF(ISNUMBER(D178),IF(ISNUMBER(C178),C178*D178,"Check"),"")</f>
        <v/>
      </c>
    </row>
    <row r="179">
      <c r="A179" s="3" t="n"/>
      <c r="B179" s="2" t="n"/>
      <c r="C179" s="2" t="n"/>
      <c r="D179" s="7">
        <f>IF(AND(A179="",B179=""),"",IF(OR(NOT(ISNUMBER(A179)),B179=""),"Check",IFERROR(LOOKUP(2,1/((Prices!$A$2:$A$40=B179)*(Prices!$B$2:$B$40&lt;=A179)*ISNUMBER(Prices!$B$2:$B$40)*ISNUMBER(Prices!$C$2:$C$40)),Prices!$C$2:$C$40),"No price yet")))</f>
        <v/>
      </c>
      <c r="E179" s="7">
        <f>IF(ISNUMBER(D179),IF(ISNUMBER(C179),C179*D179,"Check"),"")</f>
        <v/>
      </c>
    </row>
    <row r="180">
      <c r="A180" s="3" t="n"/>
      <c r="B180" s="2" t="n"/>
      <c r="C180" s="2" t="n"/>
      <c r="D180" s="7">
        <f>IF(AND(A180="",B180=""),"",IF(OR(NOT(ISNUMBER(A180)),B180=""),"Check",IFERROR(LOOKUP(2,1/((Prices!$A$2:$A$40=B180)*(Prices!$B$2:$B$40&lt;=A180)*ISNUMBER(Prices!$B$2:$B$40)*ISNUMBER(Prices!$C$2:$C$40)),Prices!$C$2:$C$40),"No price yet")))</f>
        <v/>
      </c>
      <c r="E180" s="7">
        <f>IF(ISNUMBER(D180),IF(ISNUMBER(C180),C180*D180,"Check"),"")</f>
        <v/>
      </c>
    </row>
    <row r="181">
      <c r="A181" s="3" t="n"/>
      <c r="B181" s="2" t="n"/>
      <c r="C181" s="2" t="n"/>
      <c r="D181" s="7">
        <f>IF(AND(A181="",B181=""),"",IF(OR(NOT(ISNUMBER(A181)),B181=""),"Check",IFERROR(LOOKUP(2,1/((Prices!$A$2:$A$40=B181)*(Prices!$B$2:$B$40&lt;=A181)*ISNUMBER(Prices!$B$2:$B$40)*ISNUMBER(Prices!$C$2:$C$40)),Prices!$C$2:$C$40),"No price yet")))</f>
        <v/>
      </c>
      <c r="E181" s="7">
        <f>IF(ISNUMBER(D181),IF(ISNUMBER(C181),C181*D181,"Check"),"")</f>
        <v/>
      </c>
    </row>
    <row r="182">
      <c r="A182" s="3" t="n"/>
      <c r="B182" s="2" t="n"/>
      <c r="C182" s="2" t="n"/>
      <c r="D182" s="7">
        <f>IF(AND(A182="",B182=""),"",IF(OR(NOT(ISNUMBER(A182)),B182=""),"Check",IFERROR(LOOKUP(2,1/((Prices!$A$2:$A$40=B182)*(Prices!$B$2:$B$40&lt;=A182)*ISNUMBER(Prices!$B$2:$B$40)*ISNUMBER(Prices!$C$2:$C$40)),Prices!$C$2:$C$40),"No price yet")))</f>
        <v/>
      </c>
      <c r="E182" s="7">
        <f>IF(ISNUMBER(D182),IF(ISNUMBER(C182),C182*D182,"Check"),"")</f>
        <v/>
      </c>
    </row>
    <row r="183">
      <c r="A183" s="3" t="n"/>
      <c r="B183" s="2" t="n"/>
      <c r="C183" s="2" t="n"/>
      <c r="D183" s="7">
        <f>IF(AND(A183="",B183=""),"",IF(OR(NOT(ISNUMBER(A183)),B183=""),"Check",IFERROR(LOOKUP(2,1/((Prices!$A$2:$A$40=B183)*(Prices!$B$2:$B$40&lt;=A183)*ISNUMBER(Prices!$B$2:$B$40)*ISNUMBER(Prices!$C$2:$C$40)),Prices!$C$2:$C$40),"No price yet")))</f>
        <v/>
      </c>
      <c r="E183" s="7">
        <f>IF(ISNUMBER(D183),IF(ISNUMBER(C183),C183*D183,"Check"),"")</f>
        <v/>
      </c>
    </row>
    <row r="184">
      <c r="A184" s="3" t="n"/>
      <c r="B184" s="2" t="n"/>
      <c r="C184" s="2" t="n"/>
      <c r="D184" s="7">
        <f>IF(AND(A184="",B184=""),"",IF(OR(NOT(ISNUMBER(A184)),B184=""),"Check",IFERROR(LOOKUP(2,1/((Prices!$A$2:$A$40=B184)*(Prices!$B$2:$B$40&lt;=A184)*ISNUMBER(Prices!$B$2:$B$40)*ISNUMBER(Prices!$C$2:$C$40)),Prices!$C$2:$C$40),"No price yet")))</f>
        <v/>
      </c>
      <c r="E184" s="7">
        <f>IF(ISNUMBER(D184),IF(ISNUMBER(C184),C184*D184,"Check"),"")</f>
        <v/>
      </c>
    </row>
    <row r="185">
      <c r="A185" s="3" t="n"/>
      <c r="B185" s="2" t="n"/>
      <c r="C185" s="2" t="n"/>
      <c r="D185" s="7">
        <f>IF(AND(A185="",B185=""),"",IF(OR(NOT(ISNUMBER(A185)),B185=""),"Check",IFERROR(LOOKUP(2,1/((Prices!$A$2:$A$40=B185)*(Prices!$B$2:$B$40&lt;=A185)*ISNUMBER(Prices!$B$2:$B$40)*ISNUMBER(Prices!$C$2:$C$40)),Prices!$C$2:$C$40),"No price yet")))</f>
        <v/>
      </c>
      <c r="E185" s="7">
        <f>IF(ISNUMBER(D185),IF(ISNUMBER(C185),C185*D185,"Check"),"")</f>
        <v/>
      </c>
    </row>
    <row r="186">
      <c r="A186" s="3" t="n"/>
      <c r="B186" s="2" t="n"/>
      <c r="C186" s="2" t="n"/>
      <c r="D186" s="7">
        <f>IF(AND(A186="",B186=""),"",IF(OR(NOT(ISNUMBER(A186)),B186=""),"Check",IFERROR(LOOKUP(2,1/((Prices!$A$2:$A$40=B186)*(Prices!$B$2:$B$40&lt;=A186)*ISNUMBER(Prices!$B$2:$B$40)*ISNUMBER(Prices!$C$2:$C$40)),Prices!$C$2:$C$40),"No price yet")))</f>
        <v/>
      </c>
      <c r="E186" s="7">
        <f>IF(ISNUMBER(D186),IF(ISNUMBER(C186),C186*D186,"Check"),"")</f>
        <v/>
      </c>
    </row>
    <row r="187">
      <c r="A187" s="3" t="n"/>
      <c r="B187" s="2" t="n"/>
      <c r="C187" s="2" t="n"/>
      <c r="D187" s="7">
        <f>IF(AND(A187="",B187=""),"",IF(OR(NOT(ISNUMBER(A187)),B187=""),"Check",IFERROR(LOOKUP(2,1/((Prices!$A$2:$A$40=B187)*(Prices!$B$2:$B$40&lt;=A187)*ISNUMBER(Prices!$B$2:$B$40)*ISNUMBER(Prices!$C$2:$C$40)),Prices!$C$2:$C$40),"No price yet")))</f>
        <v/>
      </c>
      <c r="E187" s="7">
        <f>IF(ISNUMBER(D187),IF(ISNUMBER(C187),C187*D187,"Check"),"")</f>
        <v/>
      </c>
    </row>
    <row r="188">
      <c r="A188" s="3" t="n"/>
      <c r="B188" s="2" t="n"/>
      <c r="C188" s="2" t="n"/>
      <c r="D188" s="7">
        <f>IF(AND(A188="",B188=""),"",IF(OR(NOT(ISNUMBER(A188)),B188=""),"Check",IFERROR(LOOKUP(2,1/((Prices!$A$2:$A$40=B188)*(Prices!$B$2:$B$40&lt;=A188)*ISNUMBER(Prices!$B$2:$B$40)*ISNUMBER(Prices!$C$2:$C$40)),Prices!$C$2:$C$40),"No price yet")))</f>
        <v/>
      </c>
      <c r="E188" s="7">
        <f>IF(ISNUMBER(D188),IF(ISNUMBER(C188),C188*D188,"Check"),"")</f>
        <v/>
      </c>
    </row>
    <row r="189">
      <c r="A189" s="3" t="n"/>
      <c r="B189" s="2" t="n"/>
      <c r="C189" s="2" t="n"/>
      <c r="D189" s="7">
        <f>IF(AND(A189="",B189=""),"",IF(OR(NOT(ISNUMBER(A189)),B189=""),"Check",IFERROR(LOOKUP(2,1/((Prices!$A$2:$A$40=B189)*(Prices!$B$2:$B$40&lt;=A189)*ISNUMBER(Prices!$B$2:$B$40)*ISNUMBER(Prices!$C$2:$C$40)),Prices!$C$2:$C$40),"No price yet")))</f>
        <v/>
      </c>
      <c r="E189" s="7">
        <f>IF(ISNUMBER(D189),IF(ISNUMBER(C189),C189*D189,"Check"),"")</f>
        <v/>
      </c>
    </row>
    <row r="190">
      <c r="A190" s="3" t="n"/>
      <c r="B190" s="2" t="n"/>
      <c r="C190" s="2" t="n"/>
      <c r="D190" s="7">
        <f>IF(AND(A190="",B190=""),"",IF(OR(NOT(ISNUMBER(A190)),B190=""),"Check",IFERROR(LOOKUP(2,1/((Prices!$A$2:$A$40=B190)*(Prices!$B$2:$B$40&lt;=A190)*ISNUMBER(Prices!$B$2:$B$40)*ISNUMBER(Prices!$C$2:$C$40)),Prices!$C$2:$C$40),"No price yet")))</f>
        <v/>
      </c>
      <c r="E190" s="7">
        <f>IF(ISNUMBER(D190),IF(ISNUMBER(C190),C190*D190,"Check"),"")</f>
        <v/>
      </c>
    </row>
    <row r="191">
      <c r="A191" s="3" t="n"/>
      <c r="B191" s="2" t="n"/>
      <c r="C191" s="2" t="n"/>
      <c r="D191" s="7">
        <f>IF(AND(A191="",B191=""),"",IF(OR(NOT(ISNUMBER(A191)),B191=""),"Check",IFERROR(LOOKUP(2,1/((Prices!$A$2:$A$40=B191)*(Prices!$B$2:$B$40&lt;=A191)*ISNUMBER(Prices!$B$2:$B$40)*ISNUMBER(Prices!$C$2:$C$40)),Prices!$C$2:$C$40),"No price yet")))</f>
        <v/>
      </c>
      <c r="E191" s="7">
        <f>IF(ISNUMBER(D191),IF(ISNUMBER(C191),C191*D191,"Check"),"")</f>
        <v/>
      </c>
    </row>
    <row r="192">
      <c r="A192" s="3" t="n"/>
      <c r="B192" s="2" t="n"/>
      <c r="C192" s="2" t="n"/>
      <c r="D192" s="7">
        <f>IF(AND(A192="",B192=""),"",IF(OR(NOT(ISNUMBER(A192)),B192=""),"Check",IFERROR(LOOKUP(2,1/((Prices!$A$2:$A$40=B192)*(Prices!$B$2:$B$40&lt;=A192)*ISNUMBER(Prices!$B$2:$B$40)*ISNUMBER(Prices!$C$2:$C$40)),Prices!$C$2:$C$40),"No price yet")))</f>
        <v/>
      </c>
      <c r="E192" s="7">
        <f>IF(ISNUMBER(D192),IF(ISNUMBER(C192),C192*D192,"Check"),"")</f>
        <v/>
      </c>
    </row>
    <row r="193">
      <c r="A193" s="3" t="n"/>
      <c r="B193" s="2" t="n"/>
      <c r="C193" s="2" t="n"/>
      <c r="D193" s="7">
        <f>IF(AND(A193="",B193=""),"",IF(OR(NOT(ISNUMBER(A193)),B193=""),"Check",IFERROR(LOOKUP(2,1/((Prices!$A$2:$A$40=B193)*(Prices!$B$2:$B$40&lt;=A193)*ISNUMBER(Prices!$B$2:$B$40)*ISNUMBER(Prices!$C$2:$C$40)),Prices!$C$2:$C$40),"No price yet")))</f>
        <v/>
      </c>
      <c r="E193" s="7">
        <f>IF(ISNUMBER(D193),IF(ISNUMBER(C193),C193*D193,"Check"),"")</f>
        <v/>
      </c>
    </row>
    <row r="194">
      <c r="A194" s="3" t="n"/>
      <c r="B194" s="2" t="n"/>
      <c r="C194" s="2" t="n"/>
      <c r="D194" s="7">
        <f>IF(AND(A194="",B194=""),"",IF(OR(NOT(ISNUMBER(A194)),B194=""),"Check",IFERROR(LOOKUP(2,1/((Prices!$A$2:$A$40=B194)*(Prices!$B$2:$B$40&lt;=A194)*ISNUMBER(Prices!$B$2:$B$40)*ISNUMBER(Prices!$C$2:$C$40)),Prices!$C$2:$C$40),"No price yet")))</f>
        <v/>
      </c>
      <c r="E194" s="7">
        <f>IF(ISNUMBER(D194),IF(ISNUMBER(C194),C194*D194,"Check"),"")</f>
        <v/>
      </c>
    </row>
    <row r="195">
      <c r="A195" s="3" t="n"/>
      <c r="B195" s="2" t="n"/>
      <c r="C195" s="2" t="n"/>
      <c r="D195" s="7">
        <f>IF(AND(A195="",B195=""),"",IF(OR(NOT(ISNUMBER(A195)),B195=""),"Check",IFERROR(LOOKUP(2,1/((Prices!$A$2:$A$40=B195)*(Prices!$B$2:$B$40&lt;=A195)*ISNUMBER(Prices!$B$2:$B$40)*ISNUMBER(Prices!$C$2:$C$40)),Prices!$C$2:$C$40),"No price yet")))</f>
        <v/>
      </c>
      <c r="E195" s="7">
        <f>IF(ISNUMBER(D195),IF(ISNUMBER(C195),C195*D195,"Check"),"")</f>
        <v/>
      </c>
    </row>
    <row r="196">
      <c r="A196" s="3" t="n"/>
      <c r="B196" s="2" t="n"/>
      <c r="C196" s="2" t="n"/>
      <c r="D196" s="7">
        <f>IF(AND(A196="",B196=""),"",IF(OR(NOT(ISNUMBER(A196)),B196=""),"Check",IFERROR(LOOKUP(2,1/((Prices!$A$2:$A$40=B196)*(Prices!$B$2:$B$40&lt;=A196)*ISNUMBER(Prices!$B$2:$B$40)*ISNUMBER(Prices!$C$2:$C$40)),Prices!$C$2:$C$40),"No price yet")))</f>
        <v/>
      </c>
      <c r="E196" s="7">
        <f>IF(ISNUMBER(D196),IF(ISNUMBER(C196),C196*D196,"Check"),"")</f>
        <v/>
      </c>
    </row>
    <row r="197">
      <c r="A197" s="3" t="n"/>
      <c r="B197" s="2" t="n"/>
      <c r="C197" s="2" t="n"/>
      <c r="D197" s="7">
        <f>IF(AND(A197="",B197=""),"",IF(OR(NOT(ISNUMBER(A197)),B197=""),"Check",IFERROR(LOOKUP(2,1/((Prices!$A$2:$A$40=B197)*(Prices!$B$2:$B$40&lt;=A197)*ISNUMBER(Prices!$B$2:$B$40)*ISNUMBER(Prices!$C$2:$C$40)),Prices!$C$2:$C$40),"No price yet")))</f>
        <v/>
      </c>
      <c r="E197" s="7">
        <f>IF(ISNUMBER(D197),IF(ISNUMBER(C197),C197*D197,"Check"),"")</f>
        <v/>
      </c>
    </row>
    <row r="198">
      <c r="A198" s="3" t="n"/>
      <c r="B198" s="2" t="n"/>
      <c r="C198" s="2" t="n"/>
      <c r="D198" s="7">
        <f>IF(AND(A198="",B198=""),"",IF(OR(NOT(ISNUMBER(A198)),B198=""),"Check",IFERROR(LOOKUP(2,1/((Prices!$A$2:$A$40=B198)*(Prices!$B$2:$B$40&lt;=A198)*ISNUMBER(Prices!$B$2:$B$40)*ISNUMBER(Prices!$C$2:$C$40)),Prices!$C$2:$C$40),"No price yet")))</f>
        <v/>
      </c>
      <c r="E198" s="7">
        <f>IF(ISNUMBER(D198),IF(ISNUMBER(C198),C198*D198,"Check"),"")</f>
        <v/>
      </c>
    </row>
    <row r="199">
      <c r="A199" s="3" t="n"/>
      <c r="B199" s="2" t="n"/>
      <c r="C199" s="2" t="n"/>
      <c r="D199" s="7">
        <f>IF(AND(A199="",B199=""),"",IF(OR(NOT(ISNUMBER(A199)),B199=""),"Check",IFERROR(LOOKUP(2,1/((Prices!$A$2:$A$40=B199)*(Prices!$B$2:$B$40&lt;=A199)*ISNUMBER(Prices!$B$2:$B$40)*ISNUMBER(Prices!$C$2:$C$40)),Prices!$C$2:$C$40),"No price yet")))</f>
        <v/>
      </c>
      <c r="E199" s="7">
        <f>IF(ISNUMBER(D199),IF(ISNUMBER(C199),C199*D199,"Check"),"")</f>
        <v/>
      </c>
    </row>
    <row r="200">
      <c r="A200" s="3" t="n"/>
      <c r="B200" s="2" t="n"/>
      <c r="C200" s="2" t="n"/>
      <c r="D200" s="7">
        <f>IF(AND(A200="",B200=""),"",IF(OR(NOT(ISNUMBER(A200)),B200=""),"Check",IFERROR(LOOKUP(2,1/((Prices!$A$2:$A$40=B200)*(Prices!$B$2:$B$40&lt;=A200)*ISNUMBER(Prices!$B$2:$B$40)*ISNUMBER(Prices!$C$2:$C$40)),Prices!$C$2:$C$40),"No price yet")))</f>
        <v/>
      </c>
      <c r="E200" s="7">
        <f>IF(ISNUMBER(D200),IF(ISNUMBER(C200),C200*D200,"Check"),"")</f>
        <v/>
      </c>
    </row>
  </sheetData>
  <conditionalFormatting sqref="D2:E200">
    <cfRule type="expression" priority="1" dxfId="0">
      <formula>OR(D2="Check",D2="No price yet",E2="Check")</formula>
    </cfRule>
  </conditionalFormatting>
  <conditionalFormatting sqref="I7">
    <cfRule type="expression" priority="2" dxfId="0">
      <formula>AND(I7&lt;&gt;"OK",I7&lt;&gt;"")</formula>
    </cfRule>
  </conditionalFormatting>
  <conditionalFormatting sqref="I12">
    <cfRule type="expression" priority="3" dxfId="0">
      <formula>I12&lt;&gt;"Sorted"</formula>
    </cfRule>
  </conditionalFormatting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2" t="inlineStr">
        <is>
          <t>Tidy Tabs: Look Up the Price in Effect on a Date</t>
        </is>
      </c>
    </row>
    <row r="2">
      <c r="A2" s="13" t="inlineStr"/>
    </row>
    <row r="3">
      <c r="A3" s="13" t="inlineStr">
        <is>
          <t>1. Prices tab: one row for each price change. Product (A), effective date (B, typed as MM/DD/YYYY) and the new price (C) are yellow. Keep each product's rows together, oldest date first. Rows 2 to 40 are read.</t>
        </is>
      </c>
    </row>
    <row r="4">
      <c r="A4" s="13" t="inlineStr">
        <is>
          <t>2. Orders tab: order date (A), product (B) and quantity (C) are yellow, rows 2 to 200.</t>
        </is>
      </c>
    </row>
    <row r="5">
      <c r="A5" s="13" t="inlineStr">
        <is>
          <t>3. D2 is =IFERROR(LOOKUP(2,1/((Prices!$A$2:$A$40=B2)*(Prices!$B$2:$B$40&lt;=A2)),Prices!$C$2:$C$40),"No price yet"). It tests every price row: right product and an effective date on or before the order date. The template adds ISNUMBER(Prices!$B$2:$B$40)*ISNUMBER(Prices!$C$2:$C$40) inside the 1/(...) so a row with a text date or a blank or text price is skipped (the Prices tab marks that row Check). LOOKUP(2,1/...) returns the last row where all the tests are true, so it works without pressing Ctrl+Shift+Enter and the rows do not have to be sorted. If two rows for the same product have the same date, the lower row wins.</t>
        </is>
      </c>
    </row>
    <row r="6">
      <c r="A6" s="13" t="inlineStr">
        <is>
          <t>4. An order dated exactly on an effective date gets the new price. The day before gets the old price. A date before the product's first price, or a product that is not in the list, shows No price yet instead of #N/A. A text date or an empty product shows Check.</t>
        </is>
      </c>
    </row>
    <row r="7">
      <c r="A7" s="13" t="inlineStr">
        <is>
          <t>5. E2 is the line total, =C2*D2. A blank or text quantity shows Check.</t>
        </is>
      </c>
    </row>
    <row r="8">
      <c r="A8" s="13" t="inlineStr">
        <is>
          <t>6. Prices column D checks each row: Check means a missing product, a date or price that is not a number; Check order means a date earlier than the row above for the same product; Same day means the same date as the row above (the lower row wins).</t>
        </is>
      </c>
    </row>
    <row r="9">
      <c r="A9" s="13" t="inlineStr">
        <is>
          <t>7. Orders I7 shows OK when every order row is priced, flagged Check, or No price yet, and no Prices row needs checking.</t>
        </is>
      </c>
    </row>
    <row r="10">
      <c r="A10" s="13" t="inlineStr">
        <is>
          <t>8. H9:I12 shows the INDEX and MATCH version for one product: =INDEX(Prices!$C$2:$C$4,MATCH(I10,Prices!$B$2:$B$4,1)). MATCH with 1 finds the last date that is not after the order date, but it needs the dates sorted oldest first (I12 says Sorted). With unsorted dates it can return a wrong price without any error.</t>
        </is>
      </c>
    </row>
    <row r="11">
      <c r="A11" s="13" t="inlineStr">
        <is>
          <t>9. Product names must match exactly (a trailing space is a different product). This is a price lookup only: no discounts, tax or shipping.</t>
        </is>
      </c>
    </row>
    <row r="12">
      <c r="A12" s="13" t="inlineStr"/>
    </row>
    <row r="13">
      <c r="A13" s="13" t="inlineStr">
        <is>
          <t>Products, dates and prices are fictional. Checked in LibreOffice Calc only; not opened in Excel or Google Sheets.</t>
        </is>
      </c>
    </row>
    <row r="14">
      <c r="A14" s="13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2026-10-20T07:45:00Z</dcterms:created>
  <dcterms:modified xmlns:dcterms="http://purl.org/dc/terms/" xmlns:xsi="http://www.w3.org/2001/XMLSchema-instance" xsi:type="dcterms:W3CDTF">2026-10-20T07:45:00Z</dcterms:modified>
</cp:coreProperties>
</file>