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'Prices'!$4:$4</definedName>
    <definedName name="_xlnm.Print_Area" localSheetId="0">'Prices'!$A$1:$K$44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horizontal="right"/>
    </xf>
    <xf numFmtId="0" fontId="2" fillId="4" borderId="0" applyAlignment="1" pivotButton="0" quotePrefix="0" xfId="0">
      <alignment vertical="center" wrapText="1"/>
    </xf>
    <xf numFmtId="165" fontId="0" fillId="2" borderId="0" pivotButton="0" quotePrefix="0" xfId="0"/>
    <xf numFmtId="165" fontId="0" fillId="3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1" fontId="0" fillId="3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3" customWidth="1" min="8" max="8"/>
    <col width="3" customWidth="1" min="9" max="9"/>
    <col width="34" customWidth="1" min="10" max="10"/>
    <col width="14" customWidth="1" min="11" max="11"/>
  </cols>
  <sheetData>
    <row r="1">
      <c r="A1" s="1" t="inlineStr">
        <is>
          <t>Price increase %</t>
        </is>
      </c>
      <c r="B1" s="2" t="n">
        <v>0.08</v>
      </c>
    </row>
    <row r="2">
      <c r="A2" s="1" t="inlineStr">
        <is>
          <t>Rounding</t>
        </is>
      </c>
      <c r="B2" s="3" t="inlineStr">
        <is>
          <t>End in .99</t>
        </is>
      </c>
    </row>
    <row r="3">
      <c r="A3" s="1" t="inlineStr">
        <is>
          <t>Settings check</t>
        </is>
      </c>
      <c r="B3" s="4">
        <f>IF(AND(ISNUMBER(B1),OR(B2="Nearest cent",B2="End in .99")),IF(AND(B1&gt;=-0.5,B1&lt;=1),"OK","Percent: between -50% and 100%"),"Type a percent and pick a rounding")</f>
        <v/>
      </c>
    </row>
    <row r="4" ht="24" customHeight="1">
      <c r="A4" s="5" t="inlineStr">
        <is>
          <t>Item</t>
        </is>
      </c>
      <c r="B4" s="5" t="inlineStr">
        <is>
          <t>Cost</t>
        </is>
      </c>
      <c r="C4" s="5" t="inlineStr">
        <is>
          <t>Old price</t>
        </is>
      </c>
      <c r="D4" s="5" t="inlineStr">
        <is>
          <t>New price</t>
        </is>
      </c>
      <c r="E4" s="5" t="inlineStr">
        <is>
          <t>Old margin</t>
        </is>
      </c>
      <c r="F4" s="5" t="inlineStr">
        <is>
          <t>New margin</t>
        </is>
      </c>
      <c r="G4" s="5" t="inlineStr">
        <is>
          <t>Price change</t>
        </is>
      </c>
      <c r="H4" s="5" t="inlineStr">
        <is>
          <t>Status</t>
        </is>
      </c>
    </row>
    <row r="5">
      <c r="A5" s="3" t="inlineStr">
        <is>
          <t>Lavender soy candle, 8 oz</t>
        </is>
      </c>
      <c r="B5" s="6" t="n">
        <v>4.1</v>
      </c>
      <c r="C5" s="6" t="n">
        <v>18</v>
      </c>
      <c r="D5" s="7">
        <f>IF(OR(A5="",NOT(ISNUMBER(C5)),$B$3&lt;&gt;"OK"),"",IF(C5&lt;=0,C5,IF($B$2="End in .99",ROUND(CEILING(ROUND(C5*(1+$B$1),2),1)-0.01,2),ROUND(C5*(1+$B$1),2))))</f>
        <v/>
      </c>
      <c r="E5" s="8">
        <f>IF(AND(ISNUMBER(C5),ISNUMBER(B5)),IF(C5&gt;0,(C5-B5)/C5,""),"")</f>
        <v/>
      </c>
      <c r="F5" s="8">
        <f>IF(AND(ISNUMBER(D5),ISNUMBER(B5)),IF(D5&gt;0,(D5-B5)/D5,""),"")</f>
        <v/>
      </c>
      <c r="G5" s="7">
        <f>IF(ISNUMBER(D5),D5-C5,"")</f>
        <v/>
      </c>
      <c r="H5" s="4">
        <f>IF(A5="","",IF($B$3&lt;&gt;"OK","Check settings",IF(NOT(AND(ISNUMBER(B5),ISNUMBER(C5))),"Check row",IF(C5&lt;=0,"No price",IF(D5&lt;B5,"Below cost","OK")))))</f>
        <v/>
      </c>
      <c r="J5" s="1" t="inlineStr">
        <is>
          <t>Items counted</t>
        </is>
      </c>
      <c r="K5" s="9">
        <f>COUNTA(A5:A44)</f>
        <v/>
      </c>
    </row>
    <row r="6">
      <c r="A6" s="3" t="inlineStr">
        <is>
          <t>Cedar soy candle, 8 oz</t>
        </is>
      </c>
      <c r="B6" s="6" t="n">
        <v>4.25</v>
      </c>
      <c r="C6" s="6" t="n">
        <v>18</v>
      </c>
      <c r="D6" s="7">
        <f>IF(OR(A6="",NOT(ISNUMBER(C6)),$B$3&lt;&gt;"OK"),"",IF(C6&lt;=0,C6,IF($B$2="End in .99",ROUND(CEILING(ROUND(C6*(1+$B$1),2),1)-0.01,2),ROUND(C6*(1+$B$1),2))))</f>
        <v/>
      </c>
      <c r="E6" s="8">
        <f>IF(AND(ISNUMBER(C6),ISNUMBER(B6)),IF(C6&gt;0,(C6-B6)/C6,""),"")</f>
        <v/>
      </c>
      <c r="F6" s="8">
        <f>IF(AND(ISNUMBER(D6),ISNUMBER(B6)),IF(D6&gt;0,(D6-B6)/D6,""),"")</f>
        <v/>
      </c>
      <c r="G6" s="7">
        <f>IF(ISNUMBER(D6),D6-C6,"")</f>
        <v/>
      </c>
      <c r="H6" s="4">
        <f>IF(A6="","",IF($B$3&lt;&gt;"OK","Check settings",IF(NOT(AND(ISNUMBER(B6),ISNUMBER(C6))),"Check row",IF(C6&lt;=0,"No price",IF(D6&lt;B6,"Below cost","OK")))))</f>
        <v/>
      </c>
      <c r="J6" s="1" t="inlineStr">
        <is>
          <t>Below cost after the change</t>
        </is>
      </c>
      <c r="K6" s="9">
        <f>COUNTIF(H5:H44,"Below cost")</f>
        <v/>
      </c>
    </row>
    <row r="7">
      <c r="A7" s="3" t="inlineStr">
        <is>
          <t>Oatmeal soap bar</t>
        </is>
      </c>
      <c r="B7" s="6" t="n">
        <v>1.85</v>
      </c>
      <c r="C7" s="6" t="n">
        <v>8</v>
      </c>
      <c r="D7" s="7">
        <f>IF(OR(A7="",NOT(ISNUMBER(C7)),$B$3&lt;&gt;"OK"),"",IF(C7&lt;=0,C7,IF($B$2="End in .99",ROUND(CEILING(ROUND(C7*(1+$B$1),2),1)-0.01,2),ROUND(C7*(1+$B$1),2))))</f>
        <v/>
      </c>
      <c r="E7" s="8">
        <f>IF(AND(ISNUMBER(C7),ISNUMBER(B7)),IF(C7&gt;0,(C7-B7)/C7,""),"")</f>
        <v/>
      </c>
      <c r="F7" s="8">
        <f>IF(AND(ISNUMBER(D7),ISNUMBER(B7)),IF(D7&gt;0,(D7-B7)/D7,""),"")</f>
        <v/>
      </c>
      <c r="G7" s="7">
        <f>IF(ISNUMBER(D7),D7-C7,"")</f>
        <v/>
      </c>
      <c r="H7" s="4">
        <f>IF(A7="","",IF($B$3&lt;&gt;"OK","Check settings",IF(NOT(AND(ISNUMBER(B7),ISNUMBER(C7))),"Check row",IF(C7&lt;=0,"No price",IF(D7&lt;B7,"Below cost","OK")))))</f>
        <v/>
      </c>
      <c r="J7" s="1" t="inlineStr">
        <is>
          <t>Rows to fix</t>
        </is>
      </c>
      <c r="K7" s="9">
        <f>COUNTIF(H5:H44,"Check row")+COUNTIF(H5:H44,"No price")</f>
        <v/>
      </c>
    </row>
    <row r="8">
      <c r="A8" s="3" t="inlineStr">
        <is>
          <t>Charcoal soap bar</t>
        </is>
      </c>
      <c r="B8" s="6" t="n">
        <v>2.05</v>
      </c>
      <c r="C8" s="6" t="n">
        <v>8.5</v>
      </c>
      <c r="D8" s="7">
        <f>IF(OR(A8="",NOT(ISNUMBER(C8)),$B$3&lt;&gt;"OK"),"",IF(C8&lt;=0,C8,IF($B$2="End in .99",ROUND(CEILING(ROUND(C8*(1+$B$1),2),1)-0.01,2),ROUND(C8*(1+$B$1),2))))</f>
        <v/>
      </c>
      <c r="E8" s="8">
        <f>IF(AND(ISNUMBER(C8),ISNUMBER(B8)),IF(C8&gt;0,(C8-B8)/C8,""),"")</f>
        <v/>
      </c>
      <c r="F8" s="8">
        <f>IF(AND(ISNUMBER(D8),ISNUMBER(B8)),IF(D8&gt;0,(D8-B8)/D8,""),"")</f>
        <v/>
      </c>
      <c r="G8" s="7">
        <f>IF(ISNUMBER(D8),D8-C8,"")</f>
        <v/>
      </c>
      <c r="H8" s="4">
        <f>IF(A8="","",IF($B$3&lt;&gt;"OK","Check settings",IF(NOT(AND(ISNUMBER(B8),ISNUMBER(C8))),"Check row",IF(C8&lt;=0,"No price",IF(D8&lt;B8,"Below cost","OK")))))</f>
        <v/>
      </c>
      <c r="J8" s="1" t="inlineStr">
        <is>
          <t>Average old margin</t>
        </is>
      </c>
      <c r="K8" s="8">
        <f>IF(COUNT(E5:E44)=0,"n/a",AVERAGE(E5:E44))</f>
        <v/>
      </c>
    </row>
    <row r="9">
      <c r="A9" s="3" t="inlineStr">
        <is>
          <t>Brass hoop earrings</t>
        </is>
      </c>
      <c r="B9" s="6" t="n">
        <v>3.4</v>
      </c>
      <c r="C9" s="6" t="n">
        <v>24</v>
      </c>
      <c r="D9" s="7">
        <f>IF(OR(A9="",NOT(ISNUMBER(C9)),$B$3&lt;&gt;"OK"),"",IF(C9&lt;=0,C9,IF($B$2="End in .99",ROUND(CEILING(ROUND(C9*(1+$B$1),2),1)-0.01,2),ROUND(C9*(1+$B$1),2))))</f>
        <v/>
      </c>
      <c r="E9" s="8">
        <f>IF(AND(ISNUMBER(C9),ISNUMBER(B9)),IF(C9&gt;0,(C9-B9)/C9,""),"")</f>
        <v/>
      </c>
      <c r="F9" s="8">
        <f>IF(AND(ISNUMBER(D9),ISNUMBER(B9)),IF(D9&gt;0,(D9-B9)/D9,""),"")</f>
        <v/>
      </c>
      <c r="G9" s="7">
        <f>IF(ISNUMBER(D9),D9-C9,"")</f>
        <v/>
      </c>
      <c r="H9" s="4">
        <f>IF(A9="","",IF($B$3&lt;&gt;"OK","Check settings",IF(NOT(AND(ISNUMBER(B9),ISNUMBER(C9))),"Check row",IF(C9&lt;=0,"No price",IF(D9&lt;B9,"Below cost","OK")))))</f>
        <v/>
      </c>
      <c r="J9" s="1" t="inlineStr">
        <is>
          <t>Average new margin</t>
        </is>
      </c>
      <c r="K9" s="8">
        <f>IF(COUNT(F5:F44)=0,"n/a",AVERAGE(F5:F44))</f>
        <v/>
      </c>
    </row>
    <row r="10">
      <c r="A10" s="3" t="inlineStr">
        <is>
          <t>Letterpress birthday card</t>
        </is>
      </c>
      <c r="B10" s="6" t="n">
        <v>0.95</v>
      </c>
      <c r="C10" s="6" t="n">
        <v>6</v>
      </c>
      <c r="D10" s="7">
        <f>IF(OR(A10="",NOT(ISNUMBER(C10)),$B$3&lt;&gt;"OK"),"",IF(C10&lt;=0,C10,IF($B$2="End in .99",ROUND(CEILING(ROUND(C10*(1+$B$1),2),1)-0.01,2),ROUND(C10*(1+$B$1),2))))</f>
        <v/>
      </c>
      <c r="E10" s="8">
        <f>IF(AND(ISNUMBER(C10),ISNUMBER(B10)),IF(C10&gt;0,(C10-B10)/C10,""),"")</f>
        <v/>
      </c>
      <c r="F10" s="8">
        <f>IF(AND(ISNUMBER(D10),ISNUMBER(B10)),IF(D10&gt;0,(D10-B10)/D10,""),"")</f>
        <v/>
      </c>
      <c r="G10" s="7">
        <f>IF(ISNUMBER(D10),D10-C10,"")</f>
        <v/>
      </c>
      <c r="H10" s="4">
        <f>IF(A10="","",IF($B$3&lt;&gt;"OK","Check settings",IF(NOT(AND(ISNUMBER(B10),ISNUMBER(C10))),"Check row",IF(C10&lt;=0,"No price",IF(D10&lt;B10,"Below cost","OK")))))</f>
        <v/>
      </c>
    </row>
    <row r="11">
      <c r="A11" s="3" t="inlineStr">
        <is>
          <t>Enamel mug</t>
        </is>
      </c>
      <c r="B11" s="6" t="n">
        <v>5.2</v>
      </c>
      <c r="C11" s="6" t="n">
        <v>16</v>
      </c>
      <c r="D11" s="7">
        <f>IF(OR(A11="",NOT(ISNUMBER(C11)),$B$3&lt;&gt;"OK"),"",IF(C11&lt;=0,C11,IF($B$2="End in .99",ROUND(CEILING(ROUND(C11*(1+$B$1),2),1)-0.01,2),ROUND(C11*(1+$B$1),2))))</f>
        <v/>
      </c>
      <c r="E11" s="8">
        <f>IF(AND(ISNUMBER(C11),ISNUMBER(B11)),IF(C11&gt;0,(C11-B11)/C11,""),"")</f>
        <v/>
      </c>
      <c r="F11" s="8">
        <f>IF(AND(ISNUMBER(D11),ISNUMBER(B11)),IF(D11&gt;0,(D11-B11)/D11,""),"")</f>
        <v/>
      </c>
      <c r="G11" s="7">
        <f>IF(ISNUMBER(D11),D11-C11,"")</f>
        <v/>
      </c>
      <c r="H11" s="4">
        <f>IF(A11="","",IF($B$3&lt;&gt;"OK","Check settings",IF(NOT(AND(ISNUMBER(B11),ISNUMBER(C11))),"Check row",IF(C11&lt;=0,"No price",IF(D11&lt;B11,"Below cost","OK")))))</f>
        <v/>
      </c>
    </row>
    <row r="12">
      <c r="A12" s="3" t="inlineStr">
        <is>
          <t>Canvas tote bag</t>
        </is>
      </c>
      <c r="B12" s="6" t="n">
        <v>4.8</v>
      </c>
      <c r="C12" s="6" t="n">
        <v>22</v>
      </c>
      <c r="D12" s="7">
        <f>IF(OR(A12="",NOT(ISNUMBER(C12)),$B$3&lt;&gt;"OK"),"",IF(C12&lt;=0,C12,IF($B$2="End in .99",ROUND(CEILING(ROUND(C12*(1+$B$1),2),1)-0.01,2),ROUND(C12*(1+$B$1),2))))</f>
        <v/>
      </c>
      <c r="E12" s="8">
        <f>IF(AND(ISNUMBER(C12),ISNUMBER(B12)),IF(C12&gt;0,(C12-B12)/C12,""),"")</f>
        <v/>
      </c>
      <c r="F12" s="8">
        <f>IF(AND(ISNUMBER(D12),ISNUMBER(B12)),IF(D12&gt;0,(D12-B12)/D12,""),"")</f>
        <v/>
      </c>
      <c r="G12" s="7">
        <f>IF(ISNUMBER(D12),D12-C12,"")</f>
        <v/>
      </c>
      <c r="H12" s="4">
        <f>IF(A12="","",IF($B$3&lt;&gt;"OK","Check settings",IF(NOT(AND(ISNUMBER(B12),ISNUMBER(C12))),"Check row",IF(C12&lt;=0,"No price",IF(D12&lt;B12,"Below cost","OK")))))</f>
        <v/>
      </c>
    </row>
    <row r="13">
      <c r="A13" s="3" t="inlineStr">
        <is>
          <t>Art print, 8 x 10 in</t>
        </is>
      </c>
      <c r="B13" s="6" t="n">
        <v>1.6</v>
      </c>
      <c r="C13" s="6" t="n">
        <v>15</v>
      </c>
      <c r="D13" s="7">
        <f>IF(OR(A13="",NOT(ISNUMBER(C13)),$B$3&lt;&gt;"OK"),"",IF(C13&lt;=0,C13,IF($B$2="End in .99",ROUND(CEILING(ROUND(C13*(1+$B$1),2),1)-0.01,2),ROUND(C13*(1+$B$1),2))))</f>
        <v/>
      </c>
      <c r="E13" s="8">
        <f>IF(AND(ISNUMBER(C13),ISNUMBER(B13)),IF(C13&gt;0,(C13-B13)/C13,""),"")</f>
        <v/>
      </c>
      <c r="F13" s="8">
        <f>IF(AND(ISNUMBER(D13),ISNUMBER(B13)),IF(D13&gt;0,(D13-B13)/D13,""),"")</f>
        <v/>
      </c>
      <c r="G13" s="7">
        <f>IF(ISNUMBER(D13),D13-C13,"")</f>
        <v/>
      </c>
      <c r="H13" s="4">
        <f>IF(A13="","",IF($B$3&lt;&gt;"OK","Check settings",IF(NOT(AND(ISNUMBER(B13),ISNUMBER(C13))),"Check row",IF(C13&lt;=0,"No price",IF(D13&lt;B13,"Below cost","OK")))))</f>
        <v/>
      </c>
    </row>
    <row r="14">
      <c r="A14" s="3" t="inlineStr">
        <is>
          <t>Pocket notebook</t>
        </is>
      </c>
      <c r="B14" s="6" t="n">
        <v>1.9</v>
      </c>
      <c r="C14" s="6" t="n">
        <v>9</v>
      </c>
      <c r="D14" s="7">
        <f>IF(OR(A14="",NOT(ISNUMBER(C14)),$B$3&lt;&gt;"OK"),"",IF(C14&lt;=0,C14,IF($B$2="End in .99",ROUND(CEILING(ROUND(C14*(1+$B$1),2),1)-0.01,2),ROUND(C14*(1+$B$1),2))))</f>
        <v/>
      </c>
      <c r="E14" s="8">
        <f>IF(AND(ISNUMBER(C14),ISNUMBER(B14)),IF(C14&gt;0,(C14-B14)/C14,""),"")</f>
        <v/>
      </c>
      <c r="F14" s="8">
        <f>IF(AND(ISNUMBER(D14),ISNUMBER(B14)),IF(D14&gt;0,(D14-B14)/D14,""),"")</f>
        <v/>
      </c>
      <c r="G14" s="7">
        <f>IF(ISNUMBER(D14),D14-C14,"")</f>
        <v/>
      </c>
      <c r="H14" s="4">
        <f>IF(A14="","",IF($B$3&lt;&gt;"OK","Check settings",IF(NOT(AND(ISNUMBER(B14),ISNUMBER(C14))),"Check row",IF(C14&lt;=0,"No price",IF(D14&lt;B14,"Below cost","OK")))))</f>
        <v/>
      </c>
    </row>
    <row r="15">
      <c r="A15" s="3" t="inlineStr">
        <is>
          <t>Sticker pack</t>
        </is>
      </c>
      <c r="B15" s="6" t="n">
        <v>0.7</v>
      </c>
      <c r="C15" s="6" t="n">
        <v>4.5</v>
      </c>
      <c r="D15" s="7">
        <f>IF(OR(A15="",NOT(ISNUMBER(C15)),$B$3&lt;&gt;"OK"),"",IF(C15&lt;=0,C15,IF($B$2="End in .99",ROUND(CEILING(ROUND(C15*(1+$B$1),2),1)-0.01,2),ROUND(C15*(1+$B$1),2))))</f>
        <v/>
      </c>
      <c r="E15" s="8">
        <f>IF(AND(ISNUMBER(C15),ISNUMBER(B15)),IF(C15&gt;0,(C15-B15)/C15,""),"")</f>
        <v/>
      </c>
      <c r="F15" s="8">
        <f>IF(AND(ISNUMBER(D15),ISNUMBER(B15)),IF(D15&gt;0,(D15-B15)/D15,""),"")</f>
        <v/>
      </c>
      <c r="G15" s="7">
        <f>IF(ISNUMBER(D15),D15-C15,"")</f>
        <v/>
      </c>
      <c r="H15" s="4">
        <f>IF(A15="","",IF($B$3&lt;&gt;"OK","Check settings",IF(NOT(AND(ISNUMBER(B15),ISNUMBER(C15))),"Check row",IF(C15&lt;=0,"No price",IF(D15&lt;B15,"Below cost","OK")))))</f>
        <v/>
      </c>
    </row>
    <row r="16">
      <c r="A16" s="3" t="inlineStr">
        <is>
          <t>Gift set box</t>
        </is>
      </c>
      <c r="B16" s="6" t="n">
        <v>6.75</v>
      </c>
      <c r="C16" s="6" t="n">
        <v>6.5</v>
      </c>
      <c r="D16" s="7">
        <f>IF(OR(A16="",NOT(ISNUMBER(C16)),$B$3&lt;&gt;"OK"),"",IF(C16&lt;=0,C16,IF($B$2="End in .99",ROUND(CEILING(ROUND(C16*(1+$B$1),2),1)-0.01,2),ROUND(C16*(1+$B$1),2))))</f>
        <v/>
      </c>
      <c r="E16" s="8">
        <f>IF(AND(ISNUMBER(C16),ISNUMBER(B16)),IF(C16&gt;0,(C16-B16)/C16,""),"")</f>
        <v/>
      </c>
      <c r="F16" s="8">
        <f>IF(AND(ISNUMBER(D16),ISNUMBER(B16)),IF(D16&gt;0,(D16-B16)/D16,""),"")</f>
        <v/>
      </c>
      <c r="G16" s="7">
        <f>IF(ISNUMBER(D16),D16-C16,"")</f>
        <v/>
      </c>
      <c r="H16" s="4">
        <f>IF(A16="","",IF($B$3&lt;&gt;"OK","Check settings",IF(NOT(AND(ISNUMBER(B16),ISNUMBER(C16))),"Check row",IF(C16&lt;=0,"No price",IF(D16&lt;B16,"Below cost","OK")))))</f>
        <v/>
      </c>
    </row>
    <row r="17">
      <c r="A17" s="3" t="n"/>
      <c r="B17" s="6" t="n"/>
      <c r="C17" s="6" t="n"/>
      <c r="D17" s="7">
        <f>IF(OR(A17="",NOT(ISNUMBER(C17)),$B$3&lt;&gt;"OK"),"",IF(C17&lt;=0,C17,IF($B$2="End in .99",ROUND(CEILING(ROUND(C17*(1+$B$1),2),1)-0.01,2),ROUND(C17*(1+$B$1),2))))</f>
        <v/>
      </c>
      <c r="E17" s="8">
        <f>IF(AND(ISNUMBER(C17),ISNUMBER(B17)),IF(C17&gt;0,(C17-B17)/C17,""),"")</f>
        <v/>
      </c>
      <c r="F17" s="8">
        <f>IF(AND(ISNUMBER(D17),ISNUMBER(B17)),IF(D17&gt;0,(D17-B17)/D17,""),"")</f>
        <v/>
      </c>
      <c r="G17" s="7">
        <f>IF(ISNUMBER(D17),D17-C17,"")</f>
        <v/>
      </c>
      <c r="H17" s="4">
        <f>IF(A17="","",IF($B$3&lt;&gt;"OK","Check settings",IF(NOT(AND(ISNUMBER(B17),ISNUMBER(C17))),"Check row",IF(C17&lt;=0,"No price",IF(D17&lt;B17,"Below cost","OK")))))</f>
        <v/>
      </c>
    </row>
    <row r="18">
      <c r="A18" s="3" t="n"/>
      <c r="B18" s="6" t="n"/>
      <c r="C18" s="6" t="n"/>
      <c r="D18" s="7">
        <f>IF(OR(A18="",NOT(ISNUMBER(C18)),$B$3&lt;&gt;"OK"),"",IF(C18&lt;=0,C18,IF($B$2="End in .99",ROUND(CEILING(ROUND(C18*(1+$B$1),2),1)-0.01,2),ROUND(C18*(1+$B$1),2))))</f>
        <v/>
      </c>
      <c r="E18" s="8">
        <f>IF(AND(ISNUMBER(C18),ISNUMBER(B18)),IF(C18&gt;0,(C18-B18)/C18,""),"")</f>
        <v/>
      </c>
      <c r="F18" s="8">
        <f>IF(AND(ISNUMBER(D18),ISNUMBER(B18)),IF(D18&gt;0,(D18-B18)/D18,""),"")</f>
        <v/>
      </c>
      <c r="G18" s="7">
        <f>IF(ISNUMBER(D18),D18-C18,"")</f>
        <v/>
      </c>
      <c r="H18" s="4">
        <f>IF(A18="","",IF($B$3&lt;&gt;"OK","Check settings",IF(NOT(AND(ISNUMBER(B18),ISNUMBER(C18))),"Check row",IF(C18&lt;=0,"No price",IF(D18&lt;B18,"Below cost","OK")))))</f>
        <v/>
      </c>
    </row>
    <row r="19">
      <c r="A19" s="3" t="n"/>
      <c r="B19" s="6" t="n"/>
      <c r="C19" s="6" t="n"/>
      <c r="D19" s="7">
        <f>IF(OR(A19="",NOT(ISNUMBER(C19)),$B$3&lt;&gt;"OK"),"",IF(C19&lt;=0,C19,IF($B$2="End in .99",ROUND(CEILING(ROUND(C19*(1+$B$1),2),1)-0.01,2),ROUND(C19*(1+$B$1),2))))</f>
        <v/>
      </c>
      <c r="E19" s="8">
        <f>IF(AND(ISNUMBER(C19),ISNUMBER(B19)),IF(C19&gt;0,(C19-B19)/C19,""),"")</f>
        <v/>
      </c>
      <c r="F19" s="8">
        <f>IF(AND(ISNUMBER(D19),ISNUMBER(B19)),IF(D19&gt;0,(D19-B19)/D19,""),"")</f>
        <v/>
      </c>
      <c r="G19" s="7">
        <f>IF(ISNUMBER(D19),D19-C19,"")</f>
        <v/>
      </c>
      <c r="H19" s="4">
        <f>IF(A19="","",IF($B$3&lt;&gt;"OK","Check settings",IF(NOT(AND(ISNUMBER(B19),ISNUMBER(C19))),"Check row",IF(C19&lt;=0,"No price",IF(D19&lt;B19,"Below cost","OK")))))</f>
        <v/>
      </c>
    </row>
    <row r="20">
      <c r="A20" s="3" t="n"/>
      <c r="B20" s="6" t="n"/>
      <c r="C20" s="6" t="n"/>
      <c r="D20" s="7">
        <f>IF(OR(A20="",NOT(ISNUMBER(C20)),$B$3&lt;&gt;"OK"),"",IF(C20&lt;=0,C20,IF($B$2="End in .99",ROUND(CEILING(ROUND(C20*(1+$B$1),2),1)-0.01,2),ROUND(C20*(1+$B$1),2))))</f>
        <v/>
      </c>
      <c r="E20" s="8">
        <f>IF(AND(ISNUMBER(C20),ISNUMBER(B20)),IF(C20&gt;0,(C20-B20)/C20,""),"")</f>
        <v/>
      </c>
      <c r="F20" s="8">
        <f>IF(AND(ISNUMBER(D20),ISNUMBER(B20)),IF(D20&gt;0,(D20-B20)/D20,""),"")</f>
        <v/>
      </c>
      <c r="G20" s="7">
        <f>IF(ISNUMBER(D20),D20-C20,"")</f>
        <v/>
      </c>
      <c r="H20" s="4">
        <f>IF(A20="","",IF($B$3&lt;&gt;"OK","Check settings",IF(NOT(AND(ISNUMBER(B20),ISNUMBER(C20))),"Check row",IF(C20&lt;=0,"No price",IF(D20&lt;B20,"Below cost","OK")))))</f>
        <v/>
      </c>
    </row>
    <row r="21">
      <c r="A21" s="3" t="n"/>
      <c r="B21" s="6" t="n"/>
      <c r="C21" s="6" t="n"/>
      <c r="D21" s="7">
        <f>IF(OR(A21="",NOT(ISNUMBER(C21)),$B$3&lt;&gt;"OK"),"",IF(C21&lt;=0,C21,IF($B$2="End in .99",ROUND(CEILING(ROUND(C21*(1+$B$1),2),1)-0.01,2),ROUND(C21*(1+$B$1),2))))</f>
        <v/>
      </c>
      <c r="E21" s="8">
        <f>IF(AND(ISNUMBER(C21),ISNUMBER(B21)),IF(C21&gt;0,(C21-B21)/C21,""),"")</f>
        <v/>
      </c>
      <c r="F21" s="8">
        <f>IF(AND(ISNUMBER(D21),ISNUMBER(B21)),IF(D21&gt;0,(D21-B21)/D21,""),"")</f>
        <v/>
      </c>
      <c r="G21" s="7">
        <f>IF(ISNUMBER(D21),D21-C21,"")</f>
        <v/>
      </c>
      <c r="H21" s="4">
        <f>IF(A21="","",IF($B$3&lt;&gt;"OK","Check settings",IF(NOT(AND(ISNUMBER(B21),ISNUMBER(C21))),"Check row",IF(C21&lt;=0,"No price",IF(D21&lt;B21,"Below cost","OK")))))</f>
        <v/>
      </c>
    </row>
    <row r="22">
      <c r="A22" s="3" t="n"/>
      <c r="B22" s="6" t="n"/>
      <c r="C22" s="6" t="n"/>
      <c r="D22" s="7">
        <f>IF(OR(A22="",NOT(ISNUMBER(C22)),$B$3&lt;&gt;"OK"),"",IF(C22&lt;=0,C22,IF($B$2="End in .99",ROUND(CEILING(ROUND(C22*(1+$B$1),2),1)-0.01,2),ROUND(C22*(1+$B$1),2))))</f>
        <v/>
      </c>
      <c r="E22" s="8">
        <f>IF(AND(ISNUMBER(C22),ISNUMBER(B22)),IF(C22&gt;0,(C22-B22)/C22,""),"")</f>
        <v/>
      </c>
      <c r="F22" s="8">
        <f>IF(AND(ISNUMBER(D22),ISNUMBER(B22)),IF(D22&gt;0,(D22-B22)/D22,""),"")</f>
        <v/>
      </c>
      <c r="G22" s="7">
        <f>IF(ISNUMBER(D22),D22-C22,"")</f>
        <v/>
      </c>
      <c r="H22" s="4">
        <f>IF(A22="","",IF($B$3&lt;&gt;"OK","Check settings",IF(NOT(AND(ISNUMBER(B22),ISNUMBER(C22))),"Check row",IF(C22&lt;=0,"No price",IF(D22&lt;B22,"Below cost","OK")))))</f>
        <v/>
      </c>
    </row>
    <row r="23">
      <c r="A23" s="3" t="n"/>
      <c r="B23" s="6" t="n"/>
      <c r="C23" s="6" t="n"/>
      <c r="D23" s="7">
        <f>IF(OR(A23="",NOT(ISNUMBER(C23)),$B$3&lt;&gt;"OK"),"",IF(C23&lt;=0,C23,IF($B$2="End in .99",ROUND(CEILING(ROUND(C23*(1+$B$1),2),1)-0.01,2),ROUND(C23*(1+$B$1),2))))</f>
        <v/>
      </c>
      <c r="E23" s="8">
        <f>IF(AND(ISNUMBER(C23),ISNUMBER(B23)),IF(C23&gt;0,(C23-B23)/C23,""),"")</f>
        <v/>
      </c>
      <c r="F23" s="8">
        <f>IF(AND(ISNUMBER(D23),ISNUMBER(B23)),IF(D23&gt;0,(D23-B23)/D23,""),"")</f>
        <v/>
      </c>
      <c r="G23" s="7">
        <f>IF(ISNUMBER(D23),D23-C23,"")</f>
        <v/>
      </c>
      <c r="H23" s="4">
        <f>IF(A23="","",IF($B$3&lt;&gt;"OK","Check settings",IF(NOT(AND(ISNUMBER(B23),ISNUMBER(C23))),"Check row",IF(C23&lt;=0,"No price",IF(D23&lt;B23,"Below cost","OK")))))</f>
        <v/>
      </c>
    </row>
    <row r="24">
      <c r="A24" s="3" t="n"/>
      <c r="B24" s="6" t="n"/>
      <c r="C24" s="6" t="n"/>
      <c r="D24" s="7">
        <f>IF(OR(A24="",NOT(ISNUMBER(C24)),$B$3&lt;&gt;"OK"),"",IF(C24&lt;=0,C24,IF($B$2="End in .99",ROUND(CEILING(ROUND(C24*(1+$B$1),2),1)-0.01,2),ROUND(C24*(1+$B$1),2))))</f>
        <v/>
      </c>
      <c r="E24" s="8">
        <f>IF(AND(ISNUMBER(C24),ISNUMBER(B24)),IF(C24&gt;0,(C24-B24)/C24,""),"")</f>
        <v/>
      </c>
      <c r="F24" s="8">
        <f>IF(AND(ISNUMBER(D24),ISNUMBER(B24)),IF(D24&gt;0,(D24-B24)/D24,""),"")</f>
        <v/>
      </c>
      <c r="G24" s="7">
        <f>IF(ISNUMBER(D24),D24-C24,"")</f>
        <v/>
      </c>
      <c r="H24" s="4">
        <f>IF(A24="","",IF($B$3&lt;&gt;"OK","Check settings",IF(NOT(AND(ISNUMBER(B24),ISNUMBER(C24))),"Check row",IF(C24&lt;=0,"No price",IF(D24&lt;B24,"Below cost","OK")))))</f>
        <v/>
      </c>
    </row>
    <row r="25">
      <c r="A25" s="3" t="n"/>
      <c r="B25" s="6" t="n"/>
      <c r="C25" s="6" t="n"/>
      <c r="D25" s="7">
        <f>IF(OR(A25="",NOT(ISNUMBER(C25)),$B$3&lt;&gt;"OK"),"",IF(C25&lt;=0,C25,IF($B$2="End in .99",ROUND(CEILING(ROUND(C25*(1+$B$1),2),1)-0.01,2),ROUND(C25*(1+$B$1),2))))</f>
        <v/>
      </c>
      <c r="E25" s="8">
        <f>IF(AND(ISNUMBER(C25),ISNUMBER(B25)),IF(C25&gt;0,(C25-B25)/C25,""),"")</f>
        <v/>
      </c>
      <c r="F25" s="8">
        <f>IF(AND(ISNUMBER(D25),ISNUMBER(B25)),IF(D25&gt;0,(D25-B25)/D25,""),"")</f>
        <v/>
      </c>
      <c r="G25" s="7">
        <f>IF(ISNUMBER(D25),D25-C25,"")</f>
        <v/>
      </c>
      <c r="H25" s="4">
        <f>IF(A25="","",IF($B$3&lt;&gt;"OK","Check settings",IF(NOT(AND(ISNUMBER(B25),ISNUMBER(C25))),"Check row",IF(C25&lt;=0,"No price",IF(D25&lt;B25,"Below cost","OK")))))</f>
        <v/>
      </c>
    </row>
    <row r="26">
      <c r="A26" s="3" t="n"/>
      <c r="B26" s="6" t="n"/>
      <c r="C26" s="6" t="n"/>
      <c r="D26" s="7">
        <f>IF(OR(A26="",NOT(ISNUMBER(C26)),$B$3&lt;&gt;"OK"),"",IF(C26&lt;=0,C26,IF($B$2="End in .99",ROUND(CEILING(ROUND(C26*(1+$B$1),2),1)-0.01,2),ROUND(C26*(1+$B$1),2))))</f>
        <v/>
      </c>
      <c r="E26" s="8">
        <f>IF(AND(ISNUMBER(C26),ISNUMBER(B26)),IF(C26&gt;0,(C26-B26)/C26,""),"")</f>
        <v/>
      </c>
      <c r="F26" s="8">
        <f>IF(AND(ISNUMBER(D26),ISNUMBER(B26)),IF(D26&gt;0,(D26-B26)/D26,""),"")</f>
        <v/>
      </c>
      <c r="G26" s="7">
        <f>IF(ISNUMBER(D26),D26-C26,"")</f>
        <v/>
      </c>
      <c r="H26" s="4">
        <f>IF(A26="","",IF($B$3&lt;&gt;"OK","Check settings",IF(NOT(AND(ISNUMBER(B26),ISNUMBER(C26))),"Check row",IF(C26&lt;=0,"No price",IF(D26&lt;B26,"Below cost","OK")))))</f>
        <v/>
      </c>
    </row>
    <row r="27">
      <c r="A27" s="3" t="n"/>
      <c r="B27" s="6" t="n"/>
      <c r="C27" s="6" t="n"/>
      <c r="D27" s="7">
        <f>IF(OR(A27="",NOT(ISNUMBER(C27)),$B$3&lt;&gt;"OK"),"",IF(C27&lt;=0,C27,IF($B$2="End in .99",ROUND(CEILING(ROUND(C27*(1+$B$1),2),1)-0.01,2),ROUND(C27*(1+$B$1),2))))</f>
        <v/>
      </c>
      <c r="E27" s="8">
        <f>IF(AND(ISNUMBER(C27),ISNUMBER(B27)),IF(C27&gt;0,(C27-B27)/C27,""),"")</f>
        <v/>
      </c>
      <c r="F27" s="8">
        <f>IF(AND(ISNUMBER(D27),ISNUMBER(B27)),IF(D27&gt;0,(D27-B27)/D27,""),"")</f>
        <v/>
      </c>
      <c r="G27" s="7">
        <f>IF(ISNUMBER(D27),D27-C27,"")</f>
        <v/>
      </c>
      <c r="H27" s="4">
        <f>IF(A27="","",IF($B$3&lt;&gt;"OK","Check settings",IF(NOT(AND(ISNUMBER(B27),ISNUMBER(C27))),"Check row",IF(C27&lt;=0,"No price",IF(D27&lt;B27,"Below cost","OK")))))</f>
        <v/>
      </c>
    </row>
    <row r="28">
      <c r="A28" s="3" t="n"/>
      <c r="B28" s="6" t="n"/>
      <c r="C28" s="6" t="n"/>
      <c r="D28" s="7">
        <f>IF(OR(A28="",NOT(ISNUMBER(C28)),$B$3&lt;&gt;"OK"),"",IF(C28&lt;=0,C28,IF($B$2="End in .99",ROUND(CEILING(ROUND(C28*(1+$B$1),2),1)-0.01,2),ROUND(C28*(1+$B$1),2))))</f>
        <v/>
      </c>
      <c r="E28" s="8">
        <f>IF(AND(ISNUMBER(C28),ISNUMBER(B28)),IF(C28&gt;0,(C28-B28)/C28,""),"")</f>
        <v/>
      </c>
      <c r="F28" s="8">
        <f>IF(AND(ISNUMBER(D28),ISNUMBER(B28)),IF(D28&gt;0,(D28-B28)/D28,""),"")</f>
        <v/>
      </c>
      <c r="G28" s="7">
        <f>IF(ISNUMBER(D28),D28-C28,"")</f>
        <v/>
      </c>
      <c r="H28" s="4">
        <f>IF(A28="","",IF($B$3&lt;&gt;"OK","Check settings",IF(NOT(AND(ISNUMBER(B28),ISNUMBER(C28))),"Check row",IF(C28&lt;=0,"No price",IF(D28&lt;B28,"Below cost","OK")))))</f>
        <v/>
      </c>
    </row>
    <row r="29">
      <c r="A29" s="3" t="n"/>
      <c r="B29" s="6" t="n"/>
      <c r="C29" s="6" t="n"/>
      <c r="D29" s="7">
        <f>IF(OR(A29="",NOT(ISNUMBER(C29)),$B$3&lt;&gt;"OK"),"",IF(C29&lt;=0,C29,IF($B$2="End in .99",ROUND(CEILING(ROUND(C29*(1+$B$1),2),1)-0.01,2),ROUND(C29*(1+$B$1),2))))</f>
        <v/>
      </c>
      <c r="E29" s="8">
        <f>IF(AND(ISNUMBER(C29),ISNUMBER(B29)),IF(C29&gt;0,(C29-B29)/C29,""),"")</f>
        <v/>
      </c>
      <c r="F29" s="8">
        <f>IF(AND(ISNUMBER(D29),ISNUMBER(B29)),IF(D29&gt;0,(D29-B29)/D29,""),"")</f>
        <v/>
      </c>
      <c r="G29" s="7">
        <f>IF(ISNUMBER(D29),D29-C29,"")</f>
        <v/>
      </c>
      <c r="H29" s="4">
        <f>IF(A29="","",IF($B$3&lt;&gt;"OK","Check settings",IF(NOT(AND(ISNUMBER(B29),ISNUMBER(C29))),"Check row",IF(C29&lt;=0,"No price",IF(D29&lt;B29,"Below cost","OK")))))</f>
        <v/>
      </c>
    </row>
    <row r="30">
      <c r="A30" s="3" t="n"/>
      <c r="B30" s="6" t="n"/>
      <c r="C30" s="6" t="n"/>
      <c r="D30" s="7">
        <f>IF(OR(A30="",NOT(ISNUMBER(C30)),$B$3&lt;&gt;"OK"),"",IF(C30&lt;=0,C30,IF($B$2="End in .99",ROUND(CEILING(ROUND(C30*(1+$B$1),2),1)-0.01,2),ROUND(C30*(1+$B$1),2))))</f>
        <v/>
      </c>
      <c r="E30" s="8">
        <f>IF(AND(ISNUMBER(C30),ISNUMBER(B30)),IF(C30&gt;0,(C30-B30)/C30,""),"")</f>
        <v/>
      </c>
      <c r="F30" s="8">
        <f>IF(AND(ISNUMBER(D30),ISNUMBER(B30)),IF(D30&gt;0,(D30-B30)/D30,""),"")</f>
        <v/>
      </c>
      <c r="G30" s="7">
        <f>IF(ISNUMBER(D30),D30-C30,"")</f>
        <v/>
      </c>
      <c r="H30" s="4">
        <f>IF(A30="","",IF($B$3&lt;&gt;"OK","Check settings",IF(NOT(AND(ISNUMBER(B30),ISNUMBER(C30))),"Check row",IF(C30&lt;=0,"No price",IF(D30&lt;B30,"Below cost","OK")))))</f>
        <v/>
      </c>
    </row>
    <row r="31">
      <c r="A31" s="3" t="n"/>
      <c r="B31" s="6" t="n"/>
      <c r="C31" s="6" t="n"/>
      <c r="D31" s="7">
        <f>IF(OR(A31="",NOT(ISNUMBER(C31)),$B$3&lt;&gt;"OK"),"",IF(C31&lt;=0,C31,IF($B$2="End in .99",ROUND(CEILING(ROUND(C31*(1+$B$1),2),1)-0.01,2),ROUND(C31*(1+$B$1),2))))</f>
        <v/>
      </c>
      <c r="E31" s="8">
        <f>IF(AND(ISNUMBER(C31),ISNUMBER(B31)),IF(C31&gt;0,(C31-B31)/C31,""),"")</f>
        <v/>
      </c>
      <c r="F31" s="8">
        <f>IF(AND(ISNUMBER(D31),ISNUMBER(B31)),IF(D31&gt;0,(D31-B31)/D31,""),"")</f>
        <v/>
      </c>
      <c r="G31" s="7">
        <f>IF(ISNUMBER(D31),D31-C31,"")</f>
        <v/>
      </c>
      <c r="H31" s="4">
        <f>IF(A31="","",IF($B$3&lt;&gt;"OK","Check settings",IF(NOT(AND(ISNUMBER(B31),ISNUMBER(C31))),"Check row",IF(C31&lt;=0,"No price",IF(D31&lt;B31,"Below cost","OK")))))</f>
        <v/>
      </c>
    </row>
    <row r="32">
      <c r="A32" s="3" t="n"/>
      <c r="B32" s="6" t="n"/>
      <c r="C32" s="6" t="n"/>
      <c r="D32" s="7">
        <f>IF(OR(A32="",NOT(ISNUMBER(C32)),$B$3&lt;&gt;"OK"),"",IF(C32&lt;=0,C32,IF($B$2="End in .99",ROUND(CEILING(ROUND(C32*(1+$B$1),2),1)-0.01,2),ROUND(C32*(1+$B$1),2))))</f>
        <v/>
      </c>
      <c r="E32" s="8">
        <f>IF(AND(ISNUMBER(C32),ISNUMBER(B32)),IF(C32&gt;0,(C32-B32)/C32,""),"")</f>
        <v/>
      </c>
      <c r="F32" s="8">
        <f>IF(AND(ISNUMBER(D32),ISNUMBER(B32)),IF(D32&gt;0,(D32-B32)/D32,""),"")</f>
        <v/>
      </c>
      <c r="G32" s="7">
        <f>IF(ISNUMBER(D32),D32-C32,"")</f>
        <v/>
      </c>
      <c r="H32" s="4">
        <f>IF(A32="","",IF($B$3&lt;&gt;"OK","Check settings",IF(NOT(AND(ISNUMBER(B32),ISNUMBER(C32))),"Check row",IF(C32&lt;=0,"No price",IF(D32&lt;B32,"Below cost","OK")))))</f>
        <v/>
      </c>
    </row>
    <row r="33">
      <c r="A33" s="3" t="n"/>
      <c r="B33" s="6" t="n"/>
      <c r="C33" s="6" t="n"/>
      <c r="D33" s="7">
        <f>IF(OR(A33="",NOT(ISNUMBER(C33)),$B$3&lt;&gt;"OK"),"",IF(C33&lt;=0,C33,IF($B$2="End in .99",ROUND(CEILING(ROUND(C33*(1+$B$1),2),1)-0.01,2),ROUND(C33*(1+$B$1),2))))</f>
        <v/>
      </c>
      <c r="E33" s="8">
        <f>IF(AND(ISNUMBER(C33),ISNUMBER(B33)),IF(C33&gt;0,(C33-B33)/C33,""),"")</f>
        <v/>
      </c>
      <c r="F33" s="8">
        <f>IF(AND(ISNUMBER(D33),ISNUMBER(B33)),IF(D33&gt;0,(D33-B33)/D33,""),"")</f>
        <v/>
      </c>
      <c r="G33" s="7">
        <f>IF(ISNUMBER(D33),D33-C33,"")</f>
        <v/>
      </c>
      <c r="H33" s="4">
        <f>IF(A33="","",IF($B$3&lt;&gt;"OK","Check settings",IF(NOT(AND(ISNUMBER(B33),ISNUMBER(C33))),"Check row",IF(C33&lt;=0,"No price",IF(D33&lt;B33,"Below cost","OK")))))</f>
        <v/>
      </c>
    </row>
    <row r="34">
      <c r="A34" s="3" t="n"/>
      <c r="B34" s="6" t="n"/>
      <c r="C34" s="6" t="n"/>
      <c r="D34" s="7">
        <f>IF(OR(A34="",NOT(ISNUMBER(C34)),$B$3&lt;&gt;"OK"),"",IF(C34&lt;=0,C34,IF($B$2="End in .99",ROUND(CEILING(ROUND(C34*(1+$B$1),2),1)-0.01,2),ROUND(C34*(1+$B$1),2))))</f>
        <v/>
      </c>
      <c r="E34" s="8">
        <f>IF(AND(ISNUMBER(C34),ISNUMBER(B34)),IF(C34&gt;0,(C34-B34)/C34,""),"")</f>
        <v/>
      </c>
      <c r="F34" s="8">
        <f>IF(AND(ISNUMBER(D34),ISNUMBER(B34)),IF(D34&gt;0,(D34-B34)/D34,""),"")</f>
        <v/>
      </c>
      <c r="G34" s="7">
        <f>IF(ISNUMBER(D34),D34-C34,"")</f>
        <v/>
      </c>
      <c r="H34" s="4">
        <f>IF(A34="","",IF($B$3&lt;&gt;"OK","Check settings",IF(NOT(AND(ISNUMBER(B34),ISNUMBER(C34))),"Check row",IF(C34&lt;=0,"No price",IF(D34&lt;B34,"Below cost","OK")))))</f>
        <v/>
      </c>
    </row>
    <row r="35">
      <c r="A35" s="3" t="n"/>
      <c r="B35" s="6" t="n"/>
      <c r="C35" s="6" t="n"/>
      <c r="D35" s="7">
        <f>IF(OR(A35="",NOT(ISNUMBER(C35)),$B$3&lt;&gt;"OK"),"",IF(C35&lt;=0,C35,IF($B$2="End in .99",ROUND(CEILING(ROUND(C35*(1+$B$1),2),1)-0.01,2),ROUND(C35*(1+$B$1),2))))</f>
        <v/>
      </c>
      <c r="E35" s="8">
        <f>IF(AND(ISNUMBER(C35),ISNUMBER(B35)),IF(C35&gt;0,(C35-B35)/C35,""),"")</f>
        <v/>
      </c>
      <c r="F35" s="8">
        <f>IF(AND(ISNUMBER(D35),ISNUMBER(B35)),IF(D35&gt;0,(D35-B35)/D35,""),"")</f>
        <v/>
      </c>
      <c r="G35" s="7">
        <f>IF(ISNUMBER(D35),D35-C35,"")</f>
        <v/>
      </c>
      <c r="H35" s="4">
        <f>IF(A35="","",IF($B$3&lt;&gt;"OK","Check settings",IF(NOT(AND(ISNUMBER(B35),ISNUMBER(C35))),"Check row",IF(C35&lt;=0,"No price",IF(D35&lt;B35,"Below cost","OK")))))</f>
        <v/>
      </c>
    </row>
    <row r="36">
      <c r="A36" s="3" t="n"/>
      <c r="B36" s="6" t="n"/>
      <c r="C36" s="6" t="n"/>
      <c r="D36" s="7">
        <f>IF(OR(A36="",NOT(ISNUMBER(C36)),$B$3&lt;&gt;"OK"),"",IF(C36&lt;=0,C36,IF($B$2="End in .99",ROUND(CEILING(ROUND(C36*(1+$B$1),2),1)-0.01,2),ROUND(C36*(1+$B$1),2))))</f>
        <v/>
      </c>
      <c r="E36" s="8">
        <f>IF(AND(ISNUMBER(C36),ISNUMBER(B36)),IF(C36&gt;0,(C36-B36)/C36,""),"")</f>
        <v/>
      </c>
      <c r="F36" s="8">
        <f>IF(AND(ISNUMBER(D36),ISNUMBER(B36)),IF(D36&gt;0,(D36-B36)/D36,""),"")</f>
        <v/>
      </c>
      <c r="G36" s="7">
        <f>IF(ISNUMBER(D36),D36-C36,"")</f>
        <v/>
      </c>
      <c r="H36" s="4">
        <f>IF(A36="","",IF($B$3&lt;&gt;"OK","Check settings",IF(NOT(AND(ISNUMBER(B36),ISNUMBER(C36))),"Check row",IF(C36&lt;=0,"No price",IF(D36&lt;B36,"Below cost","OK")))))</f>
        <v/>
      </c>
    </row>
    <row r="37">
      <c r="A37" s="3" t="n"/>
      <c r="B37" s="6" t="n"/>
      <c r="C37" s="6" t="n"/>
      <c r="D37" s="7">
        <f>IF(OR(A37="",NOT(ISNUMBER(C37)),$B$3&lt;&gt;"OK"),"",IF(C37&lt;=0,C37,IF($B$2="End in .99",ROUND(CEILING(ROUND(C37*(1+$B$1),2),1)-0.01,2),ROUND(C37*(1+$B$1),2))))</f>
        <v/>
      </c>
      <c r="E37" s="8">
        <f>IF(AND(ISNUMBER(C37),ISNUMBER(B37)),IF(C37&gt;0,(C37-B37)/C37,""),"")</f>
        <v/>
      </c>
      <c r="F37" s="8">
        <f>IF(AND(ISNUMBER(D37),ISNUMBER(B37)),IF(D37&gt;0,(D37-B37)/D37,""),"")</f>
        <v/>
      </c>
      <c r="G37" s="7">
        <f>IF(ISNUMBER(D37),D37-C37,"")</f>
        <v/>
      </c>
      <c r="H37" s="4">
        <f>IF(A37="","",IF($B$3&lt;&gt;"OK","Check settings",IF(NOT(AND(ISNUMBER(B37),ISNUMBER(C37))),"Check row",IF(C37&lt;=0,"No price",IF(D37&lt;B37,"Below cost","OK")))))</f>
        <v/>
      </c>
    </row>
    <row r="38">
      <c r="A38" s="3" t="n"/>
      <c r="B38" s="6" t="n"/>
      <c r="C38" s="6" t="n"/>
      <c r="D38" s="7">
        <f>IF(OR(A38="",NOT(ISNUMBER(C38)),$B$3&lt;&gt;"OK"),"",IF(C38&lt;=0,C38,IF($B$2="End in .99",ROUND(CEILING(ROUND(C38*(1+$B$1),2),1)-0.01,2),ROUND(C38*(1+$B$1),2))))</f>
        <v/>
      </c>
      <c r="E38" s="8">
        <f>IF(AND(ISNUMBER(C38),ISNUMBER(B38)),IF(C38&gt;0,(C38-B38)/C38,""),"")</f>
        <v/>
      </c>
      <c r="F38" s="8">
        <f>IF(AND(ISNUMBER(D38),ISNUMBER(B38)),IF(D38&gt;0,(D38-B38)/D38,""),"")</f>
        <v/>
      </c>
      <c r="G38" s="7">
        <f>IF(ISNUMBER(D38),D38-C38,"")</f>
        <v/>
      </c>
      <c r="H38" s="4">
        <f>IF(A38="","",IF($B$3&lt;&gt;"OK","Check settings",IF(NOT(AND(ISNUMBER(B38),ISNUMBER(C38))),"Check row",IF(C38&lt;=0,"No price",IF(D38&lt;B38,"Below cost","OK")))))</f>
        <v/>
      </c>
    </row>
    <row r="39">
      <c r="A39" s="3" t="n"/>
      <c r="B39" s="6" t="n"/>
      <c r="C39" s="6" t="n"/>
      <c r="D39" s="7">
        <f>IF(OR(A39="",NOT(ISNUMBER(C39)),$B$3&lt;&gt;"OK"),"",IF(C39&lt;=0,C39,IF($B$2="End in .99",ROUND(CEILING(ROUND(C39*(1+$B$1),2),1)-0.01,2),ROUND(C39*(1+$B$1),2))))</f>
        <v/>
      </c>
      <c r="E39" s="8">
        <f>IF(AND(ISNUMBER(C39),ISNUMBER(B39)),IF(C39&gt;0,(C39-B39)/C39,""),"")</f>
        <v/>
      </c>
      <c r="F39" s="8">
        <f>IF(AND(ISNUMBER(D39),ISNUMBER(B39)),IF(D39&gt;0,(D39-B39)/D39,""),"")</f>
        <v/>
      </c>
      <c r="G39" s="7">
        <f>IF(ISNUMBER(D39),D39-C39,"")</f>
        <v/>
      </c>
      <c r="H39" s="4">
        <f>IF(A39="","",IF($B$3&lt;&gt;"OK","Check settings",IF(NOT(AND(ISNUMBER(B39),ISNUMBER(C39))),"Check row",IF(C39&lt;=0,"No price",IF(D39&lt;B39,"Below cost","OK")))))</f>
        <v/>
      </c>
    </row>
    <row r="40">
      <c r="A40" s="3" t="n"/>
      <c r="B40" s="6" t="n"/>
      <c r="C40" s="6" t="n"/>
      <c r="D40" s="7">
        <f>IF(OR(A40="",NOT(ISNUMBER(C40)),$B$3&lt;&gt;"OK"),"",IF(C40&lt;=0,C40,IF($B$2="End in .99",ROUND(CEILING(ROUND(C40*(1+$B$1),2),1)-0.01,2),ROUND(C40*(1+$B$1),2))))</f>
        <v/>
      </c>
      <c r="E40" s="8">
        <f>IF(AND(ISNUMBER(C40),ISNUMBER(B40)),IF(C40&gt;0,(C40-B40)/C40,""),"")</f>
        <v/>
      </c>
      <c r="F40" s="8">
        <f>IF(AND(ISNUMBER(D40),ISNUMBER(B40)),IF(D40&gt;0,(D40-B40)/D40,""),"")</f>
        <v/>
      </c>
      <c r="G40" s="7">
        <f>IF(ISNUMBER(D40),D40-C40,"")</f>
        <v/>
      </c>
      <c r="H40" s="4">
        <f>IF(A40="","",IF($B$3&lt;&gt;"OK","Check settings",IF(NOT(AND(ISNUMBER(B40),ISNUMBER(C40))),"Check row",IF(C40&lt;=0,"No price",IF(D40&lt;B40,"Below cost","OK")))))</f>
        <v/>
      </c>
    </row>
    <row r="41">
      <c r="A41" s="3" t="n"/>
      <c r="B41" s="6" t="n"/>
      <c r="C41" s="6" t="n"/>
      <c r="D41" s="7">
        <f>IF(OR(A41="",NOT(ISNUMBER(C41)),$B$3&lt;&gt;"OK"),"",IF(C41&lt;=0,C41,IF($B$2="End in .99",ROUND(CEILING(ROUND(C41*(1+$B$1),2),1)-0.01,2),ROUND(C41*(1+$B$1),2))))</f>
        <v/>
      </c>
      <c r="E41" s="8">
        <f>IF(AND(ISNUMBER(C41),ISNUMBER(B41)),IF(C41&gt;0,(C41-B41)/C41,""),"")</f>
        <v/>
      </c>
      <c r="F41" s="8">
        <f>IF(AND(ISNUMBER(D41),ISNUMBER(B41)),IF(D41&gt;0,(D41-B41)/D41,""),"")</f>
        <v/>
      </c>
      <c r="G41" s="7">
        <f>IF(ISNUMBER(D41),D41-C41,"")</f>
        <v/>
      </c>
      <c r="H41" s="4">
        <f>IF(A41="","",IF($B$3&lt;&gt;"OK","Check settings",IF(NOT(AND(ISNUMBER(B41),ISNUMBER(C41))),"Check row",IF(C41&lt;=0,"No price",IF(D41&lt;B41,"Below cost","OK")))))</f>
        <v/>
      </c>
    </row>
    <row r="42">
      <c r="A42" s="3" t="n"/>
      <c r="B42" s="6" t="n"/>
      <c r="C42" s="6" t="n"/>
      <c r="D42" s="7">
        <f>IF(OR(A42="",NOT(ISNUMBER(C42)),$B$3&lt;&gt;"OK"),"",IF(C42&lt;=0,C42,IF($B$2="End in .99",ROUND(CEILING(ROUND(C42*(1+$B$1),2),1)-0.01,2),ROUND(C42*(1+$B$1),2))))</f>
        <v/>
      </c>
      <c r="E42" s="8">
        <f>IF(AND(ISNUMBER(C42),ISNUMBER(B42)),IF(C42&gt;0,(C42-B42)/C42,""),"")</f>
        <v/>
      </c>
      <c r="F42" s="8">
        <f>IF(AND(ISNUMBER(D42),ISNUMBER(B42)),IF(D42&gt;0,(D42-B42)/D42,""),"")</f>
        <v/>
      </c>
      <c r="G42" s="7">
        <f>IF(ISNUMBER(D42),D42-C42,"")</f>
        <v/>
      </c>
      <c r="H42" s="4">
        <f>IF(A42="","",IF($B$3&lt;&gt;"OK","Check settings",IF(NOT(AND(ISNUMBER(B42),ISNUMBER(C42))),"Check row",IF(C42&lt;=0,"No price",IF(D42&lt;B42,"Below cost","OK")))))</f>
        <v/>
      </c>
    </row>
    <row r="43">
      <c r="A43" s="3" t="n"/>
      <c r="B43" s="6" t="n"/>
      <c r="C43" s="6" t="n"/>
      <c r="D43" s="7">
        <f>IF(OR(A43="",NOT(ISNUMBER(C43)),$B$3&lt;&gt;"OK"),"",IF(C43&lt;=0,C43,IF($B$2="End in .99",ROUND(CEILING(ROUND(C43*(1+$B$1),2),1)-0.01,2),ROUND(C43*(1+$B$1),2))))</f>
        <v/>
      </c>
      <c r="E43" s="8">
        <f>IF(AND(ISNUMBER(C43),ISNUMBER(B43)),IF(C43&gt;0,(C43-B43)/C43,""),"")</f>
        <v/>
      </c>
      <c r="F43" s="8">
        <f>IF(AND(ISNUMBER(D43),ISNUMBER(B43)),IF(D43&gt;0,(D43-B43)/D43,""),"")</f>
        <v/>
      </c>
      <c r="G43" s="7">
        <f>IF(ISNUMBER(D43),D43-C43,"")</f>
        <v/>
      </c>
      <c r="H43" s="4">
        <f>IF(A43="","",IF($B$3&lt;&gt;"OK","Check settings",IF(NOT(AND(ISNUMBER(B43),ISNUMBER(C43))),"Check row",IF(C43&lt;=0,"No price",IF(D43&lt;B43,"Below cost","OK")))))</f>
        <v/>
      </c>
    </row>
    <row r="44">
      <c r="A44" s="3" t="n"/>
      <c r="B44" s="6" t="n"/>
      <c r="C44" s="6" t="n"/>
      <c r="D44" s="7">
        <f>IF(OR(A44="",NOT(ISNUMBER(C44)),$B$3&lt;&gt;"OK"),"",IF(C44&lt;=0,C44,IF($B$2="End in .99",ROUND(CEILING(ROUND(C44*(1+$B$1),2),1)-0.01,2),ROUND(C44*(1+$B$1),2))))</f>
        <v/>
      </c>
      <c r="E44" s="8">
        <f>IF(AND(ISNUMBER(C44),ISNUMBER(B44)),IF(C44&gt;0,(C44-B44)/C44,""),"")</f>
        <v/>
      </c>
      <c r="F44" s="8">
        <f>IF(AND(ISNUMBER(D44),ISNUMBER(B44)),IF(D44&gt;0,(D44-B44)/D44,""),"")</f>
        <v/>
      </c>
      <c r="G44" s="7">
        <f>IF(ISNUMBER(D44),D44-C44,"")</f>
        <v/>
      </c>
      <c r="H44" s="4">
        <f>IF(A44="","",IF($B$3&lt;&gt;"OK","Check settings",IF(NOT(AND(ISNUMBER(B44),ISNUMBER(C44))),"Check row",IF(C44&lt;=0,"No price",IF(D44&lt;B44,"Below cost","OK")))))</f>
        <v/>
      </c>
    </row>
  </sheetData>
  <conditionalFormatting sqref="A5:H44">
    <cfRule type="expression" priority="1" dxfId="0">
      <formula>$H5="Below cost"</formula>
    </cfRule>
  </conditionalFormatting>
  <conditionalFormatting sqref="B3">
    <cfRule type="expression" priority="2" dxfId="0">
      <formula>$B$3&lt;&gt;"OK"</formula>
    </cfRule>
  </conditionalFormatting>
  <dataValidations count="1">
    <dataValidation sqref="B2" showDropDown="0" showInputMessage="0" showErrorMessage="0" allowBlank="0" type="list">
      <formula1>"Nearest cent,End in .99"</formula1>
    </dataValidation>
  </dataValidations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Tidy Tabs: Raise Prices by a Percent and See the New Margin</t>
        </is>
      </c>
    </row>
    <row r="2">
      <c r="A2" s="11" t="inlineStr"/>
    </row>
    <row r="3">
      <c r="A3" s="11" t="inlineStr">
        <is>
          <t>1. Prices tab: type the increase in B1 (yellow, 8%) and pick the rounding in B2 (Nearest cent or End in .99). B3 shows OK when both are valid; a negative percent is a price cut.</t>
        </is>
      </c>
    </row>
    <row r="4">
      <c r="A4" s="11" t="inlineStr">
        <is>
          <t>2. Items in A5:C44 (yellow): item, cost, old price. The 12 products and all numbers are fictional.</t>
        </is>
      </c>
    </row>
    <row r="5">
      <c r="A5" s="11" t="inlineStr">
        <is>
          <t>3. New price, D5, Nearest cent: =ROUND(C5*(1+$B$1),2). End in .99: =ROUND(CEILING(ROUND(C5*(1+$B$1),2),1)-0.01,2), which rounds up to the next whole dollar and takes a cent off. A result that is already a whole dollar goes one dollar lower in .99 form, e.g. $19.00 becomes $18.99.</t>
        </is>
      </c>
    </row>
    <row r="6">
      <c r="A6" s="11" t="inlineStr">
        <is>
          <t>4. Old margin, E5: =(C5-B5)/C5. New margin, F5: =(D5-B5)/D5. Margin is profit as a share of the price, not a markup on cost. Blank when the price is 0.</t>
        </is>
      </c>
    </row>
    <row r="7">
      <c r="A7" s="11" t="inlineStr">
        <is>
          <t>5. Price change, G5: =D5-C5. Status, H5: Below cost when the new price is under the cost, No price when the old price is 0, Check row when cost or price is not a number.</t>
        </is>
      </c>
    </row>
    <row r="8">
      <c r="A8" s="11" t="inlineStr">
        <is>
          <t>6. Summary, J5:K9: counts and the simple average of the margins (each item counts equally, not weighted by sales).</t>
        </is>
      </c>
    </row>
    <row r="9">
      <c r="A9" s="11" t="inlineStr">
        <is>
          <t>7. Cost here is only what you type: add shipping, fees and labor yourself if they belong. This is arithmetic, not pricing advice.</t>
        </is>
      </c>
    </row>
    <row r="10">
      <c r="A10" s="11" t="inlineStr"/>
    </row>
    <row r="11">
      <c r="A11" s="11" t="inlineStr">
        <is>
          <t>Checked in LibreOffice Calc only; not opened in Excel or Google Sheets.</t>
        </is>
      </c>
    </row>
    <row r="12">
      <c r="A12" s="11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2026-10-31T07:30:11Z</dcterms:created>
  <dcterms:modified xmlns:dcterms="http://purl.org/dc/terms/" xmlns:xsi="http://www.w3.org/2001/XMLSchema-instance" xsi:type="dcterms:W3CDTF">2026-10-31T07:30:11Z</dcterms:modified>
</cp:coreProperties>
</file>