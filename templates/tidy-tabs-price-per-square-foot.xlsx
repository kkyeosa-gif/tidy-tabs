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 sheetId="1" state="visible" r:id="rId1"/>
    <sheet name="How to use" sheetId="2" state="visible" r:id="rId2"/>
  </sheets>
  <definedNames>
    <definedName name="_xlnm.Print_Titles" localSheetId="0">'Quote'!$5:$5</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font>
    <font>
      <b val="1"/>
      <color rgb="00FFFFFF"/>
    </font>
    <font>
      <b val="1"/>
      <sz val="13"/>
    </font>
  </fonts>
  <fills count="5">
    <fill>
      <patternFill/>
    </fill>
    <fill>
      <patternFill patternType="gray125"/>
    </fill>
    <fill>
      <patternFill patternType="solid">
        <fgColor rgb="00FFF2CC"/>
      </patternFill>
    </fill>
    <fill>
      <patternFill patternType="solid">
        <fgColor rgb="00EDEDED"/>
      </patternFill>
    </fill>
    <fill>
      <patternFill patternType="solid">
        <fgColor rgb="002E5E4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164" fontId="0" fillId="2" borderId="0" applyAlignment="1" pivotButton="0" quotePrefix="0" xfId="0">
      <alignment horizontal="right"/>
    </xf>
    <xf numFmtId="0" fontId="0" fillId="0" borderId="0" applyAlignment="1" pivotButton="0" quotePrefix="0" xfId="0">
      <alignment vertical="top" wrapText="1"/>
    </xf>
    <xf numFmtId="164" fontId="0" fillId="3" borderId="0" applyAlignment="1" pivotButton="0" quotePrefix="0" xfId="0">
      <alignment horizontal="right" vertical="top"/>
    </xf>
    <xf numFmtId="0" fontId="0" fillId="3" borderId="0" applyAlignment="1" pivotButton="0" quotePrefix="0" xfId="0">
      <alignment horizontal="right"/>
    </xf>
    <xf numFmtId="0" fontId="1" fillId="0" borderId="0" applyAlignment="1" pivotButton="0" quotePrefix="0" xfId="0">
      <alignment vertical="top" wrapText="1"/>
    </xf>
    <xf numFmtId="0" fontId="2" fillId="4" borderId="0" applyAlignment="1" pivotButton="0" quotePrefix="0" xfId="0">
      <alignment vertical="center" wrapText="1"/>
    </xf>
    <xf numFmtId="1" fontId="0" fillId="3" borderId="0" applyAlignment="1" pivotButton="0" quotePrefix="0" xfId="0">
      <alignment horizontal="right" vertical="top"/>
    </xf>
    <xf numFmtId="0" fontId="0" fillId="2" borderId="0" pivotButton="0" quotePrefix="0" xfId="0"/>
    <xf numFmtId="2" fontId="0" fillId="3" borderId="0" pivotButton="0" quotePrefix="0" xfId="0"/>
    <xf numFmtId="164" fontId="0" fillId="3" borderId="0" pivotButton="0" quotePrefix="0" xfId="0"/>
    <xf numFmtId="0" fontId="0" fillId="3" borderId="0" pivotButton="0" quotePrefix="0" xfId="0"/>
    <xf numFmtId="0" fontId="0" fillId="3" borderId="0" applyAlignment="1" pivotButton="0" quotePrefix="0" xfId="0">
      <alignment horizontal="right" vertical="top"/>
    </xf>
    <xf numFmtId="0" fontId="3"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5"/>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12" customWidth="1" min="3" max="3"/>
    <col width="8" customWidth="1" min="4" max="4"/>
    <col width="13" customWidth="1" min="5" max="5"/>
    <col width="12" customWidth="1" min="6" max="6"/>
    <col width="11" customWidth="1" min="7" max="7"/>
    <col width="18" customWidth="1" min="8" max="8"/>
    <col width="4" customWidth="1" min="9" max="9"/>
    <col width="30" customWidth="1" min="10" max="10"/>
    <col width="12" customWidth="1" min="11" max="11"/>
  </cols>
  <sheetData>
    <row r="1">
      <c r="A1" s="1" t="inlineStr">
        <is>
          <t>Rate per sq ft</t>
        </is>
      </c>
      <c r="B1" s="2" t="n">
        <v>2.5</v>
      </c>
      <c r="J1" s="1" t="inlineStr">
        <is>
          <t>Quote</t>
        </is>
      </c>
    </row>
    <row r="2">
      <c r="A2" s="1" t="inlineStr">
        <is>
          <t>Minimum charge per line</t>
        </is>
      </c>
      <c r="B2" s="2" t="n">
        <v>25</v>
      </c>
      <c r="J2" s="3" t="inlineStr">
        <is>
          <t>Lines subtotal</t>
        </is>
      </c>
      <c r="K2" s="4">
        <f>SUM(F6:F25)</f>
        <v/>
      </c>
    </row>
    <row r="3">
      <c r="A3" s="1" t="inlineStr">
        <is>
          <t>Setup fee (once per quote)</t>
        </is>
      </c>
      <c r="B3" s="2" t="n">
        <v>15</v>
      </c>
      <c r="J3" s="3" t="inlineStr">
        <is>
          <t>Setup fee</t>
        </is>
      </c>
      <c r="K3" s="4">
        <f>IF(K6=0,0,B3)</f>
        <v/>
      </c>
    </row>
    <row r="4">
      <c r="A4" s="1" t="inlineStr">
        <is>
          <t>Settings OK?</t>
        </is>
      </c>
      <c r="B4" s="5">
        <f>IF(AND(ISNUMBER(B1),ISNUMBER(B2),ISNUMBER(B3)),IF(AND(B1&gt;0,B2&gt;=0,B3&gt;=0),"OK","Check settings"),"Check settings")</f>
        <v/>
      </c>
      <c r="J4" s="6" t="inlineStr">
        <is>
          <t>Quote total</t>
        </is>
      </c>
      <c r="K4" s="4">
        <f>K2+K3</f>
        <v/>
      </c>
    </row>
    <row r="5" ht="30" customHeight="1">
      <c r="A5" s="7" t="inlineStr">
        <is>
          <t>Job</t>
        </is>
      </c>
      <c r="B5" s="7" t="inlineStr">
        <is>
          <t>Width (in)</t>
        </is>
      </c>
      <c r="C5" s="7" t="inlineStr">
        <is>
          <t>Height (in)</t>
        </is>
      </c>
      <c r="D5" s="7" t="inlineStr">
        <is>
          <t>Qty</t>
        </is>
      </c>
      <c r="E5" s="7" t="inlineStr">
        <is>
          <t>Area per piece (sq ft)</t>
        </is>
      </c>
      <c r="F5" s="7" t="inlineStr">
        <is>
          <t>Line price</t>
        </is>
      </c>
      <c r="G5" s="7" t="inlineStr">
        <is>
          <t>Minimum applied</t>
        </is>
      </c>
      <c r="H5" s="7" t="inlineStr">
        <is>
          <t>Size check</t>
        </is>
      </c>
      <c r="J5" s="3" t="inlineStr">
        <is>
          <t>Lines at the minimum</t>
        </is>
      </c>
      <c r="K5" s="8">
        <f>COUNTIF(G6:G25,"Yes")</f>
        <v/>
      </c>
    </row>
    <row r="6">
      <c r="A6" s="9" t="inlineStr">
        <is>
          <t>Vinyl banner</t>
        </is>
      </c>
      <c r="B6" s="9" t="n">
        <v>36</v>
      </c>
      <c r="C6" s="9" t="n">
        <v>72</v>
      </c>
      <c r="D6" s="9" t="n">
        <v>1</v>
      </c>
      <c r="E6" s="10">
        <f>IF(OR(H6="",H6="Check"),"",ROUND(B6*C6/144,2))</f>
        <v/>
      </c>
      <c r="F6" s="11">
        <f>IF(OR(E6="",$B$4&lt;&gt;"OK"),"",MAX($B$2,ROUND(E6*D6*$B$1,2)))</f>
        <v/>
      </c>
      <c r="G6" s="12">
        <f>IF(F6="","",IF(ROUND(E6*D6*$B$1,2)&lt;$B$2,"Yes","No"))</f>
        <v/>
      </c>
      <c r="H6" s="12">
        <f>IF(A6&amp;B6&amp;C6&amp;D6="","",IF(OR(NOT(ISNUMBER(B6)),NOT(ISNUMBER(C6)),NOT(ISNUMBER(D6))),"Check",IF(OR(B6&lt;=0,C6&lt;=0,D6&lt;=0,D6&lt;&gt;INT(D6)),"Check",IF(B6*C6&lt;36,"Under 36 sq in: feet?","OK"))))</f>
        <v/>
      </c>
      <c r="J6" s="3" t="inlineStr">
        <is>
          <t>Lines priced</t>
        </is>
      </c>
      <c r="K6" s="8">
        <f>COUNT(F6:F25)</f>
        <v/>
      </c>
    </row>
    <row r="7">
      <c r="A7" s="9" t="inlineStr">
        <is>
          <t>Yard signs</t>
        </is>
      </c>
      <c r="B7" s="9" t="n">
        <v>18</v>
      </c>
      <c r="C7" s="9" t="n">
        <v>24</v>
      </c>
      <c r="D7" s="9" t="n">
        <v>10</v>
      </c>
      <c r="E7" s="10">
        <f>IF(OR(H7="",H7="Check"),"",ROUND(B7*C7/144,2))</f>
        <v/>
      </c>
      <c r="F7" s="11">
        <f>IF(OR(E7="",$B$4&lt;&gt;"OK"),"",MAX($B$2,ROUND(E7*D7*$B$1,2)))</f>
        <v/>
      </c>
      <c r="G7" s="12">
        <f>IF(F7="","",IF(ROUND(E7*D7*$B$1,2)&lt;$B$2,"Yes","No"))</f>
        <v/>
      </c>
      <c r="H7" s="12">
        <f>IF(A7&amp;B7&amp;C7&amp;D7="","",IF(OR(NOT(ISNUMBER(B7)),NOT(ISNUMBER(C7)),NOT(ISNUMBER(D7))),"Check",IF(OR(B7&lt;=0,C7&lt;=0,D7&lt;=0,D7&lt;&gt;INT(D7)),"Check",IF(B7*C7&lt;36,"Under 36 sq in: feet?","OK"))))</f>
        <v/>
      </c>
      <c r="J7" s="3" t="inlineStr">
        <is>
          <t>Rows to check</t>
        </is>
      </c>
      <c r="K7" s="8">
        <f>COUNTIF(H6:H25,"Check")</f>
        <v/>
      </c>
    </row>
    <row r="8">
      <c r="A8" s="9" t="inlineStr">
        <is>
          <t>Window decals</t>
        </is>
      </c>
      <c r="B8" s="9" t="n">
        <v>12</v>
      </c>
      <c r="C8" s="9" t="n">
        <v>12</v>
      </c>
      <c r="D8" s="9" t="n">
        <v>2</v>
      </c>
      <c r="E8" s="10">
        <f>IF(OR(H8="",H8="Check"),"",ROUND(B8*C8/144,2))</f>
        <v/>
      </c>
      <c r="F8" s="11">
        <f>IF(OR(E8="",$B$4&lt;&gt;"OK"),"",MAX($B$2,ROUND(E8*D8*$B$1,2)))</f>
        <v/>
      </c>
      <c r="G8" s="12">
        <f>IF(F8="","",IF(ROUND(E8*D8*$B$1,2)&lt;$B$2,"Yes","No"))</f>
        <v/>
      </c>
      <c r="H8" s="12">
        <f>IF(A8&amp;B8&amp;C8&amp;D8="","",IF(OR(NOT(ISNUMBER(B8)),NOT(ISNUMBER(C8)),NOT(ISNUMBER(D8))),"Check",IF(OR(B8&lt;=0,C8&lt;=0,D8&lt;=0,D8&lt;&gt;INT(D8)),"Check",IF(B8*C8&lt;36,"Under 36 sq in: feet?","OK"))))</f>
        <v/>
      </c>
      <c r="J8" s="3" t="inlineStr">
        <is>
          <t>Recomputed: lines above minimum + minimum x lines at it</t>
        </is>
      </c>
      <c r="K8" s="4">
        <f>SUMPRODUCT(--(G6:G25="No"),E6:E25,D6:D25)*B1+B2*K5</f>
        <v/>
      </c>
    </row>
    <row r="9">
      <c r="A9" s="9" t="inlineStr">
        <is>
          <t>Poster</t>
        </is>
      </c>
      <c r="B9" s="9" t="n">
        <v>24</v>
      </c>
      <c r="C9" s="9" t="n">
        <v>36</v>
      </c>
      <c r="D9" s="9" t="n">
        <v>1</v>
      </c>
      <c r="E9" s="10">
        <f>IF(OR(H9="",H9="Check"),"",ROUND(B9*C9/144,2))</f>
        <v/>
      </c>
      <c r="F9" s="11">
        <f>IF(OR(E9="",$B$4&lt;&gt;"OK"),"",MAX($B$2,ROUND(E9*D9*$B$1,2)))</f>
        <v/>
      </c>
      <c r="G9" s="12">
        <f>IF(F9="","",IF(ROUND(E9*D9*$B$1,2)&lt;$B$2,"Yes","No"))</f>
        <v/>
      </c>
      <c r="H9" s="12">
        <f>IF(A9&amp;B9&amp;C9&amp;D9="","",IF(OR(NOT(ISNUMBER(B9)),NOT(ISNUMBER(C9)),NOT(ISNUMBER(D9))),"Check",IF(OR(B9&lt;=0,C9&lt;=0,D9&lt;=0,D9&lt;&gt;INT(D9)),"Check",IF(B9*C9&lt;36,"Under 36 sq in: feet?","OK"))))</f>
        <v/>
      </c>
      <c r="J9" s="3" t="inlineStr">
        <is>
          <t>Check: subtotal = recomputed (half a cent per line)</t>
        </is>
      </c>
      <c r="K9" s="13">
        <f>IF(B4&lt;&gt;"OK","CHECK",IF(ABS(K2-K8)&lt;=0.005*K6+0.000001,"OK","CHECK"))</f>
        <v/>
      </c>
    </row>
    <row r="10">
      <c r="A10" s="9" t="inlineStr">
        <is>
          <t>Canvas prints</t>
        </is>
      </c>
      <c r="B10" s="9" t="n">
        <v>30</v>
      </c>
      <c r="C10" s="9" t="n">
        <v>40</v>
      </c>
      <c r="D10" s="9" t="n">
        <v>2</v>
      </c>
      <c r="E10" s="10">
        <f>IF(OR(H10="",H10="Check"),"",ROUND(B10*C10/144,2))</f>
        <v/>
      </c>
      <c r="F10" s="11">
        <f>IF(OR(E10="",$B$4&lt;&gt;"OK"),"",MAX($B$2,ROUND(E10*D10*$B$1,2)))</f>
        <v/>
      </c>
      <c r="G10" s="12">
        <f>IF(F10="","",IF(ROUND(E10*D10*$B$1,2)&lt;$B$2,"Yes","No"))</f>
        <v/>
      </c>
      <c r="H10" s="12">
        <f>IF(A10&amp;B10&amp;C10&amp;D10="","",IF(OR(NOT(ISNUMBER(B10)),NOT(ISNUMBER(C10)),NOT(ISNUMBER(D10))),"Check",IF(OR(B10&lt;=0,C10&lt;=0,D10&lt;=0,D10&lt;&gt;INT(D10)),"Check",IF(B10*C10&lt;36,"Under 36 sq in: feet?","OK"))))</f>
        <v/>
      </c>
    </row>
    <row r="11">
      <c r="A11" s="9" t="inlineStr">
        <is>
          <t>Table banner</t>
        </is>
      </c>
      <c r="B11" s="9" t="n">
        <v>24</v>
      </c>
      <c r="C11" s="9" t="n">
        <v>60</v>
      </c>
      <c r="D11" s="9" t="n">
        <v>1</v>
      </c>
      <c r="E11" s="10">
        <f>IF(OR(H11="",H11="Check"),"",ROUND(B11*C11/144,2))</f>
        <v/>
      </c>
      <c r="F11" s="11">
        <f>IF(OR(E11="",$B$4&lt;&gt;"OK"),"",MAX($B$2,ROUND(E11*D11*$B$1,2)))</f>
        <v/>
      </c>
      <c r="G11" s="12">
        <f>IF(F11="","",IF(ROUND(E11*D11*$B$1,2)&lt;$B$2,"Yes","No"))</f>
        <v/>
      </c>
      <c r="H11" s="12">
        <f>IF(A11&amp;B11&amp;C11&amp;D11="","",IF(OR(NOT(ISNUMBER(B11)),NOT(ISNUMBER(C11)),NOT(ISNUMBER(D11))),"Check",IF(OR(B11&lt;=0,C11&lt;=0,D11&lt;=0,D11&lt;&gt;INT(D11)),"Check",IF(B11*C11&lt;36,"Under 36 sq in: feet?","OK"))))</f>
        <v/>
      </c>
    </row>
    <row r="12">
      <c r="A12" s="9" t="inlineStr">
        <is>
          <t>Door signs</t>
        </is>
      </c>
      <c r="B12" s="9" t="n">
        <v>11</v>
      </c>
      <c r="C12" s="9" t="n">
        <v>17</v>
      </c>
      <c r="D12" s="9" t="n">
        <v>3</v>
      </c>
      <c r="E12" s="10">
        <f>IF(OR(H12="",H12="Check"),"",ROUND(B12*C12/144,2))</f>
        <v/>
      </c>
      <c r="F12" s="11">
        <f>IF(OR(E12="",$B$4&lt;&gt;"OK"),"",MAX($B$2,ROUND(E12*D12*$B$1,2)))</f>
        <v/>
      </c>
      <c r="G12" s="12">
        <f>IF(F12="","",IF(ROUND(E12*D12*$B$1,2)&lt;$B$2,"Yes","No"))</f>
        <v/>
      </c>
      <c r="H12" s="12">
        <f>IF(A12&amp;B12&amp;C12&amp;D12="","",IF(OR(NOT(ISNUMBER(B12)),NOT(ISNUMBER(C12)),NOT(ISNUMBER(D12))),"Check",IF(OR(B12&lt;=0,C12&lt;=0,D12&lt;=0,D12&lt;&gt;INT(D12)),"Check",IF(B12*C12&lt;36,"Under 36 sq in: feet?","OK"))))</f>
        <v/>
      </c>
    </row>
    <row r="13">
      <c r="A13" s="9" t="inlineStr">
        <is>
          <t>Feather flags</t>
        </is>
      </c>
      <c r="B13" s="9" t="n">
        <v>30</v>
      </c>
      <c r="C13" s="9" t="n">
        <v>96</v>
      </c>
      <c r="D13" s="9" t="n">
        <v>2</v>
      </c>
      <c r="E13" s="10">
        <f>IF(OR(H13="",H13="Check"),"",ROUND(B13*C13/144,2))</f>
        <v/>
      </c>
      <c r="F13" s="11">
        <f>IF(OR(E13="",$B$4&lt;&gt;"OK"),"",MAX($B$2,ROUND(E13*D13*$B$1,2)))</f>
        <v/>
      </c>
      <c r="G13" s="12">
        <f>IF(F13="","",IF(ROUND(E13*D13*$B$1,2)&lt;$B$2,"Yes","No"))</f>
        <v/>
      </c>
      <c r="H13" s="12">
        <f>IF(A13&amp;B13&amp;C13&amp;D13="","",IF(OR(NOT(ISNUMBER(B13)),NOT(ISNUMBER(C13)),NOT(ISNUMBER(D13))),"Check",IF(OR(B13&lt;=0,C13&lt;=0,D13&lt;=0,D13&lt;&gt;INT(D13)),"Check",IF(B13*C13&lt;36,"Under 36 sq in: feet?","OK"))))</f>
        <v/>
      </c>
    </row>
    <row r="14">
      <c r="A14" s="9" t="n"/>
      <c r="B14" s="9" t="n"/>
      <c r="C14" s="9" t="n"/>
      <c r="D14" s="9" t="n"/>
      <c r="E14" s="10">
        <f>IF(OR(H14="",H14="Check"),"",ROUND(B14*C14/144,2))</f>
        <v/>
      </c>
      <c r="F14" s="11">
        <f>IF(OR(E14="",$B$4&lt;&gt;"OK"),"",MAX($B$2,ROUND(E14*D14*$B$1,2)))</f>
        <v/>
      </c>
      <c r="G14" s="12">
        <f>IF(F14="","",IF(ROUND(E14*D14*$B$1,2)&lt;$B$2,"Yes","No"))</f>
        <v/>
      </c>
      <c r="H14" s="12">
        <f>IF(A14&amp;B14&amp;C14&amp;D14="","",IF(OR(NOT(ISNUMBER(B14)),NOT(ISNUMBER(C14)),NOT(ISNUMBER(D14))),"Check",IF(OR(B14&lt;=0,C14&lt;=0,D14&lt;=0,D14&lt;&gt;INT(D14)),"Check",IF(B14*C14&lt;36,"Under 36 sq in: feet?","OK"))))</f>
        <v/>
      </c>
    </row>
    <row r="15">
      <c r="A15" s="9" t="n"/>
      <c r="B15" s="9" t="n"/>
      <c r="C15" s="9" t="n"/>
      <c r="D15" s="9" t="n"/>
      <c r="E15" s="10">
        <f>IF(OR(H15="",H15="Check"),"",ROUND(B15*C15/144,2))</f>
        <v/>
      </c>
      <c r="F15" s="11">
        <f>IF(OR(E15="",$B$4&lt;&gt;"OK"),"",MAX($B$2,ROUND(E15*D15*$B$1,2)))</f>
        <v/>
      </c>
      <c r="G15" s="12">
        <f>IF(F15="","",IF(ROUND(E15*D15*$B$1,2)&lt;$B$2,"Yes","No"))</f>
        <v/>
      </c>
      <c r="H15" s="12">
        <f>IF(A15&amp;B15&amp;C15&amp;D15="","",IF(OR(NOT(ISNUMBER(B15)),NOT(ISNUMBER(C15)),NOT(ISNUMBER(D15))),"Check",IF(OR(B15&lt;=0,C15&lt;=0,D15&lt;=0,D15&lt;&gt;INT(D15)),"Check",IF(B15*C15&lt;36,"Under 36 sq in: feet?","OK"))))</f>
        <v/>
      </c>
    </row>
    <row r="16">
      <c r="A16" s="9" t="n"/>
      <c r="B16" s="9" t="n"/>
      <c r="C16" s="9" t="n"/>
      <c r="D16" s="9" t="n"/>
      <c r="E16" s="10">
        <f>IF(OR(H16="",H16="Check"),"",ROUND(B16*C16/144,2))</f>
        <v/>
      </c>
      <c r="F16" s="11">
        <f>IF(OR(E16="",$B$4&lt;&gt;"OK"),"",MAX($B$2,ROUND(E16*D16*$B$1,2)))</f>
        <v/>
      </c>
      <c r="G16" s="12">
        <f>IF(F16="","",IF(ROUND(E16*D16*$B$1,2)&lt;$B$2,"Yes","No"))</f>
        <v/>
      </c>
      <c r="H16" s="12">
        <f>IF(A16&amp;B16&amp;C16&amp;D16="","",IF(OR(NOT(ISNUMBER(B16)),NOT(ISNUMBER(C16)),NOT(ISNUMBER(D16))),"Check",IF(OR(B16&lt;=0,C16&lt;=0,D16&lt;=0,D16&lt;&gt;INT(D16)),"Check",IF(B16*C16&lt;36,"Under 36 sq in: feet?","OK"))))</f>
        <v/>
      </c>
    </row>
    <row r="17">
      <c r="A17" s="9" t="n"/>
      <c r="B17" s="9" t="n"/>
      <c r="C17" s="9" t="n"/>
      <c r="D17" s="9" t="n"/>
      <c r="E17" s="10">
        <f>IF(OR(H17="",H17="Check"),"",ROUND(B17*C17/144,2))</f>
        <v/>
      </c>
      <c r="F17" s="11">
        <f>IF(OR(E17="",$B$4&lt;&gt;"OK"),"",MAX($B$2,ROUND(E17*D17*$B$1,2)))</f>
        <v/>
      </c>
      <c r="G17" s="12">
        <f>IF(F17="","",IF(ROUND(E17*D17*$B$1,2)&lt;$B$2,"Yes","No"))</f>
        <v/>
      </c>
      <c r="H17" s="12">
        <f>IF(A17&amp;B17&amp;C17&amp;D17="","",IF(OR(NOT(ISNUMBER(B17)),NOT(ISNUMBER(C17)),NOT(ISNUMBER(D17))),"Check",IF(OR(B17&lt;=0,C17&lt;=0,D17&lt;=0,D17&lt;&gt;INT(D17)),"Check",IF(B17*C17&lt;36,"Under 36 sq in: feet?","OK"))))</f>
        <v/>
      </c>
    </row>
    <row r="18">
      <c r="A18" s="9" t="n"/>
      <c r="B18" s="9" t="n"/>
      <c r="C18" s="9" t="n"/>
      <c r="D18" s="9" t="n"/>
      <c r="E18" s="10">
        <f>IF(OR(H18="",H18="Check"),"",ROUND(B18*C18/144,2))</f>
        <v/>
      </c>
      <c r="F18" s="11">
        <f>IF(OR(E18="",$B$4&lt;&gt;"OK"),"",MAX($B$2,ROUND(E18*D18*$B$1,2)))</f>
        <v/>
      </c>
      <c r="G18" s="12">
        <f>IF(F18="","",IF(ROUND(E18*D18*$B$1,2)&lt;$B$2,"Yes","No"))</f>
        <v/>
      </c>
      <c r="H18" s="12">
        <f>IF(A18&amp;B18&amp;C18&amp;D18="","",IF(OR(NOT(ISNUMBER(B18)),NOT(ISNUMBER(C18)),NOT(ISNUMBER(D18))),"Check",IF(OR(B18&lt;=0,C18&lt;=0,D18&lt;=0,D18&lt;&gt;INT(D18)),"Check",IF(B18*C18&lt;36,"Under 36 sq in: feet?","OK"))))</f>
        <v/>
      </c>
    </row>
    <row r="19">
      <c r="A19" s="9" t="n"/>
      <c r="B19" s="9" t="n"/>
      <c r="C19" s="9" t="n"/>
      <c r="D19" s="9" t="n"/>
      <c r="E19" s="10">
        <f>IF(OR(H19="",H19="Check"),"",ROUND(B19*C19/144,2))</f>
        <v/>
      </c>
      <c r="F19" s="11">
        <f>IF(OR(E19="",$B$4&lt;&gt;"OK"),"",MAX($B$2,ROUND(E19*D19*$B$1,2)))</f>
        <v/>
      </c>
      <c r="G19" s="12">
        <f>IF(F19="","",IF(ROUND(E19*D19*$B$1,2)&lt;$B$2,"Yes","No"))</f>
        <v/>
      </c>
      <c r="H19" s="12">
        <f>IF(A19&amp;B19&amp;C19&amp;D19="","",IF(OR(NOT(ISNUMBER(B19)),NOT(ISNUMBER(C19)),NOT(ISNUMBER(D19))),"Check",IF(OR(B19&lt;=0,C19&lt;=0,D19&lt;=0,D19&lt;&gt;INT(D19)),"Check",IF(B19*C19&lt;36,"Under 36 sq in: feet?","OK"))))</f>
        <v/>
      </c>
    </row>
    <row r="20">
      <c r="A20" s="9" t="n"/>
      <c r="B20" s="9" t="n"/>
      <c r="C20" s="9" t="n"/>
      <c r="D20" s="9" t="n"/>
      <c r="E20" s="10">
        <f>IF(OR(H20="",H20="Check"),"",ROUND(B20*C20/144,2))</f>
        <v/>
      </c>
      <c r="F20" s="11">
        <f>IF(OR(E20="",$B$4&lt;&gt;"OK"),"",MAX($B$2,ROUND(E20*D20*$B$1,2)))</f>
        <v/>
      </c>
      <c r="G20" s="12">
        <f>IF(F20="","",IF(ROUND(E20*D20*$B$1,2)&lt;$B$2,"Yes","No"))</f>
        <v/>
      </c>
      <c r="H20" s="12">
        <f>IF(A20&amp;B20&amp;C20&amp;D20="","",IF(OR(NOT(ISNUMBER(B20)),NOT(ISNUMBER(C20)),NOT(ISNUMBER(D20))),"Check",IF(OR(B20&lt;=0,C20&lt;=0,D20&lt;=0,D20&lt;&gt;INT(D20)),"Check",IF(B20*C20&lt;36,"Under 36 sq in: feet?","OK"))))</f>
        <v/>
      </c>
    </row>
    <row r="21">
      <c r="A21" s="9" t="n"/>
      <c r="B21" s="9" t="n"/>
      <c r="C21" s="9" t="n"/>
      <c r="D21" s="9" t="n"/>
      <c r="E21" s="10">
        <f>IF(OR(H21="",H21="Check"),"",ROUND(B21*C21/144,2))</f>
        <v/>
      </c>
      <c r="F21" s="11">
        <f>IF(OR(E21="",$B$4&lt;&gt;"OK"),"",MAX($B$2,ROUND(E21*D21*$B$1,2)))</f>
        <v/>
      </c>
      <c r="G21" s="12">
        <f>IF(F21="","",IF(ROUND(E21*D21*$B$1,2)&lt;$B$2,"Yes","No"))</f>
        <v/>
      </c>
      <c r="H21" s="12">
        <f>IF(A21&amp;B21&amp;C21&amp;D21="","",IF(OR(NOT(ISNUMBER(B21)),NOT(ISNUMBER(C21)),NOT(ISNUMBER(D21))),"Check",IF(OR(B21&lt;=0,C21&lt;=0,D21&lt;=0,D21&lt;&gt;INT(D21)),"Check",IF(B21*C21&lt;36,"Under 36 sq in: feet?","OK"))))</f>
        <v/>
      </c>
    </row>
    <row r="22">
      <c r="A22" s="9" t="n"/>
      <c r="B22" s="9" t="n"/>
      <c r="C22" s="9" t="n"/>
      <c r="D22" s="9" t="n"/>
      <c r="E22" s="10">
        <f>IF(OR(H22="",H22="Check"),"",ROUND(B22*C22/144,2))</f>
        <v/>
      </c>
      <c r="F22" s="11">
        <f>IF(OR(E22="",$B$4&lt;&gt;"OK"),"",MAX($B$2,ROUND(E22*D22*$B$1,2)))</f>
        <v/>
      </c>
      <c r="G22" s="12">
        <f>IF(F22="","",IF(ROUND(E22*D22*$B$1,2)&lt;$B$2,"Yes","No"))</f>
        <v/>
      </c>
      <c r="H22" s="12">
        <f>IF(A22&amp;B22&amp;C22&amp;D22="","",IF(OR(NOT(ISNUMBER(B22)),NOT(ISNUMBER(C22)),NOT(ISNUMBER(D22))),"Check",IF(OR(B22&lt;=0,C22&lt;=0,D22&lt;=0,D22&lt;&gt;INT(D22)),"Check",IF(B22*C22&lt;36,"Under 36 sq in: feet?","OK"))))</f>
        <v/>
      </c>
    </row>
    <row r="23">
      <c r="A23" s="9" t="n"/>
      <c r="B23" s="9" t="n"/>
      <c r="C23" s="9" t="n"/>
      <c r="D23" s="9" t="n"/>
      <c r="E23" s="10">
        <f>IF(OR(H23="",H23="Check"),"",ROUND(B23*C23/144,2))</f>
        <v/>
      </c>
      <c r="F23" s="11">
        <f>IF(OR(E23="",$B$4&lt;&gt;"OK"),"",MAX($B$2,ROUND(E23*D23*$B$1,2)))</f>
        <v/>
      </c>
      <c r="G23" s="12">
        <f>IF(F23="","",IF(ROUND(E23*D23*$B$1,2)&lt;$B$2,"Yes","No"))</f>
        <v/>
      </c>
      <c r="H23" s="12">
        <f>IF(A23&amp;B23&amp;C23&amp;D23="","",IF(OR(NOT(ISNUMBER(B23)),NOT(ISNUMBER(C23)),NOT(ISNUMBER(D23))),"Check",IF(OR(B23&lt;=0,C23&lt;=0,D23&lt;=0,D23&lt;&gt;INT(D23)),"Check",IF(B23*C23&lt;36,"Under 36 sq in: feet?","OK"))))</f>
        <v/>
      </c>
    </row>
    <row r="24">
      <c r="A24" s="9" t="n"/>
      <c r="B24" s="9" t="n"/>
      <c r="C24" s="9" t="n"/>
      <c r="D24" s="9" t="n"/>
      <c r="E24" s="10">
        <f>IF(OR(H24="",H24="Check"),"",ROUND(B24*C24/144,2))</f>
        <v/>
      </c>
      <c r="F24" s="11">
        <f>IF(OR(E24="",$B$4&lt;&gt;"OK"),"",MAX($B$2,ROUND(E24*D24*$B$1,2)))</f>
        <v/>
      </c>
      <c r="G24" s="12">
        <f>IF(F24="","",IF(ROUND(E24*D24*$B$1,2)&lt;$B$2,"Yes","No"))</f>
        <v/>
      </c>
      <c r="H24" s="12">
        <f>IF(A24&amp;B24&amp;C24&amp;D24="","",IF(OR(NOT(ISNUMBER(B24)),NOT(ISNUMBER(C24)),NOT(ISNUMBER(D24))),"Check",IF(OR(B24&lt;=0,C24&lt;=0,D24&lt;=0,D24&lt;&gt;INT(D24)),"Check",IF(B24*C24&lt;36,"Under 36 sq in: feet?","OK"))))</f>
        <v/>
      </c>
    </row>
    <row r="25">
      <c r="A25" s="9" t="n"/>
      <c r="B25" s="9" t="n"/>
      <c r="C25" s="9" t="n"/>
      <c r="D25" s="9" t="n"/>
      <c r="E25" s="10">
        <f>IF(OR(H25="",H25="Check"),"",ROUND(B25*C25/144,2))</f>
        <v/>
      </c>
      <c r="F25" s="11">
        <f>IF(OR(E25="",$B$4&lt;&gt;"OK"),"",MAX($B$2,ROUND(E25*D25*$B$1,2)))</f>
        <v/>
      </c>
      <c r="G25" s="12">
        <f>IF(F25="","",IF(ROUND(E25*D25*$B$1,2)&lt;$B$2,"Yes","No"))</f>
        <v/>
      </c>
      <c r="H25" s="12">
        <f>IF(A25&amp;B25&amp;C25&amp;D25="","",IF(OR(NOT(ISNUMBER(B25)),NOT(ISNUMBER(C25)),NOT(ISNUMBER(D25))),"Check",IF(OR(B25&lt;=0,C25&lt;=0,D25&lt;=0,D25&lt;&gt;INT(D25)),"Check",IF(B25*C25&lt;36,"Under 36 sq in: feet?","OK"))))</f>
        <v/>
      </c>
    </row>
  </sheetData>
  <conditionalFormatting sqref="H6:H25">
    <cfRule type="expression" priority="1" dxfId="0">
      <formula>AND(H6&lt;&gt;"",H6&lt;&gt;"OK")</formula>
    </cfRule>
  </conditionalFormatting>
  <conditionalFormatting sqref="B4">
    <cfRule type="expression" priority="2" dxfId="0">
      <formula>B4&lt;&gt;"OK"</formula>
    </cfRule>
  </conditionalFormatting>
  <conditionalFormatting sqref="K9">
    <cfRule type="expression" priority="3" dxfId="0">
      <formula>K9="CHECK"</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4" t="inlineStr">
        <is>
          <t>Tidy Tabs: Price a Custom Job by Square Foot With a Minimum Charge</t>
        </is>
      </c>
    </row>
    <row r="2">
      <c r="A2" s="3" t="inlineStr"/>
    </row>
    <row r="3">
      <c r="A3" s="3" t="inlineStr">
        <is>
          <t>1. Quote tab: type your rate per square foot in B1, the minimum charge per line in B2 and a setup fee in B3 (yellow). B4 shows OK when the rate is above 0 and all three are numbers.</t>
        </is>
      </c>
    </row>
    <row r="4">
      <c r="A4" s="3" t="inlineStr">
        <is>
          <t>2. Type each job with its width and height in inches and the quantity in A to D (yellow). Rows 6 to 25 have formulas ready.</t>
        </is>
      </c>
    </row>
    <row r="5">
      <c r="A5" s="3" t="inlineStr">
        <is>
          <t>3. Area per piece E6: =ROUND(B6*C6/144,2). There are 144 square inches in a square foot, so 12 x 12 in is 1.00 sq ft and 24 x 36 in is 6.00 sq ft.</t>
        </is>
      </c>
    </row>
    <row r="6">
      <c r="A6" s="3" t="inlineStr">
        <is>
          <t>4. Line price F6: =MAX($B$2,ROUND(E6*D6*$B$1,2)). MAX returns the minimum charge when area x quantity x rate comes to less.</t>
        </is>
      </c>
    </row>
    <row r="7">
      <c r="A7" s="3" t="inlineStr">
        <is>
          <t>5. Minimum applied G6 shows Yes when the minimum raised the price. A line that comes to exactly the minimum shows No (the price is the same either way).</t>
        </is>
      </c>
    </row>
    <row r="8">
      <c r="A8" s="3" t="inlineStr">
        <is>
          <t>6. Size check H6 shows Check when a width, height or quantity is blank, 0, negative, a fraction of a piece, or typed as text. Those rows get no price. Under 36 sq in: feet? warns that a size may have been typed in feet instead of inches (3 x 6 typed for a 3 x 6 ft banner is only 18 square inches); the row is still priced.</t>
        </is>
      </c>
    </row>
    <row r="9">
      <c r="A9" s="3" t="inlineStr">
        <is>
          <t>7. K2 to K4 add the lines and the setup fee (the setup fee is added only when at least one line is priced). K9 recomputes the subtotal another way and shows OK when it matches within half a cent per line and B4 is OK.</t>
        </is>
      </c>
    </row>
    <row r="10">
      <c r="A10" s="3" t="inlineStr">
        <is>
          <t>8. Arithmetic only. Sales tax, discounts and how to set your rate are not included.</t>
        </is>
      </c>
    </row>
    <row r="11">
      <c r="A11" s="3" t="inlineStr"/>
    </row>
    <row r="12">
      <c r="A12" s="3" t="inlineStr">
        <is>
          <t>Shop, jobs and rates are fictional. Checked in LibreOffice Calc only; not opened in Excel or Google Sheets.</t>
        </is>
      </c>
    </row>
    <row r="13">
      <c r="A13" s="3"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2026-10-17T07:35:54Z</dcterms:created>
  <dcterms:modified xsi:type="dcterms:W3CDTF">2026-10-17T07:35:54Z</dcterms:modified>
</cp:coreProperties>
</file>