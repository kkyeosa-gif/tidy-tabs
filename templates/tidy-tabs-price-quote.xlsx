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'Quote'!$1:$1</definedName>
    <definedName name="_xlnm.Print_Area" localSheetId="0">'Quote'!$A$1:$E$23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5">
    <font>
      <name val="Calibri"/>
      <family val="2"/>
      <color theme="1"/>
      <sz val="11"/>
      <scheme val="minor"/>
    </font>
    <font>
      <i val="1"/>
    </font>
    <font>
      <b val="1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2" borderId="0" pivotButton="0" quotePrefix="0" xfId="0"/>
    <xf numFmtId="165" fontId="0" fillId="3" borderId="0" applyAlignment="1" pivotButton="0" quotePrefix="0" xfId="0">
      <alignment horizontal="right"/>
    </xf>
    <xf numFmtId="1" fontId="0" fillId="2" borderId="0" pivotButton="0" quotePrefix="0" xfId="0"/>
    <xf numFmtId="0" fontId="0" fillId="3" borderId="0" applyAlignment="1" pivotButton="0" quotePrefix="0" xfId="0">
      <alignment horizontal="right"/>
    </xf>
    <xf numFmtId="10" fontId="0" fillId="2" borderId="0" pivotButton="0" quotePrefix="0" xfId="0"/>
    <xf numFmtId="0" fontId="3" fillId="4" borderId="0" applyAlignment="1" pivotButton="0" quotePrefix="0" xfId="0">
      <alignment vertical="center" wrapText="1"/>
    </xf>
    <xf numFmtId="0" fontId="0" fillId="2" borderId="0" pivotButton="0" quotePrefix="0" xfId="0"/>
    <xf numFmtId="166" fontId="0" fillId="2" borderId="0" pivotButton="0" quotePrefix="0" xfId="0"/>
    <xf numFmtId="166" fontId="0" fillId="3" borderId="0" pivotButton="0" quotePrefix="0" xfId="0"/>
    <xf numFmtId="166" fontId="2" fillId="3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13" customWidth="1" min="4" max="4"/>
    <col width="14" customWidth="1" min="5" max="5"/>
  </cols>
  <sheetData>
    <row r="1">
      <c r="A1" s="1" t="inlineStr">
        <is>
          <t>Fictional quote. Yellow cells are inputs. The status compares the as-of date (B6) to the valid-until date.</t>
        </is>
      </c>
    </row>
    <row r="2">
      <c r="A2" s="2" t="inlineStr">
        <is>
          <t>Quote date</t>
        </is>
      </c>
      <c r="B2" s="3" t="n">
        <v>46326</v>
      </c>
      <c r="D2" s="2" t="inlineStr">
        <is>
          <t>Valid until</t>
        </is>
      </c>
      <c r="E2" s="4">
        <f>IF(AND(ISNUMBER(B2),ISNUMBER(B3)),B2+B3,"")</f>
        <v/>
      </c>
    </row>
    <row r="3">
      <c r="A3" s="2" t="inlineStr">
        <is>
          <t>Days valid</t>
        </is>
      </c>
      <c r="B3" s="5" t="n">
        <v>30</v>
      </c>
      <c r="D3" s="2" t="inlineStr">
        <is>
          <t>Status</t>
        </is>
      </c>
      <c r="E3" s="6">
        <f>IF(ISNUMBER(E2),IF(AND(ISNUMBER(B6),B6&gt;E2),"Expired","Open"),"")</f>
        <v/>
      </c>
    </row>
    <row r="4">
      <c r="A4" s="2" t="inlineStr">
        <is>
          <t>Discount %</t>
        </is>
      </c>
      <c r="B4" s="7" t="n">
        <v>0.1</v>
      </c>
    </row>
    <row r="5">
      <c r="A5" s="2" t="inlineStr">
        <is>
          <t>Tax rate %</t>
        </is>
      </c>
      <c r="B5" s="7" t="n">
        <v>0.0625</v>
      </c>
    </row>
    <row r="6">
      <c r="A6" s="2" t="inlineStr">
        <is>
          <t>As-of date (type today's date)</t>
        </is>
      </c>
      <c r="B6" s="3" t="n">
        <v>46341</v>
      </c>
    </row>
    <row r="7" ht="22" customHeight="1">
      <c r="A7" s="8" t="inlineStr">
        <is>
          <t>Item</t>
        </is>
      </c>
      <c r="B7" s="8" t="inlineStr">
        <is>
          <t>Unit</t>
        </is>
      </c>
      <c r="C7" s="8" t="inlineStr">
        <is>
          <t>Qty</t>
        </is>
      </c>
      <c r="D7" s="8" t="inlineStr">
        <is>
          <t>Unit price</t>
        </is>
      </c>
      <c r="E7" s="8" t="inlineStr">
        <is>
          <t>Amount</t>
        </is>
      </c>
    </row>
    <row r="8">
      <c r="A8" s="9" t="inlineStr">
        <is>
          <t>Headshot session, 1 hour</t>
        </is>
      </c>
      <c r="B8" s="9" t="inlineStr">
        <is>
          <t>session</t>
        </is>
      </c>
      <c r="C8" s="9" t="n">
        <v>1</v>
      </c>
      <c r="D8" s="10" t="n">
        <v>150</v>
      </c>
      <c r="E8" s="11">
        <f>IF(AND(ISNUMBER(C8),ISNUMBER(D8)),ROUND(C8*D8,2),"")</f>
        <v/>
      </c>
    </row>
    <row r="9">
      <c r="A9" s="9" t="inlineStr">
        <is>
          <t>Edited digital photos</t>
        </is>
      </c>
      <c r="B9" s="9" t="inlineStr">
        <is>
          <t>photo</t>
        </is>
      </c>
      <c r="C9" s="9" t="n">
        <v>12</v>
      </c>
      <c r="D9" s="10" t="n">
        <v>18</v>
      </c>
      <c r="E9" s="11">
        <f>IF(AND(ISNUMBER(C9),ISNUMBER(D9)),ROUND(C9*D9,2),"")</f>
        <v/>
      </c>
    </row>
    <row r="10">
      <c r="A10" s="9" t="inlineStr">
        <is>
          <t>Prints, 8 x 10 in</t>
        </is>
      </c>
      <c r="B10" s="9" t="inlineStr">
        <is>
          <t>print</t>
        </is>
      </c>
      <c r="C10" s="9" t="n">
        <v>6</v>
      </c>
      <c r="D10" s="10" t="n">
        <v>12.5</v>
      </c>
      <c r="E10" s="11">
        <f>IF(AND(ISNUMBER(C10),ISNUMBER(D10)),ROUND(C10*D10,2),"")</f>
        <v/>
      </c>
    </row>
    <row r="11">
      <c r="A11" s="9" t="inlineStr">
        <is>
          <t>Canvas wrap, 16 x 20 in</t>
        </is>
      </c>
      <c r="B11" s="9" t="inlineStr">
        <is>
          <t>each</t>
        </is>
      </c>
      <c r="C11" s="9" t="n">
        <v>1</v>
      </c>
      <c r="D11" s="10" t="n">
        <v>89</v>
      </c>
      <c r="E11" s="11">
        <f>IF(AND(ISNUMBER(C11),ISNUMBER(D11)),ROUND(C11*D11,2),"")</f>
        <v/>
      </c>
    </row>
    <row r="12">
      <c r="A12" s="9" t="inlineStr">
        <is>
          <t>Travel to Boston, MA 02108</t>
        </is>
      </c>
      <c r="B12" s="9" t="inlineStr">
        <is>
          <t>trip</t>
        </is>
      </c>
      <c r="C12" s="9" t="n">
        <v>1</v>
      </c>
      <c r="D12" s="10" t="n">
        <v>35</v>
      </c>
      <c r="E12" s="11">
        <f>IF(AND(ISNUMBER(C12),ISNUMBER(D12)),ROUND(C12*D12,2),"")</f>
        <v/>
      </c>
    </row>
    <row r="13">
      <c r="A13" s="9" t="inlineStr">
        <is>
          <t>Rush delivery, 48 hours</t>
        </is>
      </c>
      <c r="B13" s="9" t="inlineStr">
        <is>
          <t>flat</t>
        </is>
      </c>
      <c r="C13" s="9" t="n">
        <v>1</v>
      </c>
      <c r="D13" s="10" t="n">
        <v>25</v>
      </c>
      <c r="E13" s="11">
        <f>IF(AND(ISNUMBER(C13),ISNUMBER(D13)),ROUND(C13*D13,2),"")</f>
        <v/>
      </c>
    </row>
    <row r="14">
      <c r="A14" s="9" t="n"/>
      <c r="B14" s="9" t="n"/>
      <c r="C14" s="9" t="n"/>
      <c r="D14" s="10" t="n"/>
      <c r="E14" s="11">
        <f>IF(AND(ISNUMBER(C14),ISNUMBER(D14)),ROUND(C14*D14,2),"")</f>
        <v/>
      </c>
    </row>
    <row r="15">
      <c r="A15" s="9" t="n"/>
      <c r="B15" s="9" t="n"/>
      <c r="C15" s="9" t="n"/>
      <c r="D15" s="10" t="n"/>
      <c r="E15" s="11">
        <f>IF(AND(ISNUMBER(C15),ISNUMBER(D15)),ROUND(C15*D15,2),"")</f>
        <v/>
      </c>
    </row>
    <row r="16">
      <c r="A16" s="9" t="n"/>
      <c r="B16" s="9" t="n"/>
      <c r="C16" s="9" t="n"/>
      <c r="D16" s="10" t="n"/>
      <c r="E16" s="11">
        <f>IF(AND(ISNUMBER(C16),ISNUMBER(D16)),ROUND(C16*D16,2),"")</f>
        <v/>
      </c>
    </row>
    <row r="17">
      <c r="A17" s="9" t="n"/>
      <c r="B17" s="9" t="n"/>
      <c r="C17" s="9" t="n"/>
      <c r="D17" s="10" t="n"/>
      <c r="E17" s="11">
        <f>IF(AND(ISNUMBER(C17),ISNUMBER(D17)),ROUND(C17*D17,2),"")</f>
        <v/>
      </c>
    </row>
    <row r="19">
      <c r="D19" s="2" t="inlineStr">
        <is>
          <t>Subtotal</t>
        </is>
      </c>
      <c r="E19" s="11">
        <f>SUM(E8:E17)</f>
        <v/>
      </c>
    </row>
    <row r="20">
      <c r="D20" s="2" t="inlineStr">
        <is>
          <t>Discount</t>
        </is>
      </c>
      <c r="E20" s="11">
        <f>ROUND(E19*B4,2)</f>
        <v/>
      </c>
    </row>
    <row r="21">
      <c r="D21" s="2" t="inlineStr">
        <is>
          <t>Tax</t>
        </is>
      </c>
      <c r="E21" s="11">
        <f>ROUND((E19-E20)*B5,2)</f>
        <v/>
      </c>
    </row>
    <row r="22">
      <c r="D22" s="2" t="inlineStr">
        <is>
          <t>Total</t>
        </is>
      </c>
      <c r="E22" s="12">
        <f>E19-E20+E21</f>
        <v/>
      </c>
    </row>
    <row r="23">
      <c r="D23" s="2" t="inlineStr">
        <is>
          <t>CHECK</t>
        </is>
      </c>
      <c r="E23" s="6">
        <f>IF(AND(ISNUMBER(B2),ISNUMBER(B3),B3&gt;=0,ISNUMBER(B4),B4&gt;=0,B4&lt;=1,ISNUMBER(B5),B5&gt;=0,SUMPRODUCT((A8:A17&lt;&gt;"")*(1-ISNUMBER(E8:E17)))=0,COUNTIF(C8:C17,"&lt;0")=0,ROUND(E22-(SUM(E8:E17)-E20+E21),2)=0,E22&gt;=0),"OK","CHECK")</f>
        <v/>
      </c>
    </row>
  </sheetData>
  <conditionalFormatting sqref="E23">
    <cfRule type="expression" priority="1" dxfId="0">
      <formula>AND(E23&lt;&gt;"OK",E23&lt;&gt;"")</formula>
    </cfRule>
  </conditionalFormatting>
  <conditionalFormatting sqref="E3">
    <cfRule type="expression" priority="2" dxfId="0">
      <formula>$E$3="Expired"</formula>
    </cfRule>
  </conditionalFormatting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Tidy Tabs: Price Quote With a Valid-Until Date</t>
        </is>
      </c>
    </row>
    <row r="2">
      <c r="A2" s="14" t="inlineStr"/>
    </row>
    <row r="3">
      <c r="A3" s="14" t="inlineStr">
        <is>
          <t>1. Quote tab, yellow cells: quote date B2, days valid B3, discount % B4, tax rate % B5, and an as-of date B6. All sample numbers and the 6 lines are fictional.</t>
        </is>
      </c>
    </row>
    <row r="4">
      <c r="A4" s="14" t="inlineStr">
        <is>
          <t>2. Type the as-of date on purpose, or type =TODAY() in B6 to make the status live.</t>
        </is>
      </c>
    </row>
    <row r="5">
      <c r="A5" s="14" t="inlineStr">
        <is>
          <t>3. Valid until, E2: =B2+B3. Status, E3: =IF(B6&gt;E2,"Expired","Open"), so the quote is still Open on the valid-until date itself.</t>
        </is>
      </c>
    </row>
    <row r="6">
      <c r="A6" s="14" t="inlineStr">
        <is>
          <t>4. Line amount, E8: =ROUND(C8*D8,2). A row with no qty or price stays blank. Lines go in rows 8 to 17.</t>
        </is>
      </c>
    </row>
    <row r="7">
      <c r="A7" s="14" t="inlineStr">
        <is>
          <t>5. Subtotal E19: =SUM(E8:E17). Discount E20: =ROUND(E19*B4,2). Tax E21: =ROUND((E19-E20)*B5,2). Total E22: =E19-E20+E21.</t>
        </is>
      </c>
    </row>
    <row r="8">
      <c r="A8" s="14" t="inlineStr">
        <is>
          <t>6. CHECK, E23, shows CHECK when a described line has no qty or price, a qty is negative, the discount is outside 0% to 100%, or a setting is not a number.</t>
        </is>
      </c>
    </row>
    <row r="9">
      <c r="A9" s="14" t="inlineStr">
        <is>
          <t>7. Tax rate is whatever you type. This sheet does only arithmetic; check your own tax and pricing rules separately.</t>
        </is>
      </c>
    </row>
    <row r="10">
      <c r="A10" s="14" t="inlineStr"/>
    </row>
    <row r="11">
      <c r="A11" s="14" t="inlineStr">
        <is>
          <t>Checked in LibreOffice Calc only; not opened in Excel or Google Sheets.</t>
        </is>
      </c>
    </row>
    <row r="12">
      <c r="A12" s="14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2026-10-31T07:30:11Z</dcterms:created>
  <dcterms:modified xmlns:dcterms="http://purl.org/dc/terms/" xmlns:xsi="http://www.w3.org/2001/XMLSchema-instance" xsi:type="dcterms:W3CDTF">2026-10-31T07:30:11Z</dcterms:modified>
</cp:coreProperties>
</file>