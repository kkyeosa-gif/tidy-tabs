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>
    <definedName name="_xlnm.Print_Titles" localSheetId="0">'Price list'!$1:$1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9" customWidth="1" min="10" max="10"/>
    <col width="12" customWidth="1" min="11" max="11"/>
    <col width="14" customWidth="1" min="12" max="12"/>
    <col width="10" customWidth="1" min="13" max="13"/>
    <col width="13" customWidth="1" min="14" max="14"/>
  </cols>
  <sheetData>
    <row r="1" ht="30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Size</t>
        </is>
      </c>
      <c r="E1" s="1" t="inlineStr">
        <is>
          <t>Color</t>
        </is>
      </c>
      <c r="F1" s="1" t="inlineStr">
        <is>
          <t>Unit cost</t>
        </is>
      </c>
      <c r="G1" s="1" t="inlineStr">
        <is>
          <t>Wholesale</t>
        </is>
      </c>
      <c r="H1" s="1" t="inlineStr">
        <is>
          <t>Retail</t>
        </is>
      </c>
      <c r="I1" s="1" t="inlineStr">
        <is>
          <t>Margin %</t>
        </is>
      </c>
      <c r="J1" s="1" t="inlineStr">
        <is>
          <t>On hand</t>
        </is>
      </c>
      <c r="K1" s="1" t="inlineStr">
        <is>
          <t>Reorder at</t>
        </is>
      </c>
      <c r="L1" s="1" t="inlineStr">
        <is>
          <t>Supplier</t>
        </is>
      </c>
      <c r="M1" s="1" t="inlineStr">
        <is>
          <t>Lead time (days)</t>
        </is>
      </c>
      <c r="N1" s="1" t="inlineStr">
        <is>
          <t>Last ordered</t>
        </is>
      </c>
    </row>
    <row r="2">
      <c r="A2" t="inlineStr">
        <is>
          <t>ITM-001</t>
        </is>
      </c>
      <c r="B2" t="inlineStr">
        <is>
          <t>Sample product 1</t>
        </is>
      </c>
      <c r="C2" t="inlineStr">
        <is>
          <t>Soap</t>
        </is>
      </c>
      <c r="D2" t="inlineStr">
        <is>
          <t>8 oz</t>
        </is>
      </c>
      <c r="E2" t="inlineStr">
        <is>
          <t>Sage</t>
        </is>
      </c>
      <c r="F2" s="2" t="n">
        <v>2.15</v>
      </c>
      <c r="G2" s="2">
        <f>ROUND(F2*2,2)</f>
        <v/>
      </c>
      <c r="H2" s="2">
        <f>ROUND(F2*3.5,2)</f>
        <v/>
      </c>
      <c r="I2" s="3">
        <f>(H2-F2)/H2</f>
        <v/>
      </c>
      <c r="J2" t="n">
        <v>17</v>
      </c>
      <c r="K2" t="n">
        <v>15</v>
      </c>
      <c r="L2" t="inlineStr">
        <is>
          <t>Supplier B</t>
        </is>
      </c>
      <c r="M2" t="n">
        <v>14</v>
      </c>
      <c r="N2" s="4" t="n">
        <v>46236</v>
      </c>
    </row>
    <row r="3">
      <c r="A3" t="inlineStr">
        <is>
          <t>ITM-002</t>
        </is>
      </c>
      <c r="B3" t="inlineStr">
        <is>
          <t>Sample product 2</t>
        </is>
      </c>
      <c r="C3" t="inlineStr">
        <is>
          <t>Cards</t>
        </is>
      </c>
      <c r="D3" t="inlineStr">
        <is>
          <t>12 oz</t>
        </is>
      </c>
      <c r="E3" t="inlineStr">
        <is>
          <t>Navy</t>
        </is>
      </c>
      <c r="F3" s="2" t="n">
        <v>2.8</v>
      </c>
      <c r="G3" s="2">
        <f>ROUND(F3*2,2)</f>
        <v/>
      </c>
      <c r="H3" s="2">
        <f>ROUND(F3*4.0,2)</f>
        <v/>
      </c>
      <c r="I3" s="3">
        <f>(H3-F3)/H3</f>
        <v/>
      </c>
      <c r="J3" t="n">
        <v>24</v>
      </c>
      <c r="K3" t="n">
        <v>15</v>
      </c>
      <c r="L3" t="inlineStr">
        <is>
          <t>Supplier C</t>
        </is>
      </c>
      <c r="M3" t="n">
        <v>21</v>
      </c>
      <c r="N3" s="4" t="n">
        <v>46237</v>
      </c>
    </row>
    <row r="4">
      <c r="A4" t="inlineStr">
        <is>
          <t>ITM-003</t>
        </is>
      </c>
      <c r="B4" t="inlineStr">
        <is>
          <t>Sample product 3</t>
        </is>
      </c>
      <c r="C4" t="inlineStr">
        <is>
          <t>Jewelry</t>
        </is>
      </c>
      <c r="D4" t="inlineStr">
        <is>
          <t>4 oz</t>
        </is>
      </c>
      <c r="E4" t="inlineStr">
        <is>
          <t>Rust</t>
        </is>
      </c>
      <c r="F4" s="2" t="n">
        <v>3.45</v>
      </c>
      <c r="G4" s="2">
        <f>ROUND(F4*2,2)</f>
        <v/>
      </c>
      <c r="H4" s="2">
        <f>ROUND(F4*3.0,2)</f>
        <v/>
      </c>
      <c r="I4" s="3">
        <f>(H4-F4)/H4</f>
        <v/>
      </c>
      <c r="J4" t="n">
        <v>31</v>
      </c>
      <c r="K4" t="n">
        <v>15</v>
      </c>
      <c r="L4" t="inlineStr">
        <is>
          <t>Supplier D</t>
        </is>
      </c>
      <c r="M4" t="n">
        <v>28</v>
      </c>
      <c r="N4" s="4" t="n">
        <v>46238</v>
      </c>
    </row>
    <row r="5">
      <c r="A5" t="inlineStr">
        <is>
          <t>ITM-004</t>
        </is>
      </c>
      <c r="B5" t="inlineStr">
        <is>
          <t>Sample product 4</t>
        </is>
      </c>
      <c r="C5" t="inlineStr">
        <is>
          <t>Candles</t>
        </is>
      </c>
      <c r="D5" t="inlineStr">
        <is>
          <t>8 oz</t>
        </is>
      </c>
      <c r="E5" t="inlineStr">
        <is>
          <t>Cream</t>
        </is>
      </c>
      <c r="F5" s="2" t="n">
        <v>4.1</v>
      </c>
      <c r="G5" s="2">
        <f>ROUND(F5*2,2)</f>
        <v/>
      </c>
      <c r="H5" s="2">
        <f>ROUND(F5*3.5,2)</f>
        <v/>
      </c>
      <c r="I5" s="3">
        <f>(H5-F5)/H5</f>
        <v/>
      </c>
      <c r="J5" t="n">
        <v>38</v>
      </c>
      <c r="K5" t="n">
        <v>15</v>
      </c>
      <c r="L5" t="inlineStr">
        <is>
          <t>Supplier E</t>
        </is>
      </c>
      <c r="M5" t="n">
        <v>7</v>
      </c>
      <c r="N5" s="4" t="n">
        <v>46239</v>
      </c>
    </row>
    <row r="6">
      <c r="A6" t="inlineStr">
        <is>
          <t>ITM-005</t>
        </is>
      </c>
      <c r="B6" t="inlineStr">
        <is>
          <t>Sample product 5</t>
        </is>
      </c>
      <c r="C6" t="inlineStr">
        <is>
          <t>Soap</t>
        </is>
      </c>
      <c r="D6" t="inlineStr">
        <is>
          <t>12 oz</t>
        </is>
      </c>
      <c r="E6" t="inlineStr">
        <is>
          <t>Natural</t>
        </is>
      </c>
      <c r="F6" s="2" t="n">
        <v>4.75</v>
      </c>
      <c r="G6" s="2">
        <f>ROUND(F6*2,2)</f>
        <v/>
      </c>
      <c r="H6" s="2">
        <f>ROUND(F6*4.0,2)</f>
        <v/>
      </c>
      <c r="I6" s="3">
        <f>(H6-F6)/H6</f>
        <v/>
      </c>
      <c r="J6" t="n">
        <v>45</v>
      </c>
      <c r="K6" t="n">
        <v>15</v>
      </c>
      <c r="L6" t="inlineStr">
        <is>
          <t>Supplier F</t>
        </is>
      </c>
      <c r="M6" t="n">
        <v>14</v>
      </c>
      <c r="N6" s="4" t="n">
        <v>46240</v>
      </c>
    </row>
    <row r="7">
      <c r="A7" t="inlineStr">
        <is>
          <t>ITM-006</t>
        </is>
      </c>
      <c r="B7" t="inlineStr">
        <is>
          <t>Sample product 6</t>
        </is>
      </c>
      <c r="C7" t="inlineStr">
        <is>
          <t>Cards</t>
        </is>
      </c>
      <c r="D7" t="inlineStr">
        <is>
          <t>4 oz</t>
        </is>
      </c>
      <c r="E7" t="inlineStr">
        <is>
          <t>Sage</t>
        </is>
      </c>
      <c r="F7" s="2" t="n">
        <v>5.4</v>
      </c>
      <c r="G7" s="2">
        <f>ROUND(F7*2,2)</f>
        <v/>
      </c>
      <c r="H7" s="2">
        <f>ROUND(F7*3.0,2)</f>
        <v/>
      </c>
      <c r="I7" s="3">
        <f>(H7-F7)/H7</f>
        <v/>
      </c>
      <c r="J7" t="n">
        <v>52</v>
      </c>
      <c r="K7" t="n">
        <v>15</v>
      </c>
      <c r="L7" t="inlineStr">
        <is>
          <t>Supplier A</t>
        </is>
      </c>
      <c r="M7" t="n">
        <v>21</v>
      </c>
      <c r="N7" s="4" t="n">
        <v>46241</v>
      </c>
    </row>
    <row r="8">
      <c r="A8" t="inlineStr">
        <is>
          <t>ITM-007</t>
        </is>
      </c>
      <c r="B8" t="inlineStr">
        <is>
          <t>Sample product 7</t>
        </is>
      </c>
      <c r="C8" t="inlineStr">
        <is>
          <t>Jewelry</t>
        </is>
      </c>
      <c r="D8" t="inlineStr">
        <is>
          <t>8 oz</t>
        </is>
      </c>
      <c r="E8" t="inlineStr">
        <is>
          <t>Navy</t>
        </is>
      </c>
      <c r="F8" s="2" t="n">
        <v>1.5</v>
      </c>
      <c r="G8" s="2">
        <f>ROUND(F8*2,2)</f>
        <v/>
      </c>
      <c r="H8" s="2">
        <f>ROUND(F8*3.5,2)</f>
        <v/>
      </c>
      <c r="I8" s="3">
        <f>(H8-F8)/H8</f>
        <v/>
      </c>
      <c r="J8" t="n">
        <v>59</v>
      </c>
      <c r="K8" t="n">
        <v>15</v>
      </c>
      <c r="L8" t="inlineStr">
        <is>
          <t>Supplier B</t>
        </is>
      </c>
      <c r="M8" t="n">
        <v>28</v>
      </c>
      <c r="N8" s="4" t="n">
        <v>46242</v>
      </c>
    </row>
    <row r="9">
      <c r="A9" t="inlineStr">
        <is>
          <t>ITM-008</t>
        </is>
      </c>
      <c r="B9" t="inlineStr">
        <is>
          <t>Sample product 8</t>
        </is>
      </c>
      <c r="C9" t="inlineStr">
        <is>
          <t>Candles</t>
        </is>
      </c>
      <c r="D9" t="inlineStr">
        <is>
          <t>12 oz</t>
        </is>
      </c>
      <c r="E9" t="inlineStr">
        <is>
          <t>Rust</t>
        </is>
      </c>
      <c r="F9" s="2" t="n">
        <v>2.15</v>
      </c>
      <c r="G9" s="2">
        <f>ROUND(F9*2,2)</f>
        <v/>
      </c>
      <c r="H9" s="2">
        <f>ROUND(F9*4.0,2)</f>
        <v/>
      </c>
      <c r="I9" s="3">
        <f>(H9-F9)/H9</f>
        <v/>
      </c>
      <c r="J9" t="n">
        <v>16</v>
      </c>
      <c r="K9" t="n">
        <v>15</v>
      </c>
      <c r="L9" t="inlineStr">
        <is>
          <t>Supplier C</t>
        </is>
      </c>
      <c r="M9" t="n">
        <v>7</v>
      </c>
      <c r="N9" s="4" t="n">
        <v>46243</v>
      </c>
    </row>
    <row r="10">
      <c r="A10" t="inlineStr">
        <is>
          <t>ITM-009</t>
        </is>
      </c>
      <c r="B10" t="inlineStr">
        <is>
          <t>Sample product 9</t>
        </is>
      </c>
      <c r="C10" t="inlineStr">
        <is>
          <t>Soap</t>
        </is>
      </c>
      <c r="D10" t="inlineStr">
        <is>
          <t>4 oz</t>
        </is>
      </c>
      <c r="E10" t="inlineStr">
        <is>
          <t>Cream</t>
        </is>
      </c>
      <c r="F10" s="2" t="n">
        <v>2.8</v>
      </c>
      <c r="G10" s="2">
        <f>ROUND(F10*2,2)</f>
        <v/>
      </c>
      <c r="H10" s="2">
        <f>ROUND(F10*3.0,2)</f>
        <v/>
      </c>
      <c r="I10" s="3">
        <f>(H10-F10)/H10</f>
        <v/>
      </c>
      <c r="J10" t="n">
        <v>23</v>
      </c>
      <c r="K10" t="n">
        <v>15</v>
      </c>
      <c r="L10" t="inlineStr">
        <is>
          <t>Supplier D</t>
        </is>
      </c>
      <c r="M10" t="n">
        <v>14</v>
      </c>
      <c r="N10" s="4" t="n">
        <v>46244</v>
      </c>
    </row>
    <row r="11">
      <c r="A11" t="inlineStr">
        <is>
          <t>ITM-010</t>
        </is>
      </c>
      <c r="B11" t="inlineStr">
        <is>
          <t>Sample product 10</t>
        </is>
      </c>
      <c r="C11" t="inlineStr">
        <is>
          <t>Cards</t>
        </is>
      </c>
      <c r="D11" t="inlineStr">
        <is>
          <t>8 oz</t>
        </is>
      </c>
      <c r="E11" t="inlineStr">
        <is>
          <t>Natural</t>
        </is>
      </c>
      <c r="F11" s="2" t="n">
        <v>3.45</v>
      </c>
      <c r="G11" s="2">
        <f>ROUND(F11*2,2)</f>
        <v/>
      </c>
      <c r="H11" s="2">
        <f>ROUND(F11*3.5,2)</f>
        <v/>
      </c>
      <c r="I11" s="3">
        <f>(H11-F11)/H11</f>
        <v/>
      </c>
      <c r="J11" t="n">
        <v>30</v>
      </c>
      <c r="K11" t="n">
        <v>15</v>
      </c>
      <c r="L11" t="inlineStr">
        <is>
          <t>Supplier E</t>
        </is>
      </c>
      <c r="M11" t="n">
        <v>21</v>
      </c>
      <c r="N11" s="4" t="n">
        <v>46245</v>
      </c>
    </row>
    <row r="12">
      <c r="A12" t="inlineStr">
        <is>
          <t>ITM-011</t>
        </is>
      </c>
      <c r="B12" t="inlineStr">
        <is>
          <t>Sample product 11</t>
        </is>
      </c>
      <c r="C12" t="inlineStr">
        <is>
          <t>Jewelry</t>
        </is>
      </c>
      <c r="D12" t="inlineStr">
        <is>
          <t>12 oz</t>
        </is>
      </c>
      <c r="E12" t="inlineStr">
        <is>
          <t>Sage</t>
        </is>
      </c>
      <c r="F12" s="2" t="n">
        <v>4.1</v>
      </c>
      <c r="G12" s="2">
        <f>ROUND(F12*2,2)</f>
        <v/>
      </c>
      <c r="H12" s="2">
        <f>ROUND(F12*4.0,2)</f>
        <v/>
      </c>
      <c r="I12" s="3">
        <f>(H12-F12)/H12</f>
        <v/>
      </c>
      <c r="J12" t="n">
        <v>37</v>
      </c>
      <c r="K12" t="n">
        <v>15</v>
      </c>
      <c r="L12" t="inlineStr">
        <is>
          <t>Supplier F</t>
        </is>
      </c>
      <c r="M12" t="n">
        <v>28</v>
      </c>
      <c r="N12" s="4" t="n">
        <v>46246</v>
      </c>
    </row>
    <row r="13">
      <c r="A13" t="inlineStr">
        <is>
          <t>ITM-012</t>
        </is>
      </c>
      <c r="B13" t="inlineStr">
        <is>
          <t>Sample product 12</t>
        </is>
      </c>
      <c r="C13" t="inlineStr">
        <is>
          <t>Candles</t>
        </is>
      </c>
      <c r="D13" t="inlineStr">
        <is>
          <t>4 oz</t>
        </is>
      </c>
      <c r="E13" t="inlineStr">
        <is>
          <t>Navy</t>
        </is>
      </c>
      <c r="F13" s="2" t="n">
        <v>4.75</v>
      </c>
      <c r="G13" s="2">
        <f>ROUND(F13*2,2)</f>
        <v/>
      </c>
      <c r="H13" s="2">
        <f>ROUND(F13*3.0,2)</f>
        <v/>
      </c>
      <c r="I13" s="3">
        <f>(H13-F13)/H13</f>
        <v/>
      </c>
      <c r="J13" t="n">
        <v>44</v>
      </c>
      <c r="K13" t="n">
        <v>15</v>
      </c>
      <c r="L13" t="inlineStr">
        <is>
          <t>Supplier A</t>
        </is>
      </c>
      <c r="M13" t="n">
        <v>7</v>
      </c>
      <c r="N13" s="4" t="n">
        <v>46247</v>
      </c>
    </row>
    <row r="14">
      <c r="A14" t="inlineStr">
        <is>
          <t>ITM-013</t>
        </is>
      </c>
      <c r="B14" t="inlineStr">
        <is>
          <t>Sample product 13</t>
        </is>
      </c>
      <c r="C14" t="inlineStr">
        <is>
          <t>Soap</t>
        </is>
      </c>
      <c r="D14" t="inlineStr">
        <is>
          <t>8 oz</t>
        </is>
      </c>
      <c r="E14" t="inlineStr">
        <is>
          <t>Rust</t>
        </is>
      </c>
      <c r="F14" s="2" t="n">
        <v>5.4</v>
      </c>
      <c r="G14" s="2">
        <f>ROUND(F14*2,2)</f>
        <v/>
      </c>
      <c r="H14" s="2">
        <f>ROUND(F14*3.5,2)</f>
        <v/>
      </c>
      <c r="I14" s="3">
        <f>(H14-F14)/H14</f>
        <v/>
      </c>
      <c r="J14" t="n">
        <v>51</v>
      </c>
      <c r="K14" t="n">
        <v>15</v>
      </c>
      <c r="L14" t="inlineStr">
        <is>
          <t>Supplier B</t>
        </is>
      </c>
      <c r="M14" t="n">
        <v>14</v>
      </c>
      <c r="N14" s="4" t="n">
        <v>46248</v>
      </c>
    </row>
    <row r="15">
      <c r="A15" t="inlineStr">
        <is>
          <t>ITM-014</t>
        </is>
      </c>
      <c r="B15" t="inlineStr">
        <is>
          <t>Sample product 14</t>
        </is>
      </c>
      <c r="C15" t="inlineStr">
        <is>
          <t>Cards</t>
        </is>
      </c>
      <c r="D15" t="inlineStr">
        <is>
          <t>12 oz</t>
        </is>
      </c>
      <c r="E15" t="inlineStr">
        <is>
          <t>Cream</t>
        </is>
      </c>
      <c r="F15" s="2" t="n">
        <v>1.5</v>
      </c>
      <c r="G15" s="2">
        <f>ROUND(F15*2,2)</f>
        <v/>
      </c>
      <c r="H15" s="2">
        <f>ROUND(F15*4.0,2)</f>
        <v/>
      </c>
      <c r="I15" s="3">
        <f>(H15-F15)/H15</f>
        <v/>
      </c>
      <c r="J15" t="n">
        <v>58</v>
      </c>
      <c r="K15" t="n">
        <v>15</v>
      </c>
      <c r="L15" t="inlineStr">
        <is>
          <t>Supplier C</t>
        </is>
      </c>
      <c r="M15" t="n">
        <v>21</v>
      </c>
      <c r="N15" s="4" t="n">
        <v>46249</v>
      </c>
    </row>
    <row r="16">
      <c r="A16" t="inlineStr">
        <is>
          <t>ITM-015</t>
        </is>
      </c>
      <c r="B16" t="inlineStr">
        <is>
          <t>Sample product 15</t>
        </is>
      </c>
      <c r="C16" t="inlineStr">
        <is>
          <t>Jewelry</t>
        </is>
      </c>
      <c r="D16" t="inlineStr">
        <is>
          <t>4 oz</t>
        </is>
      </c>
      <c r="E16" t="inlineStr">
        <is>
          <t>Natural</t>
        </is>
      </c>
      <c r="F16" s="2" t="n">
        <v>2.15</v>
      </c>
      <c r="G16" s="2">
        <f>ROUND(F16*2,2)</f>
        <v/>
      </c>
      <c r="H16" s="2">
        <f>ROUND(F16*3.0,2)</f>
        <v/>
      </c>
      <c r="I16" s="3">
        <f>(H16-F16)/H16</f>
        <v/>
      </c>
      <c r="J16" t="n">
        <v>15</v>
      </c>
      <c r="K16" t="n">
        <v>15</v>
      </c>
      <c r="L16" t="inlineStr">
        <is>
          <t>Supplier D</t>
        </is>
      </c>
      <c r="M16" t="n">
        <v>28</v>
      </c>
      <c r="N16" s="4" t="n">
        <v>46250</v>
      </c>
    </row>
    <row r="17">
      <c r="A17" t="inlineStr">
        <is>
          <t>ITM-016</t>
        </is>
      </c>
      <c r="B17" t="inlineStr">
        <is>
          <t>Sample product 16</t>
        </is>
      </c>
      <c r="C17" t="inlineStr">
        <is>
          <t>Candles</t>
        </is>
      </c>
      <c r="D17" t="inlineStr">
        <is>
          <t>8 oz</t>
        </is>
      </c>
      <c r="E17" t="inlineStr">
        <is>
          <t>Sage</t>
        </is>
      </c>
      <c r="F17" s="2" t="n">
        <v>2.8</v>
      </c>
      <c r="G17" s="2">
        <f>ROUND(F17*2,2)</f>
        <v/>
      </c>
      <c r="H17" s="2">
        <f>ROUND(F17*3.5,2)</f>
        <v/>
      </c>
      <c r="I17" s="3">
        <f>(H17-F17)/H17</f>
        <v/>
      </c>
      <c r="J17" t="n">
        <v>22</v>
      </c>
      <c r="K17" t="n">
        <v>15</v>
      </c>
      <c r="L17" t="inlineStr">
        <is>
          <t>Supplier E</t>
        </is>
      </c>
      <c r="M17" t="n">
        <v>7</v>
      </c>
      <c r="N17" s="4" t="n">
        <v>46251</v>
      </c>
    </row>
    <row r="18">
      <c r="A18" t="inlineStr">
        <is>
          <t>ITM-017</t>
        </is>
      </c>
      <c r="B18" t="inlineStr">
        <is>
          <t>Sample product 17</t>
        </is>
      </c>
      <c r="C18" t="inlineStr">
        <is>
          <t>Soap</t>
        </is>
      </c>
      <c r="D18" t="inlineStr">
        <is>
          <t>12 oz</t>
        </is>
      </c>
      <c r="E18" t="inlineStr">
        <is>
          <t>Navy</t>
        </is>
      </c>
      <c r="F18" s="2" t="n">
        <v>3.45</v>
      </c>
      <c r="G18" s="2">
        <f>ROUND(F18*2,2)</f>
        <v/>
      </c>
      <c r="H18" s="2">
        <f>ROUND(F18*4.0,2)</f>
        <v/>
      </c>
      <c r="I18" s="3">
        <f>(H18-F18)/H18</f>
        <v/>
      </c>
      <c r="J18" t="n">
        <v>29</v>
      </c>
      <c r="K18" t="n">
        <v>15</v>
      </c>
      <c r="L18" t="inlineStr">
        <is>
          <t>Supplier F</t>
        </is>
      </c>
      <c r="M18" t="n">
        <v>14</v>
      </c>
      <c r="N18" s="4" t="n">
        <v>46252</v>
      </c>
    </row>
    <row r="19">
      <c r="A19" t="inlineStr">
        <is>
          <t>ITM-018</t>
        </is>
      </c>
      <c r="B19" t="inlineStr">
        <is>
          <t>Sample product 18</t>
        </is>
      </c>
      <c r="C19" t="inlineStr">
        <is>
          <t>Cards</t>
        </is>
      </c>
      <c r="D19" t="inlineStr">
        <is>
          <t>4 oz</t>
        </is>
      </c>
      <c r="E19" t="inlineStr">
        <is>
          <t>Rust</t>
        </is>
      </c>
      <c r="F19" s="2" t="n">
        <v>4.1</v>
      </c>
      <c r="G19" s="2">
        <f>ROUND(F19*2,2)</f>
        <v/>
      </c>
      <c r="H19" s="2">
        <f>ROUND(F19*3.0,2)</f>
        <v/>
      </c>
      <c r="I19" s="3">
        <f>(H19-F19)/H19</f>
        <v/>
      </c>
      <c r="J19" t="n">
        <v>36</v>
      </c>
      <c r="K19" t="n">
        <v>15</v>
      </c>
      <c r="L19" t="inlineStr">
        <is>
          <t>Supplier A</t>
        </is>
      </c>
      <c r="M19" t="n">
        <v>21</v>
      </c>
      <c r="N19" s="4" t="n">
        <v>46253</v>
      </c>
    </row>
    <row r="20">
      <c r="A20" t="inlineStr">
        <is>
          <t>ITM-019</t>
        </is>
      </c>
      <c r="B20" t="inlineStr">
        <is>
          <t>Sample product 19</t>
        </is>
      </c>
      <c r="C20" t="inlineStr">
        <is>
          <t>Jewelry</t>
        </is>
      </c>
      <c r="D20" t="inlineStr">
        <is>
          <t>8 oz</t>
        </is>
      </c>
      <c r="E20" t="inlineStr">
        <is>
          <t>Cream</t>
        </is>
      </c>
      <c r="F20" s="2" t="n">
        <v>4.75</v>
      </c>
      <c r="G20" s="2">
        <f>ROUND(F20*2,2)</f>
        <v/>
      </c>
      <c r="H20" s="2">
        <f>ROUND(F20*3.5,2)</f>
        <v/>
      </c>
      <c r="I20" s="3">
        <f>(H20-F20)/H20</f>
        <v/>
      </c>
      <c r="J20" t="n">
        <v>43</v>
      </c>
      <c r="K20" t="n">
        <v>15</v>
      </c>
      <c r="L20" t="inlineStr">
        <is>
          <t>Supplier B</t>
        </is>
      </c>
      <c r="M20" t="n">
        <v>28</v>
      </c>
      <c r="N20" s="4" t="n">
        <v>46254</v>
      </c>
    </row>
    <row r="21">
      <c r="A21" t="inlineStr">
        <is>
          <t>ITM-020</t>
        </is>
      </c>
      <c r="B21" t="inlineStr">
        <is>
          <t>Sample product 20</t>
        </is>
      </c>
      <c r="C21" t="inlineStr">
        <is>
          <t>Candles</t>
        </is>
      </c>
      <c r="D21" t="inlineStr">
        <is>
          <t>12 oz</t>
        </is>
      </c>
      <c r="E21" t="inlineStr">
        <is>
          <t>Natural</t>
        </is>
      </c>
      <c r="F21" s="2" t="n">
        <v>5.4</v>
      </c>
      <c r="G21" s="2">
        <f>ROUND(F21*2,2)</f>
        <v/>
      </c>
      <c r="H21" s="2">
        <f>ROUND(F21*4.0,2)</f>
        <v/>
      </c>
      <c r="I21" s="3">
        <f>(H21-F21)/H21</f>
        <v/>
      </c>
      <c r="J21" t="n">
        <v>50</v>
      </c>
      <c r="K21" t="n">
        <v>15</v>
      </c>
      <c r="L21" t="inlineStr">
        <is>
          <t>Supplier C</t>
        </is>
      </c>
      <c r="M21" t="n">
        <v>7</v>
      </c>
      <c r="N21" s="4" t="n">
        <v>46255</v>
      </c>
    </row>
    <row r="22">
      <c r="A22" t="inlineStr">
        <is>
          <t>ITM-021</t>
        </is>
      </c>
      <c r="B22" t="inlineStr">
        <is>
          <t>Sample product 21</t>
        </is>
      </c>
      <c r="C22" t="inlineStr">
        <is>
          <t>Soap</t>
        </is>
      </c>
      <c r="D22" t="inlineStr">
        <is>
          <t>4 oz</t>
        </is>
      </c>
      <c r="E22" t="inlineStr">
        <is>
          <t>Sage</t>
        </is>
      </c>
      <c r="F22" s="2" t="n">
        <v>1.5</v>
      </c>
      <c r="G22" s="2">
        <f>ROUND(F22*2,2)</f>
        <v/>
      </c>
      <c r="H22" s="2">
        <f>ROUND(F22*3.0,2)</f>
        <v/>
      </c>
      <c r="I22" s="3">
        <f>(H22-F22)/H22</f>
        <v/>
      </c>
      <c r="J22" t="n">
        <v>57</v>
      </c>
      <c r="K22" t="n">
        <v>15</v>
      </c>
      <c r="L22" t="inlineStr">
        <is>
          <t>Supplier D</t>
        </is>
      </c>
      <c r="M22" t="n">
        <v>14</v>
      </c>
      <c r="N22" s="4" t="n">
        <v>46256</v>
      </c>
    </row>
    <row r="23">
      <c r="A23" t="inlineStr">
        <is>
          <t>ITM-022</t>
        </is>
      </c>
      <c r="B23" t="inlineStr">
        <is>
          <t>Sample product 22</t>
        </is>
      </c>
      <c r="C23" t="inlineStr">
        <is>
          <t>Cards</t>
        </is>
      </c>
      <c r="D23" t="inlineStr">
        <is>
          <t>8 oz</t>
        </is>
      </c>
      <c r="E23" t="inlineStr">
        <is>
          <t>Navy</t>
        </is>
      </c>
      <c r="F23" s="2" t="n">
        <v>2.15</v>
      </c>
      <c r="G23" s="2">
        <f>ROUND(F23*2,2)</f>
        <v/>
      </c>
      <c r="H23" s="2">
        <f>ROUND(F23*3.5,2)</f>
        <v/>
      </c>
      <c r="I23" s="3">
        <f>(H23-F23)/H23</f>
        <v/>
      </c>
      <c r="J23" t="n">
        <v>14</v>
      </c>
      <c r="K23" t="n">
        <v>15</v>
      </c>
      <c r="L23" t="inlineStr">
        <is>
          <t>Supplier E</t>
        </is>
      </c>
      <c r="M23" t="n">
        <v>21</v>
      </c>
      <c r="N23" s="4" t="n">
        <v>46257</v>
      </c>
    </row>
    <row r="24">
      <c r="A24" t="inlineStr">
        <is>
          <t>ITM-023</t>
        </is>
      </c>
      <c r="B24" t="inlineStr">
        <is>
          <t>Sample product 23</t>
        </is>
      </c>
      <c r="C24" t="inlineStr">
        <is>
          <t>Jewelry</t>
        </is>
      </c>
      <c r="D24" t="inlineStr">
        <is>
          <t>12 oz</t>
        </is>
      </c>
      <c r="E24" t="inlineStr">
        <is>
          <t>Rust</t>
        </is>
      </c>
      <c r="F24" s="2" t="n">
        <v>2.8</v>
      </c>
      <c r="G24" s="2">
        <f>ROUND(F24*2,2)</f>
        <v/>
      </c>
      <c r="H24" s="2">
        <f>ROUND(F24*4.0,2)</f>
        <v/>
      </c>
      <c r="I24" s="3">
        <f>(H24-F24)/H24</f>
        <v/>
      </c>
      <c r="J24" t="n">
        <v>21</v>
      </c>
      <c r="K24" t="n">
        <v>15</v>
      </c>
      <c r="L24" t="inlineStr">
        <is>
          <t>Supplier F</t>
        </is>
      </c>
      <c r="M24" t="n">
        <v>28</v>
      </c>
      <c r="N24" s="4" t="n">
        <v>46258</v>
      </c>
    </row>
    <row r="25">
      <c r="A25" t="inlineStr">
        <is>
          <t>ITM-024</t>
        </is>
      </c>
      <c r="B25" t="inlineStr">
        <is>
          <t>Sample product 24</t>
        </is>
      </c>
      <c r="C25" t="inlineStr">
        <is>
          <t>Candles</t>
        </is>
      </c>
      <c r="D25" t="inlineStr">
        <is>
          <t>4 oz</t>
        </is>
      </c>
      <c r="E25" t="inlineStr">
        <is>
          <t>Cream</t>
        </is>
      </c>
      <c r="F25" s="2" t="n">
        <v>3.45</v>
      </c>
      <c r="G25" s="2">
        <f>ROUND(F25*2,2)</f>
        <v/>
      </c>
      <c r="H25" s="2">
        <f>ROUND(F25*3.0,2)</f>
        <v/>
      </c>
      <c r="I25" s="3">
        <f>(H25-F25)/H25</f>
        <v/>
      </c>
      <c r="J25" t="n">
        <v>28</v>
      </c>
      <c r="K25" t="n">
        <v>15</v>
      </c>
      <c r="L25" t="inlineStr">
        <is>
          <t>Supplier A</t>
        </is>
      </c>
      <c r="M25" t="n">
        <v>7</v>
      </c>
      <c r="N25" s="4" t="n">
        <v>46259</v>
      </c>
    </row>
    <row r="26">
      <c r="A26" t="inlineStr">
        <is>
          <t>ITM-025</t>
        </is>
      </c>
      <c r="B26" t="inlineStr">
        <is>
          <t>Sample product 25</t>
        </is>
      </c>
      <c r="C26" t="inlineStr">
        <is>
          <t>Soap</t>
        </is>
      </c>
      <c r="D26" t="inlineStr">
        <is>
          <t>8 oz</t>
        </is>
      </c>
      <c r="E26" t="inlineStr">
        <is>
          <t>Natural</t>
        </is>
      </c>
      <c r="F26" s="2" t="n">
        <v>4.1</v>
      </c>
      <c r="G26" s="2">
        <f>ROUND(F26*2,2)</f>
        <v/>
      </c>
      <c r="H26" s="2">
        <f>ROUND(F26*3.5,2)</f>
        <v/>
      </c>
      <c r="I26" s="3">
        <f>(H26-F26)/H26</f>
        <v/>
      </c>
      <c r="J26" t="n">
        <v>35</v>
      </c>
      <c r="K26" t="n">
        <v>15</v>
      </c>
      <c r="L26" t="inlineStr">
        <is>
          <t>Supplier B</t>
        </is>
      </c>
      <c r="M26" t="n">
        <v>14</v>
      </c>
      <c r="N26" s="4" t="n">
        <v>46260</v>
      </c>
    </row>
    <row r="27">
      <c r="A27" t="inlineStr">
        <is>
          <t>ITM-026</t>
        </is>
      </c>
      <c r="B27" t="inlineStr">
        <is>
          <t>Sample product 26</t>
        </is>
      </c>
      <c r="C27" t="inlineStr">
        <is>
          <t>Cards</t>
        </is>
      </c>
      <c r="D27" t="inlineStr">
        <is>
          <t>12 oz</t>
        </is>
      </c>
      <c r="E27" t="inlineStr">
        <is>
          <t>Sage</t>
        </is>
      </c>
      <c r="F27" s="2" t="n">
        <v>4.75</v>
      </c>
      <c r="G27" s="2">
        <f>ROUND(F27*2,2)</f>
        <v/>
      </c>
      <c r="H27" s="2">
        <f>ROUND(F27*4.0,2)</f>
        <v/>
      </c>
      <c r="I27" s="3">
        <f>(H27-F27)/H27</f>
        <v/>
      </c>
      <c r="J27" t="n">
        <v>42</v>
      </c>
      <c r="K27" t="n">
        <v>15</v>
      </c>
      <c r="L27" t="inlineStr">
        <is>
          <t>Supplier C</t>
        </is>
      </c>
      <c r="M27" t="n">
        <v>21</v>
      </c>
      <c r="N27" s="4" t="n">
        <v>46261</v>
      </c>
    </row>
    <row r="28">
      <c r="A28" t="inlineStr">
        <is>
          <t>ITM-027</t>
        </is>
      </c>
      <c r="B28" t="inlineStr">
        <is>
          <t>Sample product 27</t>
        </is>
      </c>
      <c r="C28" t="inlineStr">
        <is>
          <t>Jewelry</t>
        </is>
      </c>
      <c r="D28" t="inlineStr">
        <is>
          <t>4 oz</t>
        </is>
      </c>
      <c r="E28" t="inlineStr">
        <is>
          <t>Navy</t>
        </is>
      </c>
      <c r="F28" s="2" t="n">
        <v>5.4</v>
      </c>
      <c r="G28" s="2">
        <f>ROUND(F28*2,2)</f>
        <v/>
      </c>
      <c r="H28" s="2">
        <f>ROUND(F28*3.0,2)</f>
        <v/>
      </c>
      <c r="I28" s="3">
        <f>(H28-F28)/H28</f>
        <v/>
      </c>
      <c r="J28" t="n">
        <v>49</v>
      </c>
      <c r="K28" t="n">
        <v>15</v>
      </c>
      <c r="L28" t="inlineStr">
        <is>
          <t>Supplier D</t>
        </is>
      </c>
      <c r="M28" t="n">
        <v>28</v>
      </c>
      <c r="N28" s="4" t="n">
        <v>46262</v>
      </c>
    </row>
    <row r="29">
      <c r="A29" t="inlineStr">
        <is>
          <t>ITM-028</t>
        </is>
      </c>
      <c r="B29" t="inlineStr">
        <is>
          <t>Sample product 28</t>
        </is>
      </c>
      <c r="C29" t="inlineStr">
        <is>
          <t>Candles</t>
        </is>
      </c>
      <c r="D29" t="inlineStr">
        <is>
          <t>8 oz</t>
        </is>
      </c>
      <c r="E29" t="inlineStr">
        <is>
          <t>Rust</t>
        </is>
      </c>
      <c r="F29" s="2" t="n">
        <v>1.5</v>
      </c>
      <c r="G29" s="2">
        <f>ROUND(F29*2,2)</f>
        <v/>
      </c>
      <c r="H29" s="2">
        <f>ROUND(F29*3.5,2)</f>
        <v/>
      </c>
      <c r="I29" s="3">
        <f>(H29-F29)/H29</f>
        <v/>
      </c>
      <c r="J29" t="n">
        <v>56</v>
      </c>
      <c r="K29" t="n">
        <v>15</v>
      </c>
      <c r="L29" t="inlineStr">
        <is>
          <t>Supplier E</t>
        </is>
      </c>
      <c r="M29" t="n">
        <v>7</v>
      </c>
      <c r="N29" s="4" t="n">
        <v>46235</v>
      </c>
    </row>
    <row r="30">
      <c r="A30" t="inlineStr">
        <is>
          <t>ITM-029</t>
        </is>
      </c>
      <c r="B30" t="inlineStr">
        <is>
          <t>Sample product 29</t>
        </is>
      </c>
      <c r="C30" t="inlineStr">
        <is>
          <t>Soap</t>
        </is>
      </c>
      <c r="D30" t="inlineStr">
        <is>
          <t>12 oz</t>
        </is>
      </c>
      <c r="E30" t="inlineStr">
        <is>
          <t>Cream</t>
        </is>
      </c>
      <c r="F30" s="2" t="n">
        <v>2.15</v>
      </c>
      <c r="G30" s="2">
        <f>ROUND(F30*2,2)</f>
        <v/>
      </c>
      <c r="H30" s="2">
        <f>ROUND(F30*4.0,2)</f>
        <v/>
      </c>
      <c r="I30" s="3">
        <f>(H30-F30)/H30</f>
        <v/>
      </c>
      <c r="J30" t="n">
        <v>13</v>
      </c>
      <c r="K30" t="n">
        <v>15</v>
      </c>
      <c r="L30" t="inlineStr">
        <is>
          <t>Supplier F</t>
        </is>
      </c>
      <c r="M30" t="n">
        <v>14</v>
      </c>
      <c r="N30" s="4" t="n">
        <v>46236</v>
      </c>
    </row>
    <row r="31">
      <c r="A31" t="inlineStr">
        <is>
          <t>ITM-030</t>
        </is>
      </c>
      <c r="B31" t="inlineStr">
        <is>
          <t>Sample product 30</t>
        </is>
      </c>
      <c r="C31" t="inlineStr">
        <is>
          <t>Cards</t>
        </is>
      </c>
      <c r="D31" t="inlineStr">
        <is>
          <t>4 oz</t>
        </is>
      </c>
      <c r="E31" t="inlineStr">
        <is>
          <t>Natural</t>
        </is>
      </c>
      <c r="F31" s="2" t="n">
        <v>2.8</v>
      </c>
      <c r="G31" s="2">
        <f>ROUND(F31*2,2)</f>
        <v/>
      </c>
      <c r="H31" s="2">
        <f>ROUND(F31*3.0,2)</f>
        <v/>
      </c>
      <c r="I31" s="3">
        <f>(H31-F31)/H31</f>
        <v/>
      </c>
      <c r="J31" t="n">
        <v>20</v>
      </c>
      <c r="K31" t="n">
        <v>15</v>
      </c>
      <c r="L31" t="inlineStr">
        <is>
          <t>Supplier A</t>
        </is>
      </c>
      <c r="M31" t="n">
        <v>21</v>
      </c>
      <c r="N31" s="4" t="n">
        <v>46237</v>
      </c>
    </row>
    <row r="32">
      <c r="A32" t="inlineStr">
        <is>
          <t>ITM-031</t>
        </is>
      </c>
      <c r="B32" t="inlineStr">
        <is>
          <t>Sample product 31</t>
        </is>
      </c>
      <c r="C32" t="inlineStr">
        <is>
          <t>Jewelry</t>
        </is>
      </c>
      <c r="D32" t="inlineStr">
        <is>
          <t>8 oz</t>
        </is>
      </c>
      <c r="E32" t="inlineStr">
        <is>
          <t>Sage</t>
        </is>
      </c>
      <c r="F32" s="2" t="n">
        <v>3.45</v>
      </c>
      <c r="G32" s="2">
        <f>ROUND(F32*2,2)</f>
        <v/>
      </c>
      <c r="H32" s="2">
        <f>ROUND(F32*3.5,2)</f>
        <v/>
      </c>
      <c r="I32" s="3">
        <f>(H32-F32)/H32</f>
        <v/>
      </c>
      <c r="J32" t="n">
        <v>27</v>
      </c>
      <c r="K32" t="n">
        <v>15</v>
      </c>
      <c r="L32" t="inlineStr">
        <is>
          <t>Supplier B</t>
        </is>
      </c>
      <c r="M32" t="n">
        <v>28</v>
      </c>
      <c r="N32" s="4" t="n">
        <v>46238</v>
      </c>
    </row>
    <row r="33">
      <c r="A33" t="inlineStr">
        <is>
          <t>ITM-032</t>
        </is>
      </c>
      <c r="B33" t="inlineStr">
        <is>
          <t>Sample product 32</t>
        </is>
      </c>
      <c r="C33" t="inlineStr">
        <is>
          <t>Candles</t>
        </is>
      </c>
      <c r="D33" t="inlineStr">
        <is>
          <t>12 oz</t>
        </is>
      </c>
      <c r="E33" t="inlineStr">
        <is>
          <t>Navy</t>
        </is>
      </c>
      <c r="F33" s="2" t="n">
        <v>4.1</v>
      </c>
      <c r="G33" s="2">
        <f>ROUND(F33*2,2)</f>
        <v/>
      </c>
      <c r="H33" s="2">
        <f>ROUND(F33*4.0,2)</f>
        <v/>
      </c>
      <c r="I33" s="3">
        <f>(H33-F33)/H33</f>
        <v/>
      </c>
      <c r="J33" t="n">
        <v>34</v>
      </c>
      <c r="K33" t="n">
        <v>15</v>
      </c>
      <c r="L33" t="inlineStr">
        <is>
          <t>Supplier C</t>
        </is>
      </c>
      <c r="M33" t="n">
        <v>7</v>
      </c>
      <c r="N33" s="4" t="n">
        <v>46239</v>
      </c>
    </row>
    <row r="34">
      <c r="A34" t="inlineStr">
        <is>
          <t>ITM-033</t>
        </is>
      </c>
      <c r="B34" t="inlineStr">
        <is>
          <t>Sample product 33</t>
        </is>
      </c>
      <c r="C34" t="inlineStr">
        <is>
          <t>Soap</t>
        </is>
      </c>
      <c r="D34" t="inlineStr">
        <is>
          <t>4 oz</t>
        </is>
      </c>
      <c r="E34" t="inlineStr">
        <is>
          <t>Rust</t>
        </is>
      </c>
      <c r="F34" s="2" t="n">
        <v>4.75</v>
      </c>
      <c r="G34" s="2">
        <f>ROUND(F34*2,2)</f>
        <v/>
      </c>
      <c r="H34" s="2">
        <f>ROUND(F34*3.0,2)</f>
        <v/>
      </c>
      <c r="I34" s="3">
        <f>(H34-F34)/H34</f>
        <v/>
      </c>
      <c r="J34" t="n">
        <v>41</v>
      </c>
      <c r="K34" t="n">
        <v>15</v>
      </c>
      <c r="L34" t="inlineStr">
        <is>
          <t>Supplier D</t>
        </is>
      </c>
      <c r="M34" t="n">
        <v>14</v>
      </c>
      <c r="N34" s="4" t="n">
        <v>46240</v>
      </c>
    </row>
    <row r="35">
      <c r="A35" t="inlineStr">
        <is>
          <t>ITM-034</t>
        </is>
      </c>
      <c r="B35" t="inlineStr">
        <is>
          <t>Sample product 34</t>
        </is>
      </c>
      <c r="C35" t="inlineStr">
        <is>
          <t>Cards</t>
        </is>
      </c>
      <c r="D35" t="inlineStr">
        <is>
          <t>8 oz</t>
        </is>
      </c>
      <c r="E35" t="inlineStr">
        <is>
          <t>Cream</t>
        </is>
      </c>
      <c r="F35" s="2" t="n">
        <v>5.4</v>
      </c>
      <c r="G35" s="2">
        <f>ROUND(F35*2,2)</f>
        <v/>
      </c>
      <c r="H35" s="2">
        <f>ROUND(F35*3.5,2)</f>
        <v/>
      </c>
      <c r="I35" s="3">
        <f>(H35-F35)/H35</f>
        <v/>
      </c>
      <c r="J35" t="n">
        <v>48</v>
      </c>
      <c r="K35" t="n">
        <v>15</v>
      </c>
      <c r="L35" t="inlineStr">
        <is>
          <t>Supplier E</t>
        </is>
      </c>
      <c r="M35" t="n">
        <v>21</v>
      </c>
      <c r="N35" s="4" t="n">
        <v>46241</v>
      </c>
    </row>
    <row r="36">
      <c r="A36" t="inlineStr">
        <is>
          <t>ITM-035</t>
        </is>
      </c>
      <c r="B36" t="inlineStr">
        <is>
          <t>Sample product 35</t>
        </is>
      </c>
      <c r="C36" t="inlineStr">
        <is>
          <t>Jewelry</t>
        </is>
      </c>
      <c r="D36" t="inlineStr">
        <is>
          <t>12 oz</t>
        </is>
      </c>
      <c r="E36" t="inlineStr">
        <is>
          <t>Natural</t>
        </is>
      </c>
      <c r="F36" s="2" t="n">
        <v>1.5</v>
      </c>
      <c r="G36" s="2">
        <f>ROUND(F36*2,2)</f>
        <v/>
      </c>
      <c r="H36" s="2">
        <f>ROUND(F36*4.0,2)</f>
        <v/>
      </c>
      <c r="I36" s="3">
        <f>(H36-F36)/H36</f>
        <v/>
      </c>
      <c r="J36" t="n">
        <v>55</v>
      </c>
      <c r="K36" t="n">
        <v>15</v>
      </c>
      <c r="L36" t="inlineStr">
        <is>
          <t>Supplier F</t>
        </is>
      </c>
      <c r="M36" t="n">
        <v>28</v>
      </c>
      <c r="N36" s="4" t="n">
        <v>46242</v>
      </c>
    </row>
    <row r="37">
      <c r="A37" t="inlineStr">
        <is>
          <t>ITM-036</t>
        </is>
      </c>
      <c r="B37" t="inlineStr">
        <is>
          <t>Sample product 36</t>
        </is>
      </c>
      <c r="C37" t="inlineStr">
        <is>
          <t>Candles</t>
        </is>
      </c>
      <c r="D37" t="inlineStr">
        <is>
          <t>4 oz</t>
        </is>
      </c>
      <c r="E37" t="inlineStr">
        <is>
          <t>Sage</t>
        </is>
      </c>
      <c r="F37" s="2" t="n">
        <v>2.15</v>
      </c>
      <c r="G37" s="2">
        <f>ROUND(F37*2,2)</f>
        <v/>
      </c>
      <c r="H37" s="2">
        <f>ROUND(F37*3.0,2)</f>
        <v/>
      </c>
      <c r="I37" s="3">
        <f>(H37-F37)/H37</f>
        <v/>
      </c>
      <c r="J37" t="n">
        <v>12</v>
      </c>
      <c r="K37" t="n">
        <v>15</v>
      </c>
      <c r="L37" t="inlineStr">
        <is>
          <t>Supplier A</t>
        </is>
      </c>
      <c r="M37" t="n">
        <v>7</v>
      </c>
      <c r="N37" s="4" t="n">
        <v>46243</v>
      </c>
    </row>
    <row r="38">
      <c r="A38" t="inlineStr">
        <is>
          <t>ITM-037</t>
        </is>
      </c>
      <c r="B38" t="inlineStr">
        <is>
          <t>Sample product 37</t>
        </is>
      </c>
      <c r="C38" t="inlineStr">
        <is>
          <t>Soap</t>
        </is>
      </c>
      <c r="D38" t="inlineStr">
        <is>
          <t>8 oz</t>
        </is>
      </c>
      <c r="E38" t="inlineStr">
        <is>
          <t>Navy</t>
        </is>
      </c>
      <c r="F38" s="2" t="n">
        <v>2.8</v>
      </c>
      <c r="G38" s="2">
        <f>ROUND(F38*2,2)</f>
        <v/>
      </c>
      <c r="H38" s="2">
        <f>ROUND(F38*3.5,2)</f>
        <v/>
      </c>
      <c r="I38" s="3">
        <f>(H38-F38)/H38</f>
        <v/>
      </c>
      <c r="J38" t="n">
        <v>19</v>
      </c>
      <c r="K38" t="n">
        <v>15</v>
      </c>
      <c r="L38" t="inlineStr">
        <is>
          <t>Supplier B</t>
        </is>
      </c>
      <c r="M38" t="n">
        <v>14</v>
      </c>
      <c r="N38" s="4" t="n">
        <v>46244</v>
      </c>
    </row>
    <row r="39">
      <c r="A39" t="inlineStr">
        <is>
          <t>ITM-038</t>
        </is>
      </c>
      <c r="B39" t="inlineStr">
        <is>
          <t>Sample product 38</t>
        </is>
      </c>
      <c r="C39" t="inlineStr">
        <is>
          <t>Cards</t>
        </is>
      </c>
      <c r="D39" t="inlineStr">
        <is>
          <t>12 oz</t>
        </is>
      </c>
      <c r="E39" t="inlineStr">
        <is>
          <t>Rust</t>
        </is>
      </c>
      <c r="F39" s="2" t="n">
        <v>3.45</v>
      </c>
      <c r="G39" s="2">
        <f>ROUND(F39*2,2)</f>
        <v/>
      </c>
      <c r="H39" s="2">
        <f>ROUND(F39*4.0,2)</f>
        <v/>
      </c>
      <c r="I39" s="3">
        <f>(H39-F39)/H39</f>
        <v/>
      </c>
      <c r="J39" t="n">
        <v>26</v>
      </c>
      <c r="K39" t="n">
        <v>15</v>
      </c>
      <c r="L39" t="inlineStr">
        <is>
          <t>Supplier C</t>
        </is>
      </c>
      <c r="M39" t="n">
        <v>21</v>
      </c>
      <c r="N39" s="4" t="n">
        <v>46245</v>
      </c>
    </row>
    <row r="40">
      <c r="A40" t="inlineStr">
        <is>
          <t>ITM-039</t>
        </is>
      </c>
      <c r="B40" t="inlineStr">
        <is>
          <t>Sample product 39</t>
        </is>
      </c>
      <c r="C40" t="inlineStr">
        <is>
          <t>Jewelry</t>
        </is>
      </c>
      <c r="D40" t="inlineStr">
        <is>
          <t>4 oz</t>
        </is>
      </c>
      <c r="E40" t="inlineStr">
        <is>
          <t>Cream</t>
        </is>
      </c>
      <c r="F40" s="2" t="n">
        <v>4.1</v>
      </c>
      <c r="G40" s="2">
        <f>ROUND(F40*2,2)</f>
        <v/>
      </c>
      <c r="H40" s="2">
        <f>ROUND(F40*3.0,2)</f>
        <v/>
      </c>
      <c r="I40" s="3">
        <f>(H40-F40)/H40</f>
        <v/>
      </c>
      <c r="J40" t="n">
        <v>33</v>
      </c>
      <c r="K40" t="n">
        <v>15</v>
      </c>
      <c r="L40" t="inlineStr">
        <is>
          <t>Supplier D</t>
        </is>
      </c>
      <c r="M40" t="n">
        <v>28</v>
      </c>
      <c r="N40" s="4" t="n">
        <v>46246</v>
      </c>
    </row>
    <row r="41">
      <c r="A41" t="inlineStr">
        <is>
          <t>ITM-040</t>
        </is>
      </c>
      <c r="B41" t="inlineStr">
        <is>
          <t>Sample product 40</t>
        </is>
      </c>
      <c r="C41" t="inlineStr">
        <is>
          <t>Candles</t>
        </is>
      </c>
      <c r="D41" t="inlineStr">
        <is>
          <t>8 oz</t>
        </is>
      </c>
      <c r="E41" t="inlineStr">
        <is>
          <t>Natural</t>
        </is>
      </c>
      <c r="F41" s="2" t="n">
        <v>4.75</v>
      </c>
      <c r="G41" s="2">
        <f>ROUND(F41*2,2)</f>
        <v/>
      </c>
      <c r="H41" s="2">
        <f>ROUND(F41*3.5,2)</f>
        <v/>
      </c>
      <c r="I41" s="3">
        <f>(H41-F41)/H41</f>
        <v/>
      </c>
      <c r="J41" t="n">
        <v>40</v>
      </c>
      <c r="K41" t="n">
        <v>15</v>
      </c>
      <c r="L41" t="inlineStr">
        <is>
          <t>Supplier E</t>
        </is>
      </c>
      <c r="M41" t="n">
        <v>7</v>
      </c>
      <c r="N41" s="4" t="n">
        <v>46247</v>
      </c>
    </row>
    <row r="42">
      <c r="A42" t="inlineStr">
        <is>
          <t>ITM-041</t>
        </is>
      </c>
      <c r="B42" t="inlineStr">
        <is>
          <t>Sample product 41</t>
        </is>
      </c>
      <c r="C42" t="inlineStr">
        <is>
          <t>Soap</t>
        </is>
      </c>
      <c r="D42" t="inlineStr">
        <is>
          <t>12 oz</t>
        </is>
      </c>
      <c r="E42" t="inlineStr">
        <is>
          <t>Sage</t>
        </is>
      </c>
      <c r="F42" s="2" t="n">
        <v>5.4</v>
      </c>
      <c r="G42" s="2">
        <f>ROUND(F42*2,2)</f>
        <v/>
      </c>
      <c r="H42" s="2">
        <f>ROUND(F42*4.0,2)</f>
        <v/>
      </c>
      <c r="I42" s="3">
        <f>(H42-F42)/H42</f>
        <v/>
      </c>
      <c r="J42" t="n">
        <v>47</v>
      </c>
      <c r="K42" t="n">
        <v>15</v>
      </c>
      <c r="L42" t="inlineStr">
        <is>
          <t>Supplier F</t>
        </is>
      </c>
      <c r="M42" t="n">
        <v>14</v>
      </c>
      <c r="N42" s="4" t="n">
        <v>46248</v>
      </c>
    </row>
    <row r="43">
      <c r="A43" t="inlineStr">
        <is>
          <t>ITM-042</t>
        </is>
      </c>
      <c r="B43" t="inlineStr">
        <is>
          <t>Sample product 42</t>
        </is>
      </c>
      <c r="C43" t="inlineStr">
        <is>
          <t>Cards</t>
        </is>
      </c>
      <c r="D43" t="inlineStr">
        <is>
          <t>4 oz</t>
        </is>
      </c>
      <c r="E43" t="inlineStr">
        <is>
          <t>Navy</t>
        </is>
      </c>
      <c r="F43" s="2" t="n">
        <v>1.5</v>
      </c>
      <c r="G43" s="2">
        <f>ROUND(F43*2,2)</f>
        <v/>
      </c>
      <c r="H43" s="2">
        <f>ROUND(F43*3.0,2)</f>
        <v/>
      </c>
      <c r="I43" s="3">
        <f>(H43-F43)/H43</f>
        <v/>
      </c>
      <c r="J43" t="n">
        <v>54</v>
      </c>
      <c r="K43" t="n">
        <v>15</v>
      </c>
      <c r="L43" t="inlineStr">
        <is>
          <t>Supplier A</t>
        </is>
      </c>
      <c r="M43" t="n">
        <v>21</v>
      </c>
      <c r="N43" s="4" t="n">
        <v>46249</v>
      </c>
    </row>
    <row r="44">
      <c r="A44" t="inlineStr">
        <is>
          <t>ITM-043</t>
        </is>
      </c>
      <c r="B44" t="inlineStr">
        <is>
          <t>Sample product 43</t>
        </is>
      </c>
      <c r="C44" t="inlineStr">
        <is>
          <t>Jewelry</t>
        </is>
      </c>
      <c r="D44" t="inlineStr">
        <is>
          <t>8 oz</t>
        </is>
      </c>
      <c r="E44" t="inlineStr">
        <is>
          <t>Rust</t>
        </is>
      </c>
      <c r="F44" s="2" t="n">
        <v>2.15</v>
      </c>
      <c r="G44" s="2">
        <f>ROUND(F44*2,2)</f>
        <v/>
      </c>
      <c r="H44" s="2">
        <f>ROUND(F44*3.5,2)</f>
        <v/>
      </c>
      <c r="I44" s="3">
        <f>(H44-F44)/H44</f>
        <v/>
      </c>
      <c r="J44" t="n">
        <v>11</v>
      </c>
      <c r="K44" t="n">
        <v>15</v>
      </c>
      <c r="L44" t="inlineStr">
        <is>
          <t>Supplier B</t>
        </is>
      </c>
      <c r="M44" t="n">
        <v>28</v>
      </c>
      <c r="N44" s="4" t="n">
        <v>46250</v>
      </c>
    </row>
    <row r="45">
      <c r="A45" t="inlineStr">
        <is>
          <t>ITM-044</t>
        </is>
      </c>
      <c r="B45" t="inlineStr">
        <is>
          <t>Sample product 44</t>
        </is>
      </c>
      <c r="C45" t="inlineStr">
        <is>
          <t>Candles</t>
        </is>
      </c>
      <c r="D45" t="inlineStr">
        <is>
          <t>12 oz</t>
        </is>
      </c>
      <c r="E45" t="inlineStr">
        <is>
          <t>Cream</t>
        </is>
      </c>
      <c r="F45" s="2" t="n">
        <v>2.8</v>
      </c>
      <c r="G45" s="2">
        <f>ROUND(F45*2,2)</f>
        <v/>
      </c>
      <c r="H45" s="2">
        <f>ROUND(F45*4.0,2)</f>
        <v/>
      </c>
      <c r="I45" s="3">
        <f>(H45-F45)/H45</f>
        <v/>
      </c>
      <c r="J45" t="n">
        <v>18</v>
      </c>
      <c r="K45" t="n">
        <v>15</v>
      </c>
      <c r="L45" t="inlineStr">
        <is>
          <t>Supplier C</t>
        </is>
      </c>
      <c r="M45" t="n">
        <v>7</v>
      </c>
      <c r="N45" s="4" t="n">
        <v>46251</v>
      </c>
    </row>
    <row r="46">
      <c r="A46" t="inlineStr">
        <is>
          <t>ITM-045</t>
        </is>
      </c>
      <c r="B46" t="inlineStr">
        <is>
          <t>Sample product 45</t>
        </is>
      </c>
      <c r="C46" t="inlineStr">
        <is>
          <t>Soap</t>
        </is>
      </c>
      <c r="D46" t="inlineStr">
        <is>
          <t>4 oz</t>
        </is>
      </c>
      <c r="E46" t="inlineStr">
        <is>
          <t>Natural</t>
        </is>
      </c>
      <c r="F46" s="2" t="n">
        <v>3.45</v>
      </c>
      <c r="G46" s="2">
        <f>ROUND(F46*2,2)</f>
        <v/>
      </c>
      <c r="H46" s="2">
        <f>ROUND(F46*3.0,2)</f>
        <v/>
      </c>
      <c r="I46" s="3">
        <f>(H46-F46)/H46</f>
        <v/>
      </c>
      <c r="J46" t="n">
        <v>25</v>
      </c>
      <c r="K46" t="n">
        <v>15</v>
      </c>
      <c r="L46" t="inlineStr">
        <is>
          <t>Supplier D</t>
        </is>
      </c>
      <c r="M46" t="n">
        <v>14</v>
      </c>
      <c r="N46" s="4" t="n">
        <v>46252</v>
      </c>
    </row>
    <row r="47">
      <c r="A47" t="inlineStr">
        <is>
          <t>ITM-046</t>
        </is>
      </c>
      <c r="B47" t="inlineStr">
        <is>
          <t>Sample product 46</t>
        </is>
      </c>
      <c r="C47" t="inlineStr">
        <is>
          <t>Cards</t>
        </is>
      </c>
      <c r="D47" t="inlineStr">
        <is>
          <t>8 oz</t>
        </is>
      </c>
      <c r="E47" t="inlineStr">
        <is>
          <t>Sage</t>
        </is>
      </c>
      <c r="F47" s="2" t="n">
        <v>4.1</v>
      </c>
      <c r="G47" s="2">
        <f>ROUND(F47*2,2)</f>
        <v/>
      </c>
      <c r="H47" s="2">
        <f>ROUND(F47*3.5,2)</f>
        <v/>
      </c>
      <c r="I47" s="3">
        <f>(H47-F47)/H47</f>
        <v/>
      </c>
      <c r="J47" t="n">
        <v>32</v>
      </c>
      <c r="K47" t="n">
        <v>15</v>
      </c>
      <c r="L47" t="inlineStr">
        <is>
          <t>Supplier E</t>
        </is>
      </c>
      <c r="M47" t="n">
        <v>21</v>
      </c>
      <c r="N47" s="4" t="n">
        <v>46253</v>
      </c>
    </row>
    <row r="48">
      <c r="A48" t="inlineStr">
        <is>
          <t>ITM-047</t>
        </is>
      </c>
      <c r="B48" t="inlineStr">
        <is>
          <t>Sample product 47</t>
        </is>
      </c>
      <c r="C48" t="inlineStr">
        <is>
          <t>Jewelry</t>
        </is>
      </c>
      <c r="D48" t="inlineStr">
        <is>
          <t>12 oz</t>
        </is>
      </c>
      <c r="E48" t="inlineStr">
        <is>
          <t>Navy</t>
        </is>
      </c>
      <c r="F48" s="2" t="n">
        <v>4.75</v>
      </c>
      <c r="G48" s="2">
        <f>ROUND(F48*2,2)</f>
        <v/>
      </c>
      <c r="H48" s="2">
        <f>ROUND(F48*4.0,2)</f>
        <v/>
      </c>
      <c r="I48" s="3">
        <f>(H48-F48)/H48</f>
        <v/>
      </c>
      <c r="J48" t="n">
        <v>39</v>
      </c>
      <c r="K48" t="n">
        <v>15</v>
      </c>
      <c r="L48" t="inlineStr">
        <is>
          <t>Supplier F</t>
        </is>
      </c>
      <c r="M48" t="n">
        <v>28</v>
      </c>
      <c r="N48" s="4" t="n">
        <v>46254</v>
      </c>
    </row>
    <row r="49">
      <c r="A49" t="inlineStr">
        <is>
          <t>ITM-048</t>
        </is>
      </c>
      <c r="B49" t="inlineStr">
        <is>
          <t>Sample product 48</t>
        </is>
      </c>
      <c r="C49" t="inlineStr">
        <is>
          <t>Candles</t>
        </is>
      </c>
      <c r="D49" t="inlineStr">
        <is>
          <t>4 oz</t>
        </is>
      </c>
      <c r="E49" t="inlineStr">
        <is>
          <t>Rust</t>
        </is>
      </c>
      <c r="F49" s="2" t="n">
        <v>5.4</v>
      </c>
      <c r="G49" s="2">
        <f>ROUND(F49*2,2)</f>
        <v/>
      </c>
      <c r="H49" s="2">
        <f>ROUND(F49*3.0,2)</f>
        <v/>
      </c>
      <c r="I49" s="3">
        <f>(H49-F49)/H49</f>
        <v/>
      </c>
      <c r="J49" t="n">
        <v>46</v>
      </c>
      <c r="K49" t="n">
        <v>15</v>
      </c>
      <c r="L49" t="inlineStr">
        <is>
          <t>Supplier A</t>
        </is>
      </c>
      <c r="M49" t="n">
        <v>7</v>
      </c>
      <c r="N49" s="4" t="n">
        <v>46255</v>
      </c>
    </row>
  </sheetData>
  <printOptions horizontalCentered="1"/>
  <pageMargins left="0.25" right="0.25" top="0.5" bottom="0.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2026-09-25T14:38:13Z</dcterms:created>
  <dcterms:modified xsi:type="dcterms:W3CDTF">2026-09-25T14:38:13Z</dcterms:modified>
</cp:coreProperties>
</file>