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ration" sheetId="1" state="visible" r:id="rId1"/>
    <sheet xmlns:r="http://schemas.openxmlformats.org/officeDocument/2006/relationships" name="How to use" sheetId="2" state="visible" r:id="rId2"/>
  </sheets>
  <definedNames>
    <definedName name="_xlnm.Print_Titles" localSheetId="0">'Proration'!$1:$1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  <xf numFmtId="1" fontId="0" fillId="3" borderId="0" pivotButton="0" quotePrefix="0" xfId="0"/>
    <xf numFmtId="166" fontId="0" fillId="3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4" customWidth="1" min="4" max="4"/>
    <col width="16" customWidth="1" min="5" max="5"/>
    <col width="34" customWidth="1" min="6" max="6"/>
  </cols>
  <sheetData>
    <row r="1" ht="30" customHeight="1">
      <c r="A1" s="1" t="inlineStr">
        <is>
          <t>Start date</t>
        </is>
      </c>
      <c r="B1" s="1" t="inlineStr">
        <is>
          <t>Monthly fee</t>
        </is>
      </c>
      <c r="C1" s="1" t="inlineStr">
        <is>
          <t>Days charged</t>
        </is>
      </c>
      <c r="D1" s="1" t="inlineStr">
        <is>
          <t>Days in month</t>
        </is>
      </c>
      <c r="E1" s="1" t="inlineStr">
        <is>
          <t>Prorated amount</t>
        </is>
      </c>
      <c r="F1" s="1" t="inlineStr">
        <is>
          <t>Example</t>
        </is>
      </c>
    </row>
    <row r="2">
      <c r="A2" s="2" t="n">
        <v>46307</v>
      </c>
      <c r="B2" s="3" t="n">
        <v>150</v>
      </c>
      <c r="C2" s="4">
        <f>EOMONTH(A2,0)-A2+1</f>
        <v/>
      </c>
      <c r="D2" s="4">
        <f>DAY(EOMONTH(A2,0))</f>
        <v/>
      </c>
      <c r="E2" s="5">
        <f>ROUND(B2*C2/D2,2)</f>
        <v/>
      </c>
      <c r="F2" t="inlineStr">
        <is>
          <t>Retainer starts mid month</t>
        </is>
      </c>
    </row>
    <row r="3">
      <c r="A3" s="2" t="n">
        <v>46073</v>
      </c>
      <c r="B3" s="3" t="n">
        <v>150</v>
      </c>
      <c r="C3" s="4">
        <f>EOMONTH(A3,0)-A3+1</f>
        <v/>
      </c>
      <c r="D3" s="4">
        <f>DAY(EOMONTH(A3,0))</f>
        <v/>
      </c>
      <c r="E3" s="5">
        <f>ROUND(B3*C3/D3,2)</f>
        <v/>
      </c>
      <c r="F3" t="inlineStr">
        <is>
          <t>February (28 days)</t>
        </is>
      </c>
    </row>
    <row r="4">
      <c r="A4" s="2" t="n">
        <v>46327</v>
      </c>
      <c r="B4" s="3" t="n">
        <v>150</v>
      </c>
      <c r="C4" s="4">
        <f>EOMONTH(A4,0)-A4+1</f>
        <v/>
      </c>
      <c r="D4" s="4">
        <f>DAY(EOMONTH(A4,0))</f>
        <v/>
      </c>
      <c r="E4" s="5">
        <f>ROUND(B4*C4/D4,2)</f>
        <v/>
      </c>
      <c r="F4" t="inlineStr">
        <is>
          <t>Starts on the 1st: full month</t>
        </is>
      </c>
    </row>
    <row r="5">
      <c r="A5" s="2" t="n">
        <v>46387</v>
      </c>
      <c r="B5" s="3" t="n">
        <v>150</v>
      </c>
      <c r="C5" s="4">
        <f>EOMONTH(A5,0)-A5+1</f>
        <v/>
      </c>
      <c r="D5" s="4">
        <f>DAY(EOMONTH(A5,0))</f>
        <v/>
      </c>
      <c r="E5" s="5">
        <f>ROUND(B5*C5/D5,2)</f>
        <v/>
      </c>
      <c r="F5" t="inlineStr">
        <is>
          <t>Starts on the last day: 1 day</t>
        </is>
      </c>
    </row>
    <row r="6">
      <c r="A6" s="2" t="n">
        <v>46280</v>
      </c>
      <c r="B6" s="3" t="n">
        <v>85</v>
      </c>
      <c r="C6" s="4">
        <f>EOMONTH(A6,0)-A6+1</f>
        <v/>
      </c>
      <c r="D6" s="4">
        <f>DAY(EOMONTH(A6,0))</f>
        <v/>
      </c>
      <c r="E6" s="5">
        <f>ROUND(B6*C6/D6,2)</f>
        <v/>
      </c>
      <c r="F6" t="inlineStr">
        <is>
          <t>Farmers market booth, 30 day month</t>
        </is>
      </c>
    </row>
    <row r="7">
      <c r="A7" s="2" t="n">
        <v>46091</v>
      </c>
      <c r="B7" s="3" t="n">
        <v>1200</v>
      </c>
      <c r="C7" s="4">
        <f>EOMONTH(A7,0)-A7+1</f>
        <v/>
      </c>
      <c r="D7" s="4">
        <f>DAY(EOMONTH(A7,0))</f>
        <v/>
      </c>
      <c r="E7" s="5">
        <f>ROUND(B7*C7/D7,2)</f>
        <v/>
      </c>
      <c r="F7" t="inlineStr">
        <is>
          <t>Studio rent</t>
        </is>
      </c>
    </row>
    <row r="8">
      <c r="A8" s="2" t="n">
        <v>46803</v>
      </c>
      <c r="B8" s="3" t="n">
        <v>150</v>
      </c>
      <c r="C8" s="4">
        <f>EOMONTH(A8,0)-A8+1</f>
        <v/>
      </c>
      <c r="D8" s="4">
        <f>DAY(EOMONTH(A8,0))</f>
        <v/>
      </c>
      <c r="E8" s="5">
        <f>ROUND(B8*C8/D8,2)</f>
        <v/>
      </c>
      <c r="F8" t="inlineStr">
        <is>
          <t>Leap year February (29 days)</t>
        </is>
      </c>
    </row>
  </sheetData>
  <pageMargins left="0.75" right="0.75" top="1" bottom="1" header="0.5" footer="0.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Tidy Tabs: Prorate a Partial Month of Rent or a Retainer</t>
        </is>
      </c>
    </row>
    <row r="2">
      <c r="A2" s="7" t="inlineStr"/>
    </row>
    <row r="3">
      <c r="A3" s="7" t="inlineStr">
        <is>
          <t>1. Proration tab: type the start date in A and the full monthly fee in B. Columns C to E are formulas; fill them down for more rows.</t>
        </is>
      </c>
    </row>
    <row r="4">
      <c r="A4" s="7" t="inlineStr">
        <is>
          <t>2. C, days charged: =EOMONTH(A2,0)-A2+1. EOMONTH(A2,0) is the last day of the start month; the +1 counts the start day itself.</t>
        </is>
      </c>
    </row>
    <row r="5">
      <c r="A5" s="7" t="inlineStr">
        <is>
          <t>3. D, days in that month: =DAY(EOMONTH(A2,0)). It is 28, 29, 30 or 31 depending on the month.</t>
        </is>
      </c>
    </row>
    <row r="6">
      <c r="A6" s="7" t="inlineStr">
        <is>
          <t>4. E, prorated amount: =ROUND(B2*C2/D2,2), the fee times days charged over days in the month, rounded to cents.</t>
        </is>
      </c>
    </row>
    <row r="7">
      <c r="A7" s="7" t="inlineStr">
        <is>
          <t>5. Example: $150.00 starting 10/12/2026 is 20 of 31 days, $96.77. $150.00 starting 02/20/2026 is 9 of 28 days, $48.21.</t>
        </is>
      </c>
    </row>
    <row r="8">
      <c r="A8" s="7" t="inlineStr">
        <is>
          <t>6. Columns C and D must be formatted as Number. If they show a date like 01/20/1900, change the format to Number.</t>
        </is>
      </c>
    </row>
    <row r="9">
      <c r="A9" s="7" t="inlineStr">
        <is>
          <t>7. This is arithmetic only. Some leases and contracts count a flat 30 day month or use other rules, so follow your own agreement. It is not legal advice.</t>
        </is>
      </c>
    </row>
    <row r="10">
      <c r="A10" s="7" t="inlineStr"/>
    </row>
    <row r="11">
      <c r="A11" s="7" t="inlineStr">
        <is>
          <t>Dates and fees are fictional. Checked in LibreOffice Calc only; not opened in Excel or Google Sheets.</t>
        </is>
      </c>
    </row>
    <row r="12">
      <c r="A12" s="7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2026-10-09T07:31:22Z</dcterms:created>
  <dcterms:modified xmlns:dcterms="http://purl.org/dc/terms/" xmlns:xsi="http://www.w3.org/2001/XMLSchema-instance" xsi:type="dcterms:W3CDTF">2026-10-09T07:31:22Z</dcterms:modified>
</cp:coreProperties>
</file>