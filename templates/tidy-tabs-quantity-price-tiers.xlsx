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Unsorted demo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C0000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4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5" max="5"/>
    <col width="18" customWidth="1" min="6" max="6"/>
  </cols>
  <sheetData>
    <row r="1" ht="30" customHeight="1">
      <c r="A1" s="1" t="inlineStr">
        <is>
          <t>Min quantity</t>
        </is>
      </c>
      <c r="B1" s="1" t="inlineStr">
        <is>
          <t>Unit price</t>
        </is>
      </c>
      <c r="C1" s="1" t="inlineStr">
        <is>
          <t>Tier</t>
        </is>
      </c>
      <c r="E1" s="2" t="inlineStr">
        <is>
          <t>Try a quantity</t>
        </is>
      </c>
    </row>
    <row r="2">
      <c r="A2" t="n">
        <v>1</v>
      </c>
      <c r="B2" s="3" t="n">
        <v>12</v>
      </c>
      <c r="C2" t="inlineStr">
        <is>
          <t>1 to 11</t>
        </is>
      </c>
      <c r="E2" t="inlineStr">
        <is>
          <t>Quantity</t>
        </is>
      </c>
      <c r="F2" s="4" t="n">
        <v>0</v>
      </c>
    </row>
    <row r="3">
      <c r="A3" t="n">
        <v>12</v>
      </c>
      <c r="B3" s="3" t="n">
        <v>10.5</v>
      </c>
      <c r="C3" t="inlineStr">
        <is>
          <t>12 to 35</t>
        </is>
      </c>
      <c r="E3" t="inlineStr">
        <is>
          <t>Unit price</t>
        </is>
      </c>
      <c r="F3" s="5">
        <f>IFERROR(VLOOKUP(F2,$A$2:$B$5,2,TRUE),"Below first tier")</f>
        <v/>
      </c>
    </row>
    <row r="4">
      <c r="A4" t="n">
        <v>36</v>
      </c>
      <c r="B4" s="3" t="n">
        <v>9.25</v>
      </c>
      <c r="C4" t="inlineStr">
        <is>
          <t>36 to 71</t>
        </is>
      </c>
      <c r="E4" t="inlineStr">
        <is>
          <t>Without IFERROR</t>
        </is>
      </c>
      <c r="F4" s="5">
        <f>VLOOKUP(F2,$A$2:$B$5,2,TRUE)</f>
        <v/>
      </c>
    </row>
    <row r="5">
      <c r="A5" t="n">
        <v>72</v>
      </c>
      <c r="B5" s="3" t="n">
        <v>8</v>
      </c>
      <c r="C5" t="inlineStr">
        <is>
          <t>72 and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  <col width="12" customWidth="1" min="5" max="5"/>
    <col width="15" customWidth="1" min="6" max="6"/>
    <col width="13" customWidth="1" min="7" max="7"/>
    <col width="13" customWidth="1" min="8" max="8"/>
  </cols>
  <sheetData>
    <row r="1" ht="30" customHeight="1">
      <c r="A1" s="1" t="inlineStr">
        <is>
          <t>Order date</t>
        </is>
      </c>
      <c r="B1" s="1" t="inlineStr">
        <is>
          <t>Customer</t>
        </is>
      </c>
      <c r="C1" s="1" t="inlineStr">
        <is>
          <t>Quantity</t>
        </is>
      </c>
      <c r="D1" s="1" t="inlineStr">
        <is>
          <t>VLOOKUP</t>
        </is>
      </c>
      <c r="E1" s="1" t="inlineStr">
        <is>
          <t>LOOKUP</t>
        </is>
      </c>
      <c r="F1" s="1" t="inlineStr">
        <is>
          <t>INDEX + MATCH</t>
        </is>
      </c>
      <c r="G1" s="1" t="inlineStr">
        <is>
          <t>Order total</t>
        </is>
      </c>
      <c r="H1" s="1" t="inlineStr">
        <is>
          <t>All 3 agree?</t>
        </is>
      </c>
    </row>
    <row r="2">
      <c r="A2" s="6" t="n">
        <v>46267</v>
      </c>
      <c r="B2" t="inlineStr">
        <is>
          <t>Harbor Coffee</t>
        </is>
      </c>
      <c r="C2" t="n">
        <v>1</v>
      </c>
      <c r="D2" s="5">
        <f>VLOOKUP(C2,Tiers!$A$2:$B$5,2,TRUE)</f>
        <v/>
      </c>
      <c r="E2" s="5">
        <f>LOOKUP(C2,Tiers!$A$2:$A$5,Tiers!$B$2:$B$5)</f>
        <v/>
      </c>
      <c r="F2" s="5">
        <f>INDEX(Tiers!$B$2:$B$5,MATCH(C2,Tiers!$A$2:$A$5,1))</f>
        <v/>
      </c>
      <c r="G2" s="5">
        <f>C2*D2</f>
        <v/>
      </c>
      <c r="H2" s="7">
        <f>IF(AND(D2=E2,E2=F2),"Yes","CHECK")</f>
        <v/>
      </c>
    </row>
    <row r="3">
      <c r="A3" s="6" t="n">
        <v>46269</v>
      </c>
      <c r="B3" t="inlineStr">
        <is>
          <t>Maple Street Bakery</t>
        </is>
      </c>
      <c r="C3" t="n">
        <v>11</v>
      </c>
      <c r="D3" s="5">
        <f>VLOOKUP(C3,Tiers!$A$2:$B$5,2,TRUE)</f>
        <v/>
      </c>
      <c r="E3" s="5">
        <f>LOOKUP(C3,Tiers!$A$2:$A$5,Tiers!$B$2:$B$5)</f>
        <v/>
      </c>
      <c r="F3" s="5">
        <f>INDEX(Tiers!$B$2:$B$5,MATCH(C3,Tiers!$A$2:$A$5,1))</f>
        <v/>
      </c>
      <c r="G3" s="5">
        <f>C3*D3</f>
        <v/>
      </c>
      <c r="H3" s="7">
        <f>IF(AND(D3=E3,E3=F3),"Yes","CHECK")</f>
        <v/>
      </c>
    </row>
    <row r="4">
      <c r="A4" s="6" t="n">
        <v>46274</v>
      </c>
      <c r="B4" t="inlineStr">
        <is>
          <t>Oak &amp; Ember Candles</t>
        </is>
      </c>
      <c r="C4" t="n">
        <v>12</v>
      </c>
      <c r="D4" s="5">
        <f>VLOOKUP(C4,Tiers!$A$2:$B$5,2,TRUE)</f>
        <v/>
      </c>
      <c r="E4" s="5">
        <f>LOOKUP(C4,Tiers!$A$2:$A$5,Tiers!$B$2:$B$5)</f>
        <v/>
      </c>
      <c r="F4" s="5">
        <f>INDEX(Tiers!$B$2:$B$5,MATCH(C4,Tiers!$A$2:$A$5,1))</f>
        <v/>
      </c>
      <c r="G4" s="5">
        <f>C4*D4</f>
        <v/>
      </c>
      <c r="H4" s="7">
        <f>IF(AND(D4=E4,E4=F4),"Yes","CHECK")</f>
        <v/>
      </c>
    </row>
    <row r="5">
      <c r="A5" s="6" t="n">
        <v>46279</v>
      </c>
      <c r="B5" t="inlineStr">
        <is>
          <t>Lakeview Florist</t>
        </is>
      </c>
      <c r="C5" t="n">
        <v>35</v>
      </c>
      <c r="D5" s="5">
        <f>VLOOKUP(C5,Tiers!$A$2:$B$5,2,TRUE)</f>
        <v/>
      </c>
      <c r="E5" s="5">
        <f>LOOKUP(C5,Tiers!$A$2:$A$5,Tiers!$B$2:$B$5)</f>
        <v/>
      </c>
      <c r="F5" s="5">
        <f>INDEX(Tiers!$B$2:$B$5,MATCH(C5,Tiers!$A$2:$A$5,1))</f>
        <v/>
      </c>
      <c r="G5" s="5">
        <f>C5*D5</f>
        <v/>
      </c>
      <c r="H5" s="7">
        <f>IF(AND(D5=E5,E5=F5),"Yes","CHECK")</f>
        <v/>
      </c>
    </row>
    <row r="6">
      <c r="A6" s="6" t="n">
        <v>46283</v>
      </c>
      <c r="B6" t="inlineStr">
        <is>
          <t>Harbor Coffee</t>
        </is>
      </c>
      <c r="C6" t="n">
        <v>36</v>
      </c>
      <c r="D6" s="5">
        <f>VLOOKUP(C6,Tiers!$A$2:$B$5,2,TRUE)</f>
        <v/>
      </c>
      <c r="E6" s="5">
        <f>LOOKUP(C6,Tiers!$A$2:$A$5,Tiers!$B$2:$B$5)</f>
        <v/>
      </c>
      <c r="F6" s="5">
        <f>INDEX(Tiers!$B$2:$B$5,MATCH(C6,Tiers!$A$2:$A$5,1))</f>
        <v/>
      </c>
      <c r="G6" s="5">
        <f>C6*D6</f>
        <v/>
      </c>
      <c r="H6" s="7">
        <f>IF(AND(D6=E6,E6=F6),"Yes","CHECK")</f>
        <v/>
      </c>
    </row>
    <row r="7">
      <c r="A7" s="6" t="n">
        <v>46288</v>
      </c>
      <c r="B7" t="inlineStr">
        <is>
          <t>Maple Street Bakery</t>
        </is>
      </c>
      <c r="C7" t="n">
        <v>71</v>
      </c>
      <c r="D7" s="5">
        <f>VLOOKUP(C7,Tiers!$A$2:$B$5,2,TRUE)</f>
        <v/>
      </c>
      <c r="E7" s="5">
        <f>LOOKUP(C7,Tiers!$A$2:$A$5,Tiers!$B$2:$B$5)</f>
        <v/>
      </c>
      <c r="F7" s="5">
        <f>INDEX(Tiers!$B$2:$B$5,MATCH(C7,Tiers!$A$2:$A$5,1))</f>
        <v/>
      </c>
      <c r="G7" s="5">
        <f>C7*D7</f>
        <v/>
      </c>
      <c r="H7" s="7">
        <f>IF(AND(D7=E7,E7=F7),"Yes","CHECK")</f>
        <v/>
      </c>
    </row>
    <row r="8">
      <c r="A8" s="6" t="n">
        <v>46291</v>
      </c>
      <c r="B8" t="inlineStr">
        <is>
          <t>Oak &amp; Ember Candles</t>
        </is>
      </c>
      <c r="C8" t="n">
        <v>72</v>
      </c>
      <c r="D8" s="5">
        <f>VLOOKUP(C8,Tiers!$A$2:$B$5,2,TRUE)</f>
        <v/>
      </c>
      <c r="E8" s="5">
        <f>LOOKUP(C8,Tiers!$A$2:$A$5,Tiers!$B$2:$B$5)</f>
        <v/>
      </c>
      <c r="F8" s="5">
        <f>INDEX(Tiers!$B$2:$B$5,MATCH(C8,Tiers!$A$2:$A$5,1))</f>
        <v/>
      </c>
      <c r="G8" s="5">
        <f>C8*D8</f>
        <v/>
      </c>
      <c r="H8" s="7">
        <f>IF(AND(D8=E8,E8=F8),"Yes","CHECK")</f>
        <v/>
      </c>
    </row>
    <row r="9">
      <c r="A9" s="6" t="n">
        <v>46295</v>
      </c>
      <c r="B9" t="inlineStr">
        <is>
          <t>Lakeview Florist</t>
        </is>
      </c>
      <c r="C9" t="n">
        <v>500</v>
      </c>
      <c r="D9" s="5">
        <f>VLOOKUP(C9,Tiers!$A$2:$B$5,2,TRUE)</f>
        <v/>
      </c>
      <c r="E9" s="5">
        <f>LOOKUP(C9,Tiers!$A$2:$A$5,Tiers!$B$2:$B$5)</f>
        <v/>
      </c>
      <c r="F9" s="5">
        <f>INDEX(Tiers!$B$2:$B$5,MATCH(C9,Tiers!$A$2:$A$5,1))</f>
        <v/>
      </c>
      <c r="G9" s="5">
        <f>C9*D9</f>
        <v/>
      </c>
      <c r="H9" s="7">
        <f>IF(AND(D9=E9,E9=F9),"Yes","CHECK")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" customWidth="1" min="3" max="3"/>
    <col width="10" customWidth="1" min="4" max="4"/>
    <col width="16" customWidth="1" min="5" max="5"/>
    <col width="14" customWidth="1" min="6" max="6"/>
  </cols>
  <sheetData>
    <row r="1" ht="30" customHeight="1">
      <c r="A1" s="1" t="inlineStr">
        <is>
          <t>Min quantity</t>
        </is>
      </c>
      <c r="B1" s="1" t="inlineStr">
        <is>
          <t>Unit price</t>
        </is>
      </c>
      <c r="C1" s="1" t="inlineStr"/>
      <c r="D1" s="1" t="inlineStr">
        <is>
          <t>Quantity</t>
        </is>
      </c>
      <c r="E1" s="1" t="inlineStr">
        <is>
          <t>VLOOKUP result</t>
        </is>
      </c>
      <c r="F1" s="1" t="inlineStr">
        <is>
          <t>Correct price</t>
        </is>
      </c>
    </row>
    <row r="2">
      <c r="A2" t="n">
        <v>36</v>
      </c>
      <c r="B2" s="3" t="n">
        <v>9.25</v>
      </c>
      <c r="D2" t="n">
        <v>5</v>
      </c>
      <c r="E2" s="5">
        <f>VLOOKUP(D2,$A$2:$B$5,2,TRUE)</f>
        <v/>
      </c>
      <c r="F2" s="3" t="n">
        <v>12</v>
      </c>
    </row>
    <row r="3">
      <c r="A3" t="n">
        <v>1</v>
      </c>
      <c r="B3" s="3" t="n">
        <v>12</v>
      </c>
      <c r="D3" t="n">
        <v>20</v>
      </c>
      <c r="E3" s="5">
        <f>VLOOKUP(D3,$A$2:$B$5,2,TRUE)</f>
        <v/>
      </c>
      <c r="F3" s="3" t="n">
        <v>10.5</v>
      </c>
    </row>
    <row r="4">
      <c r="A4" t="n">
        <v>72</v>
      </c>
      <c r="B4" s="3" t="n">
        <v>8</v>
      </c>
      <c r="D4" t="n">
        <v>40</v>
      </c>
      <c r="E4" s="5">
        <f>VLOOKUP(D4,$A$2:$B$5,2,TRUE)</f>
        <v/>
      </c>
      <c r="F4" s="3" t="n">
        <v>9.25</v>
      </c>
    </row>
    <row r="5">
      <c r="A5" t="n">
        <v>12</v>
      </c>
      <c r="B5" s="3" t="n">
        <v>10.5</v>
      </c>
      <c r="D5" t="n">
        <v>80</v>
      </c>
      <c r="E5" s="5">
        <f>VLOOKUP(D5,$A$2:$B$5,2,TRUE)</f>
        <v/>
      </c>
      <c r="F5" s="3" t="n">
        <v>8</v>
      </c>
    </row>
    <row r="7">
      <c r="A7" s="8" t="inlineStr">
        <is>
          <t>The tier table above is NOT sorted from smallest to largest, so approximate match can return wrong prices.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Tidy Tabs: Wholesale Price Tiers by Quantity</t>
        </is>
      </c>
    </row>
    <row r="2">
      <c r="A2" t="inlineStr"/>
    </row>
    <row r="3">
      <c r="A3" t="inlineStr">
        <is>
          <t>1. Tiers tab: list the smallest quantity of each tier in A and its unit price in B. Keep column A sorted from smallest to largest. Approximate match depends on that order.</t>
        </is>
      </c>
    </row>
    <row r="4">
      <c r="A4" t="inlineStr">
        <is>
          <t>2. Orders tab: type the quantity in column C. The three unit price columns find the last tier whose minimum is less than or equal to the quantity.</t>
        </is>
      </c>
    </row>
    <row r="5">
      <c r="A5" t="inlineStr">
        <is>
          <t>3. D: =VLOOKUP(C2,Tiers!$A$2:$B$5,2,TRUE). The TRUE (or leaving it out) turns on approximate match.</t>
        </is>
      </c>
    </row>
    <row r="6">
      <c r="A6" t="inlineStr">
        <is>
          <t>4. E: =LOOKUP(C2,Tiers!$A$2:$A$5,Tiers!$B$2:$B$5). F: =INDEX(Tiers!$B$2:$B$5,MATCH(C2,Tiers!$A$2:$A$5,1)). The 1 in MATCH means the same approximate match.</t>
        </is>
      </c>
    </row>
    <row r="7">
      <c r="A7" t="inlineStr">
        <is>
          <t>5. G: =C2*D2 is the order total. H checks that all three methods give the same price.</t>
        </is>
      </c>
    </row>
    <row r="8">
      <c r="A8" t="inlineStr">
        <is>
          <t>6. Edge quantities in the sample: 11 pays the first tier, 12 pays the second; 35 and 36, 71 and 72 work the same way. Quantity 500 uses the last tier.</t>
        </is>
      </c>
    </row>
    <row r="9">
      <c r="A9" t="inlineStr">
        <is>
          <t>7. A quantity below the first minimum (such as 0) returns #N/A. Tiers!F2 to F4 let you try one; F3 wraps the lookup in IFERROR.</t>
        </is>
      </c>
    </row>
    <row r="10">
      <c r="A10" t="inlineStr">
        <is>
          <t>8. Unsorted demo tab: the same tiers in the wrong order. Compare the VLOOKUP result with the correct price. What an unsorted table returns is not guaranteed, so sort it.</t>
        </is>
      </c>
    </row>
    <row r="11">
      <c r="A11" t="inlineStr">
        <is>
          <t>9. To add a tier, insert a row inside the table (not below it) so the ranges grow, and keep the minimums sorted.</t>
        </is>
      </c>
    </row>
    <row r="12">
      <c r="A12" t="inlineStr"/>
    </row>
    <row r="13">
      <c r="A13" t="inlineStr">
        <is>
          <t>Customers, quantities, and prices are fictional. Checked in LibreOffice Calc only; not opened in Excel or Google Sheets.</t>
        </is>
      </c>
    </row>
    <row r="14">
      <c r="A14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2026-10-08T07:27:17Z</dcterms:created>
  <dcterms:modified xmlns:dcterms="http://purl.org/dc/terms/" xmlns:xsi="http://www.w3.org/2001/XMLSchema-instance" xsi:type="dcterms:W3CDTF">2026-10-08T07:27:17Z</dcterms:modified>
</cp:coreProperties>
</file>