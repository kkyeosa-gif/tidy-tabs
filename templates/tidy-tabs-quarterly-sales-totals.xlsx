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By quarter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'Sales'!$1:$1</definedName>
    <definedName name="_xlnm.Print_Titles" localSheetId="1">'By quarter'!$1:$1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 ht="30" customHeight="1">
      <c r="A1" s="1" t="inlineStr">
        <is>
          <t>Sale date</t>
        </is>
      </c>
      <c r="B1" s="1" t="inlineStr">
        <is>
          <t>Amount</t>
        </is>
      </c>
      <c r="C1" s="1" t="inlineStr">
        <is>
          <t>Quarter</t>
        </is>
      </c>
    </row>
    <row r="2">
      <c r="A2" s="2" t="n">
        <v>46011</v>
      </c>
      <c r="B2" s="3" t="n">
        <v>90</v>
      </c>
      <c r="C2" s="4">
        <f>YEAR(A2)&amp;" Q"&amp;ROUNDUP(MONTH(A2)/3,0)</f>
        <v/>
      </c>
    </row>
    <row r="3">
      <c r="A3" s="2" t="n">
        <v>46037</v>
      </c>
      <c r="B3" s="3" t="n">
        <v>120</v>
      </c>
      <c r="C3" s="4">
        <f>YEAR(A3)&amp;" Q"&amp;ROUNDUP(MONTH(A3)/3,0)</f>
        <v/>
      </c>
    </row>
    <row r="4">
      <c r="A4" s="2" t="n">
        <v>46056</v>
      </c>
      <c r="B4" s="3" t="n">
        <v>85.5</v>
      </c>
      <c r="C4" s="4">
        <f>YEAR(A4)&amp;" Q"&amp;ROUNDUP(MONTH(A4)/3,0)</f>
        <v/>
      </c>
    </row>
    <row r="5">
      <c r="A5" s="2" t="n">
        <v>46112</v>
      </c>
      <c r="B5" s="3" t="n">
        <v>200</v>
      </c>
      <c r="C5" s="4">
        <f>YEAR(A5)&amp;" Q"&amp;ROUNDUP(MONTH(A5)/3,0)</f>
        <v/>
      </c>
    </row>
    <row r="6">
      <c r="A6" s="2" t="n">
        <v>46113</v>
      </c>
      <c r="B6" s="3" t="n">
        <v>150</v>
      </c>
      <c r="C6" s="4">
        <f>YEAR(A6)&amp;" Q"&amp;ROUNDUP(MONTH(A6)/3,0)</f>
        <v/>
      </c>
    </row>
    <row r="7">
      <c r="A7" s="2" t="n">
        <v>46130</v>
      </c>
      <c r="B7" s="3" t="n">
        <v>95.25</v>
      </c>
      <c r="C7" s="4">
        <f>YEAR(A7)&amp;" Q"&amp;ROUNDUP(MONTH(A7)/3,0)</f>
        <v/>
      </c>
    </row>
    <row r="8">
      <c r="A8" s="2" t="n">
        <v>46151</v>
      </c>
      <c r="B8" s="3" t="n">
        <v>310</v>
      </c>
      <c r="C8" s="4">
        <f>YEAR(A8)&amp;" Q"&amp;ROUNDUP(MONTH(A8)/3,0)</f>
        <v/>
      </c>
    </row>
    <row r="9">
      <c r="A9" s="2" t="n">
        <v>46203</v>
      </c>
      <c r="B9" s="3" t="n">
        <v>75</v>
      </c>
      <c r="C9" s="4">
        <f>YEAR(A9)&amp;" Q"&amp;ROUNDUP(MONTH(A9)/3,0)</f>
        <v/>
      </c>
    </row>
    <row r="10">
      <c r="A10" s="2" t="n">
        <v>46204</v>
      </c>
      <c r="B10" s="3" t="n">
        <v>220</v>
      </c>
      <c r="C10" s="4">
        <f>YEAR(A10)&amp;" Q"&amp;ROUNDUP(MONTH(A10)/3,0)</f>
        <v/>
      </c>
    </row>
    <row r="11">
      <c r="A11" s="2" t="n">
        <v>46225</v>
      </c>
      <c r="B11" s="3" t="n">
        <v>60.5</v>
      </c>
      <c r="C11" s="4">
        <f>YEAR(A11)&amp;" Q"&amp;ROUNDUP(MONTH(A11)/3,0)</f>
        <v/>
      </c>
    </row>
    <row r="12">
      <c r="A12" s="2" t="n">
        <v>46248</v>
      </c>
      <c r="B12" s="3" t="n">
        <v>180</v>
      </c>
      <c r="C12" s="4">
        <f>YEAR(A12)&amp;" Q"&amp;ROUNDUP(MONTH(A12)/3,0)</f>
        <v/>
      </c>
    </row>
    <row r="13">
      <c r="A13" s="2" t="n">
        <v>46295</v>
      </c>
      <c r="B13" s="3" t="n">
        <v>140</v>
      </c>
      <c r="C13" s="4">
        <f>YEAR(A13)&amp;" Q"&amp;ROUNDUP(MONTH(A13)/3,0)</f>
        <v/>
      </c>
    </row>
    <row r="14">
      <c r="A14" s="2" t="n">
        <v>46296</v>
      </c>
      <c r="B14" s="3" t="n">
        <v>99.98999999999999</v>
      </c>
      <c r="C14" s="4">
        <f>YEAR(A14)&amp;" Q"&amp;ROUNDUP(MONTH(A14)/3,0)</f>
        <v/>
      </c>
    </row>
    <row r="15">
      <c r="A15" s="2" t="n">
        <v>46300</v>
      </c>
      <c r="B15" s="3" t="n">
        <v>250</v>
      </c>
      <c r="C15" s="4">
        <f>YEAR(A15)&amp;" Q"&amp;ROUNDUP(MONTH(A15)/3,0)</f>
        <v/>
      </c>
    </row>
    <row r="16">
      <c r="A16" s="2" t="n">
        <v>46337</v>
      </c>
      <c r="B16" s="3" t="n">
        <v>130</v>
      </c>
      <c r="C16" s="4">
        <f>YEAR(A16)&amp;" Q"&amp;ROUNDUP(MONTH(A16)/3,0)</f>
        <v/>
      </c>
    </row>
    <row r="17">
      <c r="A17" s="2" t="n">
        <v>46387</v>
      </c>
      <c r="B17" s="3" t="n">
        <v>300</v>
      </c>
      <c r="C17" s="4">
        <f>YEAR(A17)&amp;" Q"&amp;ROUNDUP(MONTH(A17)/3,0)</f>
        <v/>
      </c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9" customWidth="1" min="4" max="4"/>
    <col width="19" customWidth="1" min="5" max="5"/>
    <col width="9" customWidth="1" min="6" max="6"/>
  </cols>
  <sheetData>
    <row r="1" ht="30" customHeight="1">
      <c r="A1" s="1" t="inlineStr">
        <is>
          <t>Quarter</t>
        </is>
      </c>
      <c r="B1" s="1" t="inlineStr">
        <is>
          <t>Quarter starts</t>
        </is>
      </c>
      <c r="C1" s="1" t="inlineStr">
        <is>
          <t>Total (helper column)</t>
        </is>
      </c>
      <c r="D1" s="1" t="inlineStr">
        <is>
          <t>Orders</t>
        </is>
      </c>
      <c r="E1" s="1" t="inlineStr">
        <is>
          <t>Total (date range)</t>
        </is>
      </c>
      <c r="F1" s="1" t="inlineStr">
        <is>
          <t>Same?</t>
        </is>
      </c>
    </row>
    <row r="2">
      <c r="A2" s="4">
        <f>YEAR(B2)&amp;" Q"&amp;ROUNDUP(MONTH(B2)/3,0)</f>
        <v/>
      </c>
      <c r="B2" s="2" t="n">
        <v>45931</v>
      </c>
      <c r="C2" s="5">
        <f>SUMIFS(Sales!$B$2:$B$200,Sales!$C$2:$C$200,A2)</f>
        <v/>
      </c>
      <c r="D2" s="4">
        <f>COUNTIFS(Sales!$C$2:$C$200,A2)</f>
        <v/>
      </c>
      <c r="E2" s="5">
        <f>SUMIFS(Sales!$B$2:$B$200,Sales!$A$2:$A$200,"&gt;="&amp;B2,Sales!$A$2:$A$200,"&lt;"&amp;EDATE(B2,3))</f>
        <v/>
      </c>
      <c r="F2" s="4">
        <f>IF(ROUND(C2-E2,2)=0,"Yes","CHECK")</f>
        <v/>
      </c>
    </row>
    <row r="3">
      <c r="A3" s="4">
        <f>YEAR(B3)&amp;" Q"&amp;ROUNDUP(MONTH(B3)/3,0)</f>
        <v/>
      </c>
      <c r="B3" s="2" t="n">
        <v>46023</v>
      </c>
      <c r="C3" s="5">
        <f>SUMIFS(Sales!$B$2:$B$200,Sales!$C$2:$C$200,A3)</f>
        <v/>
      </c>
      <c r="D3" s="4">
        <f>COUNTIFS(Sales!$C$2:$C$200,A3)</f>
        <v/>
      </c>
      <c r="E3" s="5">
        <f>SUMIFS(Sales!$B$2:$B$200,Sales!$A$2:$A$200,"&gt;="&amp;B3,Sales!$A$2:$A$200,"&lt;"&amp;EDATE(B3,3))</f>
        <v/>
      </c>
      <c r="F3" s="4">
        <f>IF(ROUND(C3-E3,2)=0,"Yes","CHECK")</f>
        <v/>
      </c>
    </row>
    <row r="4">
      <c r="A4" s="4">
        <f>YEAR(B4)&amp;" Q"&amp;ROUNDUP(MONTH(B4)/3,0)</f>
        <v/>
      </c>
      <c r="B4" s="2" t="n">
        <v>46113</v>
      </c>
      <c r="C4" s="5">
        <f>SUMIFS(Sales!$B$2:$B$200,Sales!$C$2:$C$200,A4)</f>
        <v/>
      </c>
      <c r="D4" s="4">
        <f>COUNTIFS(Sales!$C$2:$C$200,A4)</f>
        <v/>
      </c>
      <c r="E4" s="5">
        <f>SUMIFS(Sales!$B$2:$B$200,Sales!$A$2:$A$200,"&gt;="&amp;B4,Sales!$A$2:$A$200,"&lt;"&amp;EDATE(B4,3))</f>
        <v/>
      </c>
      <c r="F4" s="4">
        <f>IF(ROUND(C4-E4,2)=0,"Yes","CHECK")</f>
        <v/>
      </c>
    </row>
    <row r="5">
      <c r="A5" s="4">
        <f>YEAR(B5)&amp;" Q"&amp;ROUNDUP(MONTH(B5)/3,0)</f>
        <v/>
      </c>
      <c r="B5" s="2" t="n">
        <v>46204</v>
      </c>
      <c r="C5" s="5">
        <f>SUMIFS(Sales!$B$2:$B$200,Sales!$C$2:$C$200,A5)</f>
        <v/>
      </c>
      <c r="D5" s="4">
        <f>COUNTIFS(Sales!$C$2:$C$200,A5)</f>
        <v/>
      </c>
      <c r="E5" s="5">
        <f>SUMIFS(Sales!$B$2:$B$200,Sales!$A$2:$A$200,"&gt;="&amp;B5,Sales!$A$2:$A$200,"&lt;"&amp;EDATE(B5,3))</f>
        <v/>
      </c>
      <c r="F5" s="4">
        <f>IF(ROUND(C5-E5,2)=0,"Yes","CHECK")</f>
        <v/>
      </c>
    </row>
    <row r="6">
      <c r="A6" s="4">
        <f>YEAR(B6)&amp;" Q"&amp;ROUNDUP(MONTH(B6)/3,0)</f>
        <v/>
      </c>
      <c r="B6" s="2" t="n">
        <v>46296</v>
      </c>
      <c r="C6" s="5">
        <f>SUMIFS(Sales!$B$2:$B$200,Sales!$C$2:$C$200,A6)</f>
        <v/>
      </c>
      <c r="D6" s="4">
        <f>COUNTIFS(Sales!$C$2:$C$200,A6)</f>
        <v/>
      </c>
      <c r="E6" s="5">
        <f>SUMIFS(Sales!$B$2:$B$200,Sales!$A$2:$A$200,"&gt;="&amp;B6,Sales!$A$2:$A$200,"&lt;"&amp;EDATE(B6,3))</f>
        <v/>
      </c>
      <c r="F6" s="4">
        <f>IF(ROUND(C6-E6,2)=0,"Yes","CHECK")</f>
        <v/>
      </c>
    </row>
    <row r="7">
      <c r="A7" s="6" t="inlineStr">
        <is>
          <t>All quarters</t>
        </is>
      </c>
      <c r="C7" s="3">
        <f>SUM(C2:C6)</f>
        <v/>
      </c>
      <c r="D7">
        <f>SUM(D2:D6)</f>
        <v/>
      </c>
      <c r="E7" s="3">
        <f>SUM(E2:E6)</f>
        <v/>
      </c>
    </row>
    <row r="8">
      <c r="A8" s="6" t="inlineStr">
        <is>
          <t>All sales on Sales tab</t>
        </is>
      </c>
      <c r="C8" s="3">
        <f>SUM(Sales!B2:B200)</f>
        <v/>
      </c>
      <c r="D8">
        <f>COUNT(Sales!B2:B200)</f>
        <v/>
      </c>
    </row>
  </sheetData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Tidy Tabs: Total Sales by Quarter</t>
        </is>
      </c>
    </row>
    <row r="2">
      <c r="A2" s="8" t="inlineStr"/>
    </row>
    <row r="3">
      <c r="A3" s="8" t="inlineStr">
        <is>
          <t>1. Sales tab: type the sale date in A (a real date, not text) and the amount in B. Column C is a formula: fill it down.</t>
        </is>
      </c>
    </row>
    <row r="4">
      <c r="A4" s="8" t="inlineStr">
        <is>
          <t>2. C2: =YEAR(A2)&amp;" Q"&amp;ROUNDUP(MONTH(A2)/3,0). ROUNDUP(MONTH/3,0) turns months 1 to 3 into 1, 4 to 6 into 2, 7 to 9 into 3 and 10 to 12 into 4. The year is added so 2025 Q4 and 2026 Q4 stay separate.</t>
        </is>
      </c>
    </row>
    <row r="5">
      <c r="A5" s="8" t="inlineStr">
        <is>
          <t>3. By quarter tab, C2: =SUMIFS(Sales!$B$2:$B$200,Sales!$C$2:$C$200,A2) adds every sale with that quarter label. D counts the orders with COUNTIFS.</t>
        </is>
      </c>
    </row>
    <row r="6">
      <c r="A6" s="8" t="inlineStr">
        <is>
          <t>4. E2 gets the same total without a helper column, by date range: =SUMIFS(amounts,dates,"&gt;="&amp;B2,dates,"&lt;"&amp;EDATE(B2,3)). B2 is the first day of the quarter. F says Yes when both agree.</t>
        </is>
      </c>
    </row>
    <row r="7">
      <c r="A7" s="8" t="inlineStr">
        <is>
          <t>5. Row 7 adds the quarters and row 8 adds the whole Sales tab. If they differ, a date is outside the quarters listed or is stored as text.</t>
        </is>
      </c>
    </row>
    <row r="8">
      <c r="A8" s="8" t="inlineStr">
        <is>
          <t>6. Quarters here are calendar quarters (January to March is Q1). If your business year starts in another month, this sheet does not apply as is.</t>
        </is>
      </c>
    </row>
    <row r="9">
      <c r="A9" s="8" t="inlineStr">
        <is>
          <t>7. 03/31 and 04/01 fall in different quarters, and 12/31 is in Q4. Both methods handle the boundary days.</t>
        </is>
      </c>
    </row>
    <row r="10">
      <c r="A10" s="8" t="inlineStr"/>
    </row>
    <row r="11">
      <c r="A11" s="8" t="inlineStr">
        <is>
          <t>Sales and amounts are fictional. Checked in LibreOffice Calc only; not opened in Excel or Google Sheets.</t>
        </is>
      </c>
    </row>
    <row r="12">
      <c r="A12" s="8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2026-10-10T07:28:09Z</dcterms:created>
  <dcterms:modified xmlns:dcterms="http://purl.org/dc/terms/" xmlns:xsi="http://www.w3.org/2001/XMLSchema-instance" xsi:type="dcterms:W3CDTF">2026-10-10T07:28:09Z</dcterms:modified>
</cp:coreProperties>
</file>