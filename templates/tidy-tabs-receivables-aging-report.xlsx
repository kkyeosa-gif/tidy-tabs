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Aging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  <xf numFmtId="165" fontId="0" fillId="3" borderId="0" pivotButton="0" quotePrefix="0" xfId="0"/>
    <xf numFmtId="166" fontId="0" fillId="0" borderId="0" pivotButton="0" quotePrefix="0" xfId="0"/>
    <xf numFmtId="166" fontId="0" fillId="3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1" fillId="2" borderId="0" pivotButton="0" quotePrefix="0" xfId="0"/>
    <xf numFmtId="166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1" customWidth="1" min="9" max="9"/>
    <col width="11" customWidth="1" min="10" max="10"/>
  </cols>
  <sheetData>
    <row r="1" ht="30" customHeight="1">
      <c r="A1" s="1" t="inlineStr">
        <is>
          <t>Invoice #</t>
        </is>
      </c>
      <c r="B1" s="1" t="inlineStr">
        <is>
          <t>Client</t>
        </is>
      </c>
      <c r="C1" s="1" t="inlineStr">
        <is>
          <t>Invoice date</t>
        </is>
      </c>
      <c r="D1" s="1" t="inlineStr">
        <is>
          <t>Terms (days)</t>
        </is>
      </c>
      <c r="E1" s="1" t="inlineStr">
        <is>
          <t>Due date</t>
        </is>
      </c>
      <c r="F1" s="1" t="inlineStr">
        <is>
          <t>Amount</t>
        </is>
      </c>
      <c r="G1" s="1" t="inlineStr">
        <is>
          <t>Paid on</t>
        </is>
      </c>
      <c r="H1" s="1" t="inlineStr">
        <is>
          <t>Balance</t>
        </is>
      </c>
      <c r="I1" s="1" t="inlineStr">
        <is>
          <t>Days past due</t>
        </is>
      </c>
      <c r="J1" s="1" t="inlineStr">
        <is>
          <t>Bucket</t>
        </is>
      </c>
    </row>
    <row r="2">
      <c r="A2" t="inlineStr">
        <is>
          <t>1001</t>
        </is>
      </c>
      <c r="B2" t="inlineStr">
        <is>
          <t>Harbor Dental</t>
        </is>
      </c>
      <c r="C2" s="2" t="n">
        <v>46204</v>
      </c>
      <c r="D2" t="n">
        <v>30</v>
      </c>
      <c r="E2" s="3">
        <f>C2+D2</f>
        <v/>
      </c>
      <c r="F2" s="4" t="n">
        <v>650</v>
      </c>
      <c r="G2" s="2" t="n">
        <v>46239</v>
      </c>
      <c r="H2" s="5">
        <f>IF(OR(F2="",G2&lt;&gt;""),0,F2)</f>
        <v/>
      </c>
      <c r="I2" s="6">
        <f>IF(H2=0,"",MAX(0,Aging!$B$1-E2))</f>
        <v/>
      </c>
      <c r="J2" s="6">
        <f>IF(H2=0,"Paid",IF(I2=0,"Current",IF(I2&lt;=30,"1-30",IF(I2&lt;=60,"31-60",IF(I2&lt;=90,"61-90","90+")))))</f>
        <v/>
      </c>
    </row>
    <row r="3">
      <c r="A3" t="inlineStr">
        <is>
          <t>1002</t>
        </is>
      </c>
      <c r="B3" t="inlineStr">
        <is>
          <t>Pine &amp; Co. Realty</t>
        </is>
      </c>
      <c r="C3" s="2" t="n">
        <v>46218</v>
      </c>
      <c r="D3" t="n">
        <v>30</v>
      </c>
      <c r="E3" s="3">
        <f>C3+D3</f>
        <v/>
      </c>
      <c r="F3" s="4" t="n">
        <v>1200</v>
      </c>
      <c r="G3" s="2" t="n"/>
      <c r="H3" s="5">
        <f>IF(OR(F3="",G3&lt;&gt;""),0,F3)</f>
        <v/>
      </c>
      <c r="I3" s="6">
        <f>IF(H3=0,"",MAX(0,Aging!$B$1-E3))</f>
        <v/>
      </c>
      <c r="J3" s="6">
        <f>IF(H3=0,"Paid",IF(I3=0,"Current",IF(I3&lt;=30,"1-30",IF(I3&lt;=60,"31-60",IF(I3&lt;=90,"61-90","90+")))))</f>
        <v/>
      </c>
    </row>
    <row r="4">
      <c r="A4" t="inlineStr">
        <is>
          <t>1003</t>
        </is>
      </c>
      <c r="B4" t="inlineStr">
        <is>
          <t>Lakeside Yoga</t>
        </is>
      </c>
      <c r="C4" s="2" t="n">
        <v>46244</v>
      </c>
      <c r="D4" t="n">
        <v>30</v>
      </c>
      <c r="E4" s="3">
        <f>C4+D4</f>
        <v/>
      </c>
      <c r="F4" s="4" t="n">
        <v>380</v>
      </c>
      <c r="G4" s="2" t="n"/>
      <c r="H4" s="5">
        <f>IF(OR(F4="",G4&lt;&gt;""),0,F4)</f>
        <v/>
      </c>
      <c r="I4" s="6">
        <f>IF(H4=0,"",MAX(0,Aging!$B$1-E4))</f>
        <v/>
      </c>
      <c r="J4" s="6">
        <f>IF(H4=0,"Paid",IF(I4=0,"Current",IF(I4&lt;=30,"1-30",IF(I4&lt;=60,"31-60",IF(I4&lt;=90,"61-90","90+")))))</f>
        <v/>
      </c>
    </row>
    <row r="5">
      <c r="A5" t="inlineStr">
        <is>
          <t>1004</t>
        </is>
      </c>
      <c r="B5" t="inlineStr">
        <is>
          <t>Main St. Gift Shop</t>
        </is>
      </c>
      <c r="C5" s="2" t="n">
        <v>46259</v>
      </c>
      <c r="D5" t="n">
        <v>15</v>
      </c>
      <c r="E5" s="3">
        <f>C5+D5</f>
        <v/>
      </c>
      <c r="F5" s="4" t="n">
        <v>300</v>
      </c>
      <c r="G5" s="2" t="n"/>
      <c r="H5" s="5">
        <f>IF(OR(F5="",G5&lt;&gt;""),0,F5)</f>
        <v/>
      </c>
      <c r="I5" s="6">
        <f>IF(H5=0,"",MAX(0,Aging!$B$1-E5))</f>
        <v/>
      </c>
      <c r="J5" s="6">
        <f>IF(H5=0,"Paid",IF(I5=0,"Current",IF(I5&lt;=30,"1-30",IF(I5&lt;=60,"31-60",IF(I5&lt;=90,"61-90","90+")))))</f>
        <v/>
      </c>
    </row>
    <row r="6">
      <c r="A6" t="inlineStr">
        <is>
          <t>1005</t>
        </is>
      </c>
      <c r="B6" t="inlineStr">
        <is>
          <t>Northside Print Co.</t>
        </is>
      </c>
      <c r="C6" s="2" t="n">
        <v>46270</v>
      </c>
      <c r="D6" t="n">
        <v>30</v>
      </c>
      <c r="E6" s="3">
        <f>C6+D6</f>
        <v/>
      </c>
      <c r="F6" s="4" t="n">
        <v>875</v>
      </c>
      <c r="G6" s="2" t="n"/>
      <c r="H6" s="5">
        <f>IF(OR(F6="",G6&lt;&gt;""),0,F6)</f>
        <v/>
      </c>
      <c r="I6" s="6">
        <f>IF(H6=0,"",MAX(0,Aging!$B$1-E6))</f>
        <v/>
      </c>
      <c r="J6" s="6">
        <f>IF(H6=0,"Paid",IF(I6=0,"Current",IF(I6&lt;=30,"1-30",IF(I6&lt;=60,"31-60",IF(I6&lt;=90,"61-90","90+")))))</f>
        <v/>
      </c>
    </row>
    <row r="7">
      <c r="A7" t="inlineStr">
        <is>
          <t>1006</t>
        </is>
      </c>
      <c r="B7" t="inlineStr">
        <is>
          <t>Desert Bloom Candles</t>
        </is>
      </c>
      <c r="C7" s="2" t="n">
        <v>46162</v>
      </c>
      <c r="D7" t="n">
        <v>30</v>
      </c>
      <c r="E7" s="3">
        <f>C7+D7</f>
        <v/>
      </c>
      <c r="F7" s="4" t="n">
        <v>450</v>
      </c>
      <c r="G7" s="2" t="n"/>
      <c r="H7" s="5">
        <f>IF(OR(F7="",G7&lt;&gt;""),0,F7)</f>
        <v/>
      </c>
      <c r="I7" s="6">
        <f>IF(H7=0,"",MAX(0,Aging!$B$1-E7))</f>
        <v/>
      </c>
      <c r="J7" s="6">
        <f>IF(H7=0,"Paid",IF(I7=0,"Current",IF(I7&lt;=30,"1-30",IF(I7&lt;=60,"31-60",IF(I7&lt;=90,"61-90","90+")))))</f>
        <v/>
      </c>
    </row>
    <row r="8">
      <c r="A8" t="inlineStr">
        <is>
          <t>1007</t>
        </is>
      </c>
      <c r="B8" t="inlineStr">
        <is>
          <t>Wasatch Bike Repair</t>
        </is>
      </c>
      <c r="C8" s="2" t="n">
        <v>46203</v>
      </c>
      <c r="D8" t="n">
        <v>30</v>
      </c>
      <c r="E8" s="3">
        <f>C8+D8</f>
        <v/>
      </c>
      <c r="F8" s="4" t="n">
        <v>220</v>
      </c>
      <c r="G8" s="2" t="n"/>
      <c r="H8" s="5">
        <f>IF(OR(F8="",G8&lt;&gt;""),0,F8)</f>
        <v/>
      </c>
      <c r="I8" s="6">
        <f>IF(H8=0,"",MAX(0,Aging!$B$1-E8))</f>
        <v/>
      </c>
      <c r="J8" s="6">
        <f>IF(H8=0,"Paid",IF(I8=0,"Current",IF(I8&lt;=30,"1-30",IF(I8&lt;=60,"31-60",IF(I8&lt;=90,"61-90","90+")))))</f>
        <v/>
      </c>
    </row>
    <row r="9">
      <c r="A9" t="inlineStr">
        <is>
          <t>1008</t>
        </is>
      </c>
      <c r="B9" t="inlineStr">
        <is>
          <t>Gateway Bakery</t>
        </is>
      </c>
      <c r="C9" s="2" t="n">
        <v>46285</v>
      </c>
      <c r="D9" t="n">
        <v>30</v>
      </c>
      <c r="E9" s="3">
        <f>C9+D9</f>
        <v/>
      </c>
      <c r="F9" s="4" t="n">
        <v>540</v>
      </c>
      <c r="G9" s="2" t="n"/>
      <c r="H9" s="5">
        <f>IF(OR(F9="",G9&lt;&gt;""),0,F9)</f>
        <v/>
      </c>
      <c r="I9" s="6">
        <f>IF(H9=0,"",MAX(0,Aging!$B$1-E9))</f>
        <v/>
      </c>
      <c r="J9" s="6">
        <f>IF(H9=0,"Paid",IF(I9=0,"Current",IF(I9&lt;=30,"1-30",IF(I9&lt;=60,"31-60",IF(I9&lt;=90,"61-90","90+")))))</f>
        <v/>
      </c>
    </row>
    <row r="10">
      <c r="A10" t="inlineStr">
        <is>
          <t>1009</t>
        </is>
      </c>
      <c r="B10" t="inlineStr">
        <is>
          <t>Harbor Dental</t>
        </is>
      </c>
      <c r="C10" s="2" t="n">
        <v>46280</v>
      </c>
      <c r="D10" t="n">
        <v>30</v>
      </c>
      <c r="E10" s="3">
        <f>C10+D10</f>
        <v/>
      </c>
      <c r="F10" s="4" t="n">
        <v>650</v>
      </c>
      <c r="G10" s="2" t="n"/>
      <c r="H10" s="5">
        <f>IF(OR(F10="",G10&lt;&gt;""),0,F10)</f>
        <v/>
      </c>
      <c r="I10" s="6">
        <f>IF(H10=0,"",MAX(0,Aging!$B$1-E10))</f>
        <v/>
      </c>
      <c r="J10" s="6">
        <f>IF(H10=0,"Paid",IF(I10=0,"Current",IF(I10&lt;=30,"1-30",IF(I10&lt;=60,"31-60",IF(I10&lt;=90,"61-90","90+")))))</f>
        <v/>
      </c>
    </row>
  </sheetData>
  <conditionalFormatting sqref="J2:J500">
    <cfRule type="expression" priority="1" dxfId="0">
      <formula>OR($J2="61-90",$J2="90+")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</cols>
  <sheetData>
    <row r="1">
      <c r="A1" s="7" t="inlineStr">
        <is>
          <t>As of date</t>
        </is>
      </c>
      <c r="B1" s="2" t="n">
        <v>46295</v>
      </c>
    </row>
    <row r="3">
      <c r="A3" s="8" t="inlineStr">
        <is>
          <t>Bucket (days past due)</t>
        </is>
      </c>
      <c r="B3" s="8" t="inlineStr">
        <is>
          <t>Balance</t>
        </is>
      </c>
      <c r="C3" s="8" t="inlineStr">
        <is>
          <t>Invoices</t>
        </is>
      </c>
    </row>
    <row r="4">
      <c r="A4" t="inlineStr">
        <is>
          <t>Current</t>
        </is>
      </c>
      <c r="B4" s="4">
        <f>SUMIFS(Invoices!$H$2:$H$500,Invoices!$J$2:$J$500,A4)</f>
        <v/>
      </c>
      <c r="C4">
        <f>COUNTIFS(Invoices!$J$2:$J$500,A4)</f>
        <v/>
      </c>
    </row>
    <row r="5">
      <c r="A5" t="inlineStr">
        <is>
          <t>1-30</t>
        </is>
      </c>
      <c r="B5" s="4">
        <f>SUMIFS(Invoices!$H$2:$H$500,Invoices!$J$2:$J$500,A5)</f>
        <v/>
      </c>
      <c r="C5">
        <f>COUNTIFS(Invoices!$J$2:$J$500,A5)</f>
        <v/>
      </c>
    </row>
    <row r="6">
      <c r="A6" t="inlineStr">
        <is>
          <t>31-60</t>
        </is>
      </c>
      <c r="B6" s="4">
        <f>SUMIFS(Invoices!$H$2:$H$500,Invoices!$J$2:$J$500,A6)</f>
        <v/>
      </c>
      <c r="C6">
        <f>COUNTIFS(Invoices!$J$2:$J$500,A6)</f>
        <v/>
      </c>
    </row>
    <row r="7">
      <c r="A7" t="inlineStr">
        <is>
          <t>61-90</t>
        </is>
      </c>
      <c r="B7" s="4">
        <f>SUMIFS(Invoices!$H$2:$H$500,Invoices!$J$2:$J$500,A7)</f>
        <v/>
      </c>
      <c r="C7">
        <f>COUNTIFS(Invoices!$J$2:$J$500,A7)</f>
        <v/>
      </c>
    </row>
    <row r="8">
      <c r="A8" t="inlineStr">
        <is>
          <t>90+</t>
        </is>
      </c>
      <c r="B8" s="4">
        <f>SUMIFS(Invoices!$H$2:$H$500,Invoices!$J$2:$J$500,A8)</f>
        <v/>
      </c>
      <c r="C8">
        <f>COUNTIFS(Invoices!$J$2:$J$500,A8)</f>
        <v/>
      </c>
    </row>
    <row r="9">
      <c r="A9" s="7" t="inlineStr">
        <is>
          <t>Total outstanding</t>
        </is>
      </c>
      <c r="B9" s="9">
        <f>SUM(B4:B8)</f>
        <v/>
      </c>
      <c r="C9">
        <f>SUM(C4:C8)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Tidy Tabs: Accounts Receivable Aging Report</t>
        </is>
      </c>
    </row>
    <row r="2">
      <c r="A2" t="inlineStr"/>
    </row>
    <row r="3">
      <c r="A3" t="inlineStr">
        <is>
          <t>1. Invoices tab: one row per invoice. Fill Invoice #, Client, Invoice date, Terms (days), Amount. Type Paid on when the money arrives.</t>
        </is>
      </c>
    </row>
    <row r="4">
      <c r="A4" t="inlineStr">
        <is>
          <t>2. Due date = Invoice date + Terms. Balance is the Amount until you enter a Paid on date, then 0.</t>
        </is>
      </c>
    </row>
    <row r="5">
      <c r="A5" t="inlineStr">
        <is>
          <t>3. Days past due = As of date minus Due date (0 if not late yet). The As of date is cell B1 on the Aging tab.</t>
        </is>
      </c>
    </row>
    <row r="6">
      <c r="A6" t="inlineStr">
        <is>
          <t>4. Bucket sorts each unpaid invoice into Current, 1-30, 31-60, 61-90, or 90+ days past due.</t>
        </is>
      </c>
    </row>
    <row r="7">
      <c r="A7" t="inlineStr">
        <is>
          <t>5. Aging tab adds up Balance by bucket with SUMIFS. Type =TODAY() in B1 to always age as of today; the sample uses 09/30/2026 so the numbers stay put.</t>
        </is>
      </c>
    </row>
    <row r="8">
      <c r="A8" t="inlineStr"/>
    </row>
    <row r="9">
      <c r="A9" t="inlineStr">
        <is>
          <t>Clients and amounts are fictional. This only groups invoices by how late they are; it makes no decision about collection or write-offs.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2026-09-29T07:27:06Z</dcterms:created>
  <dcterms:modified xsi:type="dcterms:W3CDTF">2026-09-29T07:27:06Z</dcterms:modified>
</cp:coreProperties>
</file>