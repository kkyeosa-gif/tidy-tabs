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'Dates'!$6:$6</definedName>
    <definedName name="_xlnm.Print_Area" localSheetId="0">'Dates'!$A$1:$G$32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2" fillId="0" borderId="0" pivotButton="0" quotePrefix="0" xfId="0"/>
    <xf numFmtId="0" fontId="0" fillId="2" borderId="0" pivotButton="0" quotePrefix="0" xfId="0"/>
    <xf numFmtId="1" fontId="0" fillId="2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vertical="center" wrapText="1"/>
    </xf>
    <xf numFmtId="1" fontId="0" fillId="3" borderId="0" applyAlignment="1" pivotButton="0" quotePrefix="0" xfId="0">
      <alignment horizontal="center"/>
    </xf>
    <xf numFmtId="165" fontId="0" fillId="3" borderId="0" pivotButton="0" quotePrefix="0" xfId="0"/>
    <xf numFmtId="165" fontId="0" fillId="3" borderId="0" applyAlignment="1" pivotButton="0" quotePrefix="0" xfId="0">
      <alignment horizontal="right"/>
    </xf>
    <xf numFmtId="1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2" customWidth="1" min="4" max="4"/>
    <col width="3" customWidth="1" min="5" max="5"/>
    <col width="40" customWidth="1" min="6" max="6"/>
    <col width="14" customWidth="1" min="7" max="7"/>
  </cols>
  <sheetData>
    <row r="1">
      <c r="A1" s="1" t="inlineStr">
        <is>
          <t>Start date</t>
        </is>
      </c>
      <c r="C1" s="2" t="n">
        <v>46341</v>
      </c>
      <c r="D1" s="3" t="inlineStr">
        <is>
          <t>Typed, MM/DD/YYYY. Twice a month = the 15th and the last day of the month.</t>
        </is>
      </c>
    </row>
    <row r="2">
      <c r="A2" s="1" t="inlineStr">
        <is>
          <t>How often</t>
        </is>
      </c>
      <c r="C2" s="4" t="inlineStr">
        <is>
          <t>Twice a month</t>
        </is>
      </c>
    </row>
    <row r="3">
      <c r="A3" s="1" t="inlineStr">
        <is>
          <t>Dates to list (1-26)</t>
        </is>
      </c>
      <c r="C3" s="5" t="n">
        <v>24</v>
      </c>
    </row>
    <row r="4">
      <c r="A4" s="1" t="inlineStr">
        <is>
          <t>Input check</t>
        </is>
      </c>
      <c r="C4" s="6">
        <f>IF(ISNUMBER(C1),IF(OR(C2="Twice a month",C2="Every 14 days"),IF(ISNUMBER(C3),IF(AND(C3&gt;=1,C3&lt;=26,C3=INT(C3)),"OK","Dates to list must be a whole number from 1 to 26"),"Type a number in C3"),"Pick Twice a month or Every 14 days in C2"),"Type a date in C1")</f>
        <v/>
      </c>
    </row>
    <row r="6" ht="24" customHeight="1">
      <c r="A6" s="7" t="inlineStr">
        <is>
          <t>No.</t>
        </is>
      </c>
      <c r="B6" s="7" t="inlineStr">
        <is>
          <t>Date</t>
        </is>
      </c>
      <c r="C6" s="7" t="inlineStr">
        <is>
          <t>Weekday</t>
        </is>
      </c>
      <c r="D6" s="7" t="inlineStr">
        <is>
          <t>Weekend?</t>
        </is>
      </c>
    </row>
    <row r="7">
      <c r="A7" s="8">
        <f>IF($C$4="OK",IF(ROWS(A$7:A7)&lt;=$C$3,ROWS(A$7:A7),""),"")</f>
        <v/>
      </c>
      <c r="B7" s="9">
        <f>IF(A7="","",IF($C$2="Every 14 days",$C$1,IF(DAY($C$1)&lt;=15,DATE(YEAR($C$1),MONTH($C$1),15),EOMONTH($C$1,0))))</f>
        <v/>
      </c>
      <c r="C7" s="6">
        <f>IF(B7="","",TEXT(B7,"ddd"))</f>
        <v/>
      </c>
      <c r="D7" s="6">
        <f>IF(B7="","",IF(WEEKDAY(B7,2)&gt;5,"Weekend",""))</f>
        <v/>
      </c>
      <c r="F7" s="1" t="inlineStr">
        <is>
          <t>First date</t>
        </is>
      </c>
      <c r="G7" s="10">
        <f>IF(C4="OK",B7,"")</f>
        <v/>
      </c>
    </row>
    <row r="8">
      <c r="A8" s="8">
        <f>IF($C$4="OK",IF(ROWS(A$7:A8)&lt;=$C$3,ROWS(A$7:A8),""),"")</f>
        <v/>
      </c>
      <c r="B8" s="9">
        <f>IF(A8="","",IF($C$2="Every 14 days",B7+14,IF(DAY(B7)=15,EOMONTH(B7,0),DATE(YEAR(B7),MONTH(B7)+1,15))))</f>
        <v/>
      </c>
      <c r="C8" s="6">
        <f>IF(B8="","",TEXT(B8,"ddd"))</f>
        <v/>
      </c>
      <c r="D8" s="6">
        <f>IF(B8="","",IF(WEEKDAY(B8,2)&gt;5,"Weekend",""))</f>
        <v/>
      </c>
      <c r="F8" s="1" t="inlineStr">
        <is>
          <t>Last date</t>
        </is>
      </c>
      <c r="G8" s="10">
        <f>IF(C4="OK",INDEX(B7:B32,C3),"")</f>
        <v/>
      </c>
    </row>
    <row r="9">
      <c r="A9" s="8">
        <f>IF($C$4="OK",IF(ROWS(A$7:A9)&lt;=$C$3,ROWS(A$7:A9),""),"")</f>
        <v/>
      </c>
      <c r="B9" s="9">
        <f>IF(A9="","",IF($C$2="Every 14 days",B8+14,IF(DAY(B8)=15,EOMONTH(B8,0),DATE(YEAR(B8),MONTH(B8)+1,15))))</f>
        <v/>
      </c>
      <c r="C9" s="6">
        <f>IF(B9="","",TEXT(B9,"ddd"))</f>
        <v/>
      </c>
      <c r="D9" s="6">
        <f>IF(B9="","",IF(WEEKDAY(B9,2)&gt;5,"Weekend",""))</f>
        <v/>
      </c>
      <c r="F9" s="1" t="inlineStr">
        <is>
          <t>Dates listed</t>
        </is>
      </c>
      <c r="G9" s="11">
        <f>COUNT(B7:B32)</f>
        <v/>
      </c>
    </row>
    <row r="10">
      <c r="A10" s="8">
        <f>IF($C$4="OK",IF(ROWS(A$7:A10)&lt;=$C$3,ROWS(A$7:A10),""),"")</f>
        <v/>
      </c>
      <c r="B10" s="9">
        <f>IF(A10="","",IF($C$2="Every 14 days",B9+14,IF(DAY(B9)=15,EOMONTH(B9,0),DATE(YEAR(B9),MONTH(B9)+1,15))))</f>
        <v/>
      </c>
      <c r="C10" s="6">
        <f>IF(B10="","",TEXT(B10,"ddd"))</f>
        <v/>
      </c>
      <c r="D10" s="6">
        <f>IF(B10="","",IF(WEEKDAY(B10,2)&gt;5,"Weekend",""))</f>
        <v/>
      </c>
      <c r="F10" s="1" t="inlineStr">
        <is>
          <t>Dates on a Saturday or Sunday</t>
        </is>
      </c>
      <c r="G10" s="11">
        <f>COUNTIF(D7:D32,"Weekend")</f>
        <v/>
      </c>
    </row>
    <row r="11">
      <c r="A11" s="8">
        <f>IF($C$4="OK",IF(ROWS(A$7:A11)&lt;=$C$3,ROWS(A$7:A11),""),"")</f>
        <v/>
      </c>
      <c r="B11" s="9">
        <f>IF(A11="","",IF($C$2="Every 14 days",B10+14,IF(DAY(B10)=15,EOMONTH(B10,0),DATE(YEAR(B10),MONTH(B10)+1,15))))</f>
        <v/>
      </c>
      <c r="C11" s="6">
        <f>IF(B11="","",TEXT(B11,"ddd"))</f>
        <v/>
      </c>
      <c r="D11" s="6">
        <f>IF(B11="","",IF(WEEKDAY(B11,2)&gt;5,"Weekend",""))</f>
        <v/>
      </c>
      <c r="F11" s="1" t="inlineStr">
        <is>
          <t>Check: every date is later than the one above</t>
        </is>
      </c>
      <c r="G11" s="12">
        <f>IF(C4&lt;&gt;"OK","CHECK",IF(AND(G9=C3,SUMPRODUCT(--(A8:A32&lt;&gt;""),--(B8:B32&gt;B7:B31))=G9-1),"OK","CHECK"))</f>
        <v/>
      </c>
    </row>
    <row r="12">
      <c r="A12" s="8">
        <f>IF($C$4="OK",IF(ROWS(A$7:A12)&lt;=$C$3,ROWS(A$7:A12),""),"")</f>
        <v/>
      </c>
      <c r="B12" s="9">
        <f>IF(A12="","",IF($C$2="Every 14 days",B11+14,IF(DAY(B11)=15,EOMONTH(B11,0),DATE(YEAR(B11),MONTH(B11)+1,15))))</f>
        <v/>
      </c>
      <c r="C12" s="6">
        <f>IF(B12="","",TEXT(B12,"ddd"))</f>
        <v/>
      </c>
      <c r="D12" s="6">
        <f>IF(B12="","",IF(WEEKDAY(B12,2)&gt;5,"Weekend",""))</f>
        <v/>
      </c>
    </row>
    <row r="13">
      <c r="A13" s="8">
        <f>IF($C$4="OK",IF(ROWS(A$7:A13)&lt;=$C$3,ROWS(A$7:A13),""),"")</f>
        <v/>
      </c>
      <c r="B13" s="9">
        <f>IF(A13="","",IF($C$2="Every 14 days",B12+14,IF(DAY(B12)=15,EOMONTH(B12,0),DATE(YEAR(B12),MONTH(B12)+1,15))))</f>
        <v/>
      </c>
      <c r="C13" s="6">
        <f>IF(B13="","",TEXT(B13,"ddd"))</f>
        <v/>
      </c>
      <c r="D13" s="6">
        <f>IF(B13="","",IF(WEEKDAY(B13,2)&gt;5,"Weekend",""))</f>
        <v/>
      </c>
    </row>
    <row r="14">
      <c r="A14" s="8">
        <f>IF($C$4="OK",IF(ROWS(A$7:A14)&lt;=$C$3,ROWS(A$7:A14),""),"")</f>
        <v/>
      </c>
      <c r="B14" s="9">
        <f>IF(A14="","",IF($C$2="Every 14 days",B13+14,IF(DAY(B13)=15,EOMONTH(B13,0),DATE(YEAR(B13),MONTH(B13)+1,15))))</f>
        <v/>
      </c>
      <c r="C14" s="6">
        <f>IF(B14="","",TEXT(B14,"ddd"))</f>
        <v/>
      </c>
      <c r="D14" s="6">
        <f>IF(B14="","",IF(WEEKDAY(B14,2)&gt;5,"Weekend",""))</f>
        <v/>
      </c>
    </row>
    <row r="15">
      <c r="A15" s="8">
        <f>IF($C$4="OK",IF(ROWS(A$7:A15)&lt;=$C$3,ROWS(A$7:A15),""),"")</f>
        <v/>
      </c>
      <c r="B15" s="9">
        <f>IF(A15="","",IF($C$2="Every 14 days",B14+14,IF(DAY(B14)=15,EOMONTH(B14,0),DATE(YEAR(B14),MONTH(B14)+1,15))))</f>
        <v/>
      </c>
      <c r="C15" s="6">
        <f>IF(B15="","",TEXT(B15,"ddd"))</f>
        <v/>
      </c>
      <c r="D15" s="6">
        <f>IF(B15="","",IF(WEEKDAY(B15,2)&gt;5,"Weekend",""))</f>
        <v/>
      </c>
    </row>
    <row r="16">
      <c r="A16" s="8">
        <f>IF($C$4="OK",IF(ROWS(A$7:A16)&lt;=$C$3,ROWS(A$7:A16),""),"")</f>
        <v/>
      </c>
      <c r="B16" s="9">
        <f>IF(A16="","",IF($C$2="Every 14 days",B15+14,IF(DAY(B15)=15,EOMONTH(B15,0),DATE(YEAR(B15),MONTH(B15)+1,15))))</f>
        <v/>
      </c>
      <c r="C16" s="6">
        <f>IF(B16="","",TEXT(B16,"ddd"))</f>
        <v/>
      </c>
      <c r="D16" s="6">
        <f>IF(B16="","",IF(WEEKDAY(B16,2)&gt;5,"Weekend",""))</f>
        <v/>
      </c>
    </row>
    <row r="17">
      <c r="A17" s="8">
        <f>IF($C$4="OK",IF(ROWS(A$7:A17)&lt;=$C$3,ROWS(A$7:A17),""),"")</f>
        <v/>
      </c>
      <c r="B17" s="9">
        <f>IF(A17="","",IF($C$2="Every 14 days",B16+14,IF(DAY(B16)=15,EOMONTH(B16,0),DATE(YEAR(B16),MONTH(B16)+1,15))))</f>
        <v/>
      </c>
      <c r="C17" s="6">
        <f>IF(B17="","",TEXT(B17,"ddd"))</f>
        <v/>
      </c>
      <c r="D17" s="6">
        <f>IF(B17="","",IF(WEEKDAY(B17,2)&gt;5,"Weekend",""))</f>
        <v/>
      </c>
    </row>
    <row r="18">
      <c r="A18" s="8">
        <f>IF($C$4="OK",IF(ROWS(A$7:A18)&lt;=$C$3,ROWS(A$7:A18),""),"")</f>
        <v/>
      </c>
      <c r="B18" s="9">
        <f>IF(A18="","",IF($C$2="Every 14 days",B17+14,IF(DAY(B17)=15,EOMONTH(B17,0),DATE(YEAR(B17),MONTH(B17)+1,15))))</f>
        <v/>
      </c>
      <c r="C18" s="6">
        <f>IF(B18="","",TEXT(B18,"ddd"))</f>
        <v/>
      </c>
      <c r="D18" s="6">
        <f>IF(B18="","",IF(WEEKDAY(B18,2)&gt;5,"Weekend",""))</f>
        <v/>
      </c>
    </row>
    <row r="19">
      <c r="A19" s="8">
        <f>IF($C$4="OK",IF(ROWS(A$7:A19)&lt;=$C$3,ROWS(A$7:A19),""),"")</f>
        <v/>
      </c>
      <c r="B19" s="9">
        <f>IF(A19="","",IF($C$2="Every 14 days",B18+14,IF(DAY(B18)=15,EOMONTH(B18,0),DATE(YEAR(B18),MONTH(B18)+1,15))))</f>
        <v/>
      </c>
      <c r="C19" s="6">
        <f>IF(B19="","",TEXT(B19,"ddd"))</f>
        <v/>
      </c>
      <c r="D19" s="6">
        <f>IF(B19="","",IF(WEEKDAY(B19,2)&gt;5,"Weekend",""))</f>
        <v/>
      </c>
    </row>
    <row r="20">
      <c r="A20" s="8">
        <f>IF($C$4="OK",IF(ROWS(A$7:A20)&lt;=$C$3,ROWS(A$7:A20),""),"")</f>
        <v/>
      </c>
      <c r="B20" s="9">
        <f>IF(A20="","",IF($C$2="Every 14 days",B19+14,IF(DAY(B19)=15,EOMONTH(B19,0),DATE(YEAR(B19),MONTH(B19)+1,15))))</f>
        <v/>
      </c>
      <c r="C20" s="6">
        <f>IF(B20="","",TEXT(B20,"ddd"))</f>
        <v/>
      </c>
      <c r="D20" s="6">
        <f>IF(B20="","",IF(WEEKDAY(B20,2)&gt;5,"Weekend",""))</f>
        <v/>
      </c>
    </row>
    <row r="21">
      <c r="A21" s="8">
        <f>IF($C$4="OK",IF(ROWS(A$7:A21)&lt;=$C$3,ROWS(A$7:A21),""),"")</f>
        <v/>
      </c>
      <c r="B21" s="9">
        <f>IF(A21="","",IF($C$2="Every 14 days",B20+14,IF(DAY(B20)=15,EOMONTH(B20,0),DATE(YEAR(B20),MONTH(B20)+1,15))))</f>
        <v/>
      </c>
      <c r="C21" s="6">
        <f>IF(B21="","",TEXT(B21,"ddd"))</f>
        <v/>
      </c>
      <c r="D21" s="6">
        <f>IF(B21="","",IF(WEEKDAY(B21,2)&gt;5,"Weekend",""))</f>
        <v/>
      </c>
    </row>
    <row r="22">
      <c r="A22" s="8">
        <f>IF($C$4="OK",IF(ROWS(A$7:A22)&lt;=$C$3,ROWS(A$7:A22),""),"")</f>
        <v/>
      </c>
      <c r="B22" s="9">
        <f>IF(A22="","",IF($C$2="Every 14 days",B21+14,IF(DAY(B21)=15,EOMONTH(B21,0),DATE(YEAR(B21),MONTH(B21)+1,15))))</f>
        <v/>
      </c>
      <c r="C22" s="6">
        <f>IF(B22="","",TEXT(B22,"ddd"))</f>
        <v/>
      </c>
      <c r="D22" s="6">
        <f>IF(B22="","",IF(WEEKDAY(B22,2)&gt;5,"Weekend",""))</f>
        <v/>
      </c>
    </row>
    <row r="23">
      <c r="A23" s="8">
        <f>IF($C$4="OK",IF(ROWS(A$7:A23)&lt;=$C$3,ROWS(A$7:A23),""),"")</f>
        <v/>
      </c>
      <c r="B23" s="9">
        <f>IF(A23="","",IF($C$2="Every 14 days",B22+14,IF(DAY(B22)=15,EOMONTH(B22,0),DATE(YEAR(B22),MONTH(B22)+1,15))))</f>
        <v/>
      </c>
      <c r="C23" s="6">
        <f>IF(B23="","",TEXT(B23,"ddd"))</f>
        <v/>
      </c>
      <c r="D23" s="6">
        <f>IF(B23="","",IF(WEEKDAY(B23,2)&gt;5,"Weekend",""))</f>
        <v/>
      </c>
    </row>
    <row r="24">
      <c r="A24" s="8">
        <f>IF($C$4="OK",IF(ROWS(A$7:A24)&lt;=$C$3,ROWS(A$7:A24),""),"")</f>
        <v/>
      </c>
      <c r="B24" s="9">
        <f>IF(A24="","",IF($C$2="Every 14 days",B23+14,IF(DAY(B23)=15,EOMONTH(B23,0),DATE(YEAR(B23),MONTH(B23)+1,15))))</f>
        <v/>
      </c>
      <c r="C24" s="6">
        <f>IF(B24="","",TEXT(B24,"ddd"))</f>
        <v/>
      </c>
      <c r="D24" s="6">
        <f>IF(B24="","",IF(WEEKDAY(B24,2)&gt;5,"Weekend",""))</f>
        <v/>
      </c>
    </row>
    <row r="25">
      <c r="A25" s="8">
        <f>IF($C$4="OK",IF(ROWS(A$7:A25)&lt;=$C$3,ROWS(A$7:A25),""),"")</f>
        <v/>
      </c>
      <c r="B25" s="9">
        <f>IF(A25="","",IF($C$2="Every 14 days",B24+14,IF(DAY(B24)=15,EOMONTH(B24,0),DATE(YEAR(B24),MONTH(B24)+1,15))))</f>
        <v/>
      </c>
      <c r="C25" s="6">
        <f>IF(B25="","",TEXT(B25,"ddd"))</f>
        <v/>
      </c>
      <c r="D25" s="6">
        <f>IF(B25="","",IF(WEEKDAY(B25,2)&gt;5,"Weekend",""))</f>
        <v/>
      </c>
    </row>
    <row r="26">
      <c r="A26" s="8">
        <f>IF($C$4="OK",IF(ROWS(A$7:A26)&lt;=$C$3,ROWS(A$7:A26),""),"")</f>
        <v/>
      </c>
      <c r="B26" s="9">
        <f>IF(A26="","",IF($C$2="Every 14 days",B25+14,IF(DAY(B25)=15,EOMONTH(B25,0),DATE(YEAR(B25),MONTH(B25)+1,15))))</f>
        <v/>
      </c>
      <c r="C26" s="6">
        <f>IF(B26="","",TEXT(B26,"ddd"))</f>
        <v/>
      </c>
      <c r="D26" s="6">
        <f>IF(B26="","",IF(WEEKDAY(B26,2)&gt;5,"Weekend",""))</f>
        <v/>
      </c>
    </row>
    <row r="27">
      <c r="A27" s="8">
        <f>IF($C$4="OK",IF(ROWS(A$7:A27)&lt;=$C$3,ROWS(A$7:A27),""),"")</f>
        <v/>
      </c>
      <c r="B27" s="9">
        <f>IF(A27="","",IF($C$2="Every 14 days",B26+14,IF(DAY(B26)=15,EOMONTH(B26,0),DATE(YEAR(B26),MONTH(B26)+1,15))))</f>
        <v/>
      </c>
      <c r="C27" s="6">
        <f>IF(B27="","",TEXT(B27,"ddd"))</f>
        <v/>
      </c>
      <c r="D27" s="6">
        <f>IF(B27="","",IF(WEEKDAY(B27,2)&gt;5,"Weekend",""))</f>
        <v/>
      </c>
    </row>
    <row r="28">
      <c r="A28" s="8">
        <f>IF($C$4="OK",IF(ROWS(A$7:A28)&lt;=$C$3,ROWS(A$7:A28),""),"")</f>
        <v/>
      </c>
      <c r="B28" s="9">
        <f>IF(A28="","",IF($C$2="Every 14 days",B27+14,IF(DAY(B27)=15,EOMONTH(B27,0),DATE(YEAR(B27),MONTH(B27)+1,15))))</f>
        <v/>
      </c>
      <c r="C28" s="6">
        <f>IF(B28="","",TEXT(B28,"ddd"))</f>
        <v/>
      </c>
      <c r="D28" s="6">
        <f>IF(B28="","",IF(WEEKDAY(B28,2)&gt;5,"Weekend",""))</f>
        <v/>
      </c>
    </row>
    <row r="29">
      <c r="A29" s="8">
        <f>IF($C$4="OK",IF(ROWS(A$7:A29)&lt;=$C$3,ROWS(A$7:A29),""),"")</f>
        <v/>
      </c>
      <c r="B29" s="9">
        <f>IF(A29="","",IF($C$2="Every 14 days",B28+14,IF(DAY(B28)=15,EOMONTH(B28,0),DATE(YEAR(B28),MONTH(B28)+1,15))))</f>
        <v/>
      </c>
      <c r="C29" s="6">
        <f>IF(B29="","",TEXT(B29,"ddd"))</f>
        <v/>
      </c>
      <c r="D29" s="6">
        <f>IF(B29="","",IF(WEEKDAY(B29,2)&gt;5,"Weekend",""))</f>
        <v/>
      </c>
    </row>
    <row r="30">
      <c r="A30" s="8">
        <f>IF($C$4="OK",IF(ROWS(A$7:A30)&lt;=$C$3,ROWS(A$7:A30),""),"")</f>
        <v/>
      </c>
      <c r="B30" s="9">
        <f>IF(A30="","",IF($C$2="Every 14 days",B29+14,IF(DAY(B29)=15,EOMONTH(B29,0),DATE(YEAR(B29),MONTH(B29)+1,15))))</f>
        <v/>
      </c>
      <c r="C30" s="6">
        <f>IF(B30="","",TEXT(B30,"ddd"))</f>
        <v/>
      </c>
      <c r="D30" s="6">
        <f>IF(B30="","",IF(WEEKDAY(B30,2)&gt;5,"Weekend",""))</f>
        <v/>
      </c>
    </row>
    <row r="31">
      <c r="A31" s="8">
        <f>IF($C$4="OK",IF(ROWS(A$7:A31)&lt;=$C$3,ROWS(A$7:A31),""),"")</f>
        <v/>
      </c>
      <c r="B31" s="9">
        <f>IF(A31="","",IF($C$2="Every 14 days",B30+14,IF(DAY(B30)=15,EOMONTH(B30,0),DATE(YEAR(B30),MONTH(B30)+1,15))))</f>
        <v/>
      </c>
      <c r="C31" s="6">
        <f>IF(B31="","",TEXT(B31,"ddd"))</f>
        <v/>
      </c>
      <c r="D31" s="6">
        <f>IF(B31="","",IF(WEEKDAY(B31,2)&gt;5,"Weekend",""))</f>
        <v/>
      </c>
    </row>
    <row r="32">
      <c r="A32" s="8">
        <f>IF($C$4="OK",IF(ROWS(A$7:A32)&lt;=$C$3,ROWS(A$7:A32),""),"")</f>
        <v/>
      </c>
      <c r="B32" s="9">
        <f>IF(A32="","",IF($C$2="Every 14 days",B31+14,IF(DAY(B31)=15,EOMONTH(B31,0),DATE(YEAR(B31),MONTH(B31)+1,15))))</f>
        <v/>
      </c>
      <c r="C32" s="6">
        <f>IF(B32="","",TEXT(B32,"ddd"))</f>
        <v/>
      </c>
      <c r="D32" s="6">
        <f>IF(B32="","",IF(WEEKDAY(B32,2)&gt;5,"Weekend",""))</f>
        <v/>
      </c>
    </row>
  </sheetData>
  <conditionalFormatting sqref="A7:D32">
    <cfRule type="expression" priority="1" dxfId="0">
      <formula>$D7="Weekend"</formula>
    </cfRule>
  </conditionalFormatting>
  <conditionalFormatting sqref="C4">
    <cfRule type="expression" priority="2" dxfId="0">
      <formula>$C$4&lt;&gt;"OK"</formula>
    </cfRule>
  </conditionalFormatting>
  <conditionalFormatting sqref="G11">
    <cfRule type="expression" priority="3" dxfId="0">
      <formula>AND(G11&lt;&gt;"OK",G11&lt;&gt;"")</formula>
    </cfRule>
  </conditionalFormatting>
  <dataValidations count="1">
    <dataValidation sqref="C2" showDropDown="0" showInputMessage="0" showErrorMessage="0" allowBlank="0" type="list">
      <formula1>"Twice a month,Every 14 days"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Tidy Tabs: Twice-Monthly and Every-14-Days Billing Dates</t>
        </is>
      </c>
    </row>
    <row r="2">
      <c r="A2" s="14" t="inlineStr"/>
    </row>
    <row r="3">
      <c r="A3" s="14" t="inlineStr">
        <is>
          <t>1. Dates tab: type the start date (C1), pick Twice a month or Every 14 days from the list in C2, and type how many dates you want (C3, 1 to 26). Yellow. The sample starts 11/15/2026, twice a month, 24 dates.</t>
        </is>
      </c>
    </row>
    <row r="4">
      <c r="A4" s="14" t="inlineStr">
        <is>
          <t>2. C4 shows OK when C1 is a date, C2 is one of the two choices and C3 is a whole number from 1 to 26. Anything else shows a message and the list stays empty.</t>
        </is>
      </c>
    </row>
    <row r="5">
      <c r="A5" s="14" t="inlineStr">
        <is>
          <t>3. Every 14 days: the first date is the start date and each date is the one above plus 14, =B7+14. Dates stay on the same weekday.</t>
        </is>
      </c>
    </row>
    <row r="6">
      <c r="A6" s="14" t="inlineStr">
        <is>
          <t>4. Twice a month: the first date is the 15th of the start month if the start day is 1 to 15, otherwise the last day of the start month, =IF(DAY($C$1)&lt;=15,DATE(YEAR($C$1),MONTH($C$1),15),EOMONTH($C$1,0)). A start of 11/15 gives 11/15; 11/10 gives 11/15; 11/16 gives 11/30. So the list never starts before the start date.</t>
        </is>
      </c>
    </row>
    <row r="7">
      <c r="A7" s="14" t="inlineStr">
        <is>
          <t>5. After that, each date is =IF(DAY(B7)=15,EOMONTH(B7,0),DATE(YEAR(B7),MONTH(B7)+1,15)): after a 15th comes the last day of the same month (28, 29, 30 or 31), after a last day comes the 15th of the next month. February needs no special case.</t>
        </is>
      </c>
    </row>
    <row r="8">
      <c r="A8" s="14" t="inlineStr">
        <is>
          <t>6. Weekday, C7: =TEXT(B7,"ddd"). Weekend?, D7: =IF(WEEKDAY(B7,2)&gt;5,"Weekend",""). Weekend rows turn red. Dates are flagged only, never moved: if you bill on the Friday before or the Monday after, change that date yourself.</t>
        </is>
      </c>
    </row>
    <row r="9">
      <c r="A9" s="14" t="inlineStr">
        <is>
          <t>7. Summary, F7:G11: first date, last date, dates listed, how many fall on a Saturday or Sunday. G11 shows OK when the number of dates equals C3 and each date is later than the one above (so no date repeats).</t>
        </is>
      </c>
    </row>
    <row r="10">
      <c r="A10" s="14" t="inlineStr">
        <is>
          <t>8. Dates only. The sheet does not say when a client must pay or what a contract requires.</t>
        </is>
      </c>
    </row>
    <row r="11">
      <c r="A11" s="14" t="inlineStr"/>
    </row>
    <row r="12">
      <c r="A12" s="14" t="inlineStr">
        <is>
          <t>Dates are fictional. Checked in LibreOffice Calc only; not opened in Excel or Google Sheets.</t>
        </is>
      </c>
    </row>
    <row r="13">
      <c r="A13" s="14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2026-10-27T07:37:10Z</dcterms:created>
  <dcterms:modified xmlns:dcterms="http://purl.org/dc/terms/" xmlns:xsi="http://www.w3.org/2001/XMLSchema-instance" xsi:type="dcterms:W3CDTF">2026-10-27T07:37:10Z</dcterms:modified>
</cp:coreProperties>
</file>