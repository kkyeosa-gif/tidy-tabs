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order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2" fontId="0" fillId="3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1" customWidth="1" min="3" max="3"/>
    <col width="12" customWidth="1" min="4" max="4"/>
    <col width="11" customWidth="1" min="5" max="5"/>
    <col width="12" customWidth="1" min="6" max="6"/>
    <col width="10" customWidth="1" min="7" max="7"/>
    <col width="12" customWidth="1" min="8" max="8"/>
    <col width="22" customWidth="1" min="10" max="10"/>
  </cols>
  <sheetData>
    <row r="1" ht="30" customHeight="1">
      <c r="A1" s="1" t="inlineStr">
        <is>
          <t>Supply</t>
        </is>
      </c>
      <c r="B1" s="1" t="inlineStr">
        <is>
          <t>Units sold (last 30 days)</t>
        </is>
      </c>
      <c r="C1" s="1" t="inlineStr">
        <is>
          <t>Daily sales</t>
        </is>
      </c>
      <c r="D1" s="1" t="inlineStr">
        <is>
          <t>Lead time (days)</t>
        </is>
      </c>
      <c r="E1" s="1" t="inlineStr">
        <is>
          <t>Safety stock</t>
        </is>
      </c>
      <c r="F1" s="1" t="inlineStr">
        <is>
          <t>Reorder point</t>
        </is>
      </c>
      <c r="G1" s="1" t="inlineStr">
        <is>
          <t>On hand</t>
        </is>
      </c>
      <c r="H1" s="1" t="inlineStr">
        <is>
          <t>Flag</t>
        </is>
      </c>
      <c r="J1" s="2" t="inlineStr">
        <is>
          <t>Days in sales period</t>
        </is>
      </c>
      <c r="K1" t="n">
        <v>30</v>
      </c>
    </row>
    <row r="2">
      <c r="A2" t="inlineStr">
        <is>
          <t>Glass jars, 8 oz</t>
        </is>
      </c>
      <c r="B2" t="n">
        <v>90</v>
      </c>
      <c r="C2" s="3">
        <f>B2/$K$1</f>
        <v/>
      </c>
      <c r="D2" t="n">
        <v>7</v>
      </c>
      <c r="E2" t="n">
        <v>6</v>
      </c>
      <c r="F2" s="4">
        <f>ROUNDUP(C2*D2+E2,0)</f>
        <v/>
      </c>
      <c r="G2" t="n">
        <v>40</v>
      </c>
      <c r="H2" s="4">
        <f>IF(G2&lt;=F2,"REORDER","OK")</f>
        <v/>
      </c>
    </row>
    <row r="3">
      <c r="A3" t="inlineStr">
        <is>
          <t>Soy wax, 1 lb bags</t>
        </is>
      </c>
      <c r="B3" t="n">
        <v>60</v>
      </c>
      <c r="C3" s="3">
        <f>B3/$K$1</f>
        <v/>
      </c>
      <c r="D3" t="n">
        <v>10</v>
      </c>
      <c r="E3" t="n">
        <v>8</v>
      </c>
      <c r="F3" s="4">
        <f>ROUNDUP(C3*D3+E3,0)</f>
        <v/>
      </c>
      <c r="G3" t="n">
        <v>28</v>
      </c>
      <c r="H3" s="4">
        <f>IF(G3&lt;=F3,"REORDER","OK")</f>
        <v/>
      </c>
    </row>
    <row r="4">
      <c r="A4" t="inlineStr">
        <is>
          <t>Candle wicks, pack of 50</t>
        </is>
      </c>
      <c r="B4" t="n">
        <v>33</v>
      </c>
      <c r="C4" s="3">
        <f>B4/$K$1</f>
        <v/>
      </c>
      <c r="D4" t="n">
        <v>14</v>
      </c>
      <c r="E4" t="n">
        <v>4</v>
      </c>
      <c r="F4" s="4">
        <f>ROUNDUP(C4*D4+E4,0)</f>
        <v/>
      </c>
      <c r="G4" t="n">
        <v>21</v>
      </c>
      <c r="H4" s="4">
        <f>IF(G4&lt;=F4,"REORDER","OK")</f>
        <v/>
      </c>
    </row>
    <row r="5">
      <c r="A5" t="inlineStr">
        <is>
          <t>Cotton ribbon spools</t>
        </is>
      </c>
      <c r="B5" t="n">
        <v>75</v>
      </c>
      <c r="C5" s="3">
        <f>B5/$K$1</f>
        <v/>
      </c>
      <c r="D5" t="n">
        <v>5</v>
      </c>
      <c r="E5" t="n">
        <v>10</v>
      </c>
      <c r="F5" s="4">
        <f>ROUNDUP(C5*D5+E5,0)</f>
        <v/>
      </c>
      <c r="G5" t="n">
        <v>18</v>
      </c>
      <c r="H5" s="4">
        <f>IF(G5&lt;=F5,"REORDER","OK")</f>
        <v/>
      </c>
    </row>
    <row r="6">
      <c r="A6" t="inlineStr">
        <is>
          <t>Kraft mailer boxes</t>
        </is>
      </c>
      <c r="B6" t="n">
        <v>120</v>
      </c>
      <c r="C6" s="3">
        <f>B6/$K$1</f>
        <v/>
      </c>
      <c r="D6" t="n">
        <v>12</v>
      </c>
      <c r="E6" t="n">
        <v>15</v>
      </c>
      <c r="F6" s="4">
        <f>ROUNDUP(C6*D6+E6,0)</f>
        <v/>
      </c>
      <c r="G6" t="n">
        <v>80</v>
      </c>
      <c r="H6" s="4">
        <f>IF(G6&lt;=F6,"REORDER","OK")</f>
        <v/>
      </c>
    </row>
    <row r="7">
      <c r="A7" t="inlineStr">
        <is>
          <t>Shipping label rolls</t>
        </is>
      </c>
      <c r="B7" t="n">
        <v>45</v>
      </c>
      <c r="C7" s="3">
        <f>B7/$K$1</f>
        <v/>
      </c>
      <c r="D7" t="n">
        <v>21</v>
      </c>
      <c r="E7" t="n">
        <v>5</v>
      </c>
      <c r="F7" s="4">
        <f>ROUNDUP(C7*D7+E7,0)</f>
        <v/>
      </c>
      <c r="G7" t="n">
        <v>30</v>
      </c>
      <c r="H7" s="4">
        <f>IF(G7&lt;=F7,"REORDER","OK")</f>
        <v/>
      </c>
    </row>
  </sheetData>
  <conditionalFormatting sqref="H2:H200">
    <cfRule type="expression" priority="1" dxfId="0">
      <formula>$H2="REORDER"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Tidy Tabs: Reorder Point Calculator</t>
        </is>
      </c>
    </row>
    <row r="2">
      <c r="A2" t="inlineStr"/>
    </row>
    <row r="3">
      <c r="A3" t="inlineStr">
        <is>
          <t>1. One row per supply. Type Units sold for the last 30 days, Lead time (days) from order to delivery, Safety stock (spare units you want to keep), and On hand.</t>
        </is>
      </c>
    </row>
    <row r="4">
      <c r="A4" t="inlineStr">
        <is>
          <t>2. Daily sales = Units sold / days in the period. The period length is in K1 (30).</t>
        </is>
      </c>
    </row>
    <row r="5">
      <c r="A5" t="inlineStr">
        <is>
          <t>3. Reorder point = ROUNDUP(Daily sales x Lead time + Safety stock, 0). ROUNDUP, because a fraction of a unit still needs a whole unit.</t>
        </is>
      </c>
    </row>
    <row r="6">
      <c r="A6" t="inlineStr">
        <is>
          <t>4. Flag = IF(On hand &lt;= Reorder point, "REORDER", "OK"). At exactly the reorder point the flag says REORDER.</t>
        </is>
      </c>
    </row>
    <row r="7">
      <c r="A7" t="inlineStr">
        <is>
          <t>5. Example: 90 units in 30 days is 3 a day. 3 x 7 lead days + 6 safety stock = 27.</t>
        </is>
      </c>
    </row>
    <row r="8">
      <c r="A8" t="inlineStr">
        <is>
          <t>6. Copy the last row down to add supplies.</t>
        </is>
      </c>
    </row>
    <row r="9">
      <c r="A9" t="inlineStr"/>
    </row>
    <row r="10">
      <c r="A10" t="inlineStr">
        <is>
          <t>Supplies and numbers are fictional. Safety stock is your own judgment; this file only does the arithmetic.</t>
        </is>
      </c>
    </row>
    <row r="11">
      <c r="A11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2026-10-06T07:27:00Z</dcterms:created>
  <dcterms:modified xmlns:dcterms="http://purl.org/dc/terms/" xmlns:xsi="http://www.w3.org/2001/XMLSchema-instance" xsi:type="dcterms:W3CDTF">2026-10-06T07:27:00Z</dcterms:modified>
</cp:coreProperties>
</file>