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'Orders'!$1:$1</definedName>
    <definedName name="_xlnm.Print_Titles" localSheetId="1">'Customers'!$1:$1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" fontId="0" fillId="3" borderId="0" pivotButton="0" quotePrefix="0" xfId="0"/>
    <xf numFmtId="167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2" customWidth="1" min="4" max="4"/>
  </cols>
  <sheetData>
    <row r="1" ht="30" customHeight="1">
      <c r="A1" s="1" t="inlineStr">
        <is>
          <t>Order</t>
        </is>
      </c>
      <c r="B1" s="1" t="inlineStr">
        <is>
          <t>Customer</t>
        </is>
      </c>
      <c r="C1" s="1" t="inlineStr">
        <is>
          <t>Order date</t>
        </is>
      </c>
      <c r="D1" s="1" t="inlineStr">
        <is>
          <t>Total</t>
        </is>
      </c>
    </row>
    <row r="2">
      <c r="A2" t="inlineStr">
        <is>
          <t>1001</t>
        </is>
      </c>
      <c r="B2" t="inlineStr">
        <is>
          <t>Ana Ruiz</t>
        </is>
      </c>
      <c r="C2" s="2" t="n">
        <v>46238</v>
      </c>
      <c r="D2" s="3" t="n">
        <v>42</v>
      </c>
    </row>
    <row r="3">
      <c r="A3" t="inlineStr">
        <is>
          <t>1002</t>
        </is>
      </c>
      <c r="B3" t="inlineStr">
        <is>
          <t>Eli Brooks</t>
        </is>
      </c>
      <c r="C3" s="2" t="n">
        <v>46240</v>
      </c>
      <c r="D3" s="3" t="n">
        <v>18</v>
      </c>
    </row>
    <row r="4">
      <c r="A4" t="inlineStr">
        <is>
          <t>1003</t>
        </is>
      </c>
      <c r="B4" t="inlineStr">
        <is>
          <t>Ben Ortiz</t>
        </is>
      </c>
      <c r="C4" s="2" t="n">
        <v>46246</v>
      </c>
      <c r="D4" s="3" t="n">
        <v>65.5</v>
      </c>
    </row>
    <row r="5">
      <c r="A5" t="inlineStr">
        <is>
          <t>1004</t>
        </is>
      </c>
      <c r="B5" t="inlineStr">
        <is>
          <t>Ana Ruiz</t>
        </is>
      </c>
      <c r="C5" s="2" t="n">
        <v>46254</v>
      </c>
      <c r="D5" s="3" t="n">
        <v>30</v>
      </c>
    </row>
    <row r="6">
      <c r="A6" t="inlineStr">
        <is>
          <t>1005</t>
        </is>
      </c>
      <c r="B6" t="inlineStr">
        <is>
          <t>Cara Lee</t>
        </is>
      </c>
      <c r="C6" s="2" t="n">
        <v>46259</v>
      </c>
      <c r="D6" s="3" t="n">
        <v>24</v>
      </c>
    </row>
    <row r="7">
      <c r="A7" t="inlineStr">
        <is>
          <t>1006</t>
        </is>
      </c>
      <c r="B7" t="inlineStr">
        <is>
          <t>Eli Brooks</t>
        </is>
      </c>
      <c r="C7" s="2" t="n">
        <v>46267</v>
      </c>
      <c r="D7" s="3" t="n">
        <v>36</v>
      </c>
    </row>
    <row r="8">
      <c r="A8" t="inlineStr">
        <is>
          <t>1007</t>
        </is>
      </c>
      <c r="B8" t="inlineStr">
        <is>
          <t>Dev Patel</t>
        </is>
      </c>
      <c r="C8" s="2" t="n">
        <v>46274</v>
      </c>
      <c r="D8" s="3" t="n">
        <v>54.25</v>
      </c>
    </row>
    <row r="9">
      <c r="A9" t="inlineStr">
        <is>
          <t>1008</t>
        </is>
      </c>
      <c r="B9" t="inlineStr">
        <is>
          <t>Fay Nolan</t>
        </is>
      </c>
      <c r="C9" s="2" t="n">
        <v>46279</v>
      </c>
      <c r="D9" s="3" t="n">
        <v>12</v>
      </c>
    </row>
    <row r="10">
      <c r="A10" t="inlineStr">
        <is>
          <t>1009</t>
        </is>
      </c>
      <c r="B10" t="inlineStr">
        <is>
          <t>Eli Brooks</t>
        </is>
      </c>
      <c r="C10" s="2" t="n">
        <v>46286</v>
      </c>
      <c r="D10" s="3" t="n">
        <v>28.75</v>
      </c>
    </row>
    <row r="11">
      <c r="A11" t="inlineStr">
        <is>
          <t>1010</t>
        </is>
      </c>
      <c r="B11" t="inlineStr">
        <is>
          <t>Cara Lee</t>
        </is>
      </c>
      <c r="C11" s="2" t="n">
        <v>46293</v>
      </c>
      <c r="D11" s="3" t="n">
        <v>48</v>
      </c>
    </row>
    <row r="12">
      <c r="A12" t="inlineStr">
        <is>
          <t>1011</t>
        </is>
      </c>
      <c r="B12" t="inlineStr">
        <is>
          <t>Hana Cole</t>
        </is>
      </c>
      <c r="C12" s="2" t="n">
        <v>46296</v>
      </c>
      <c r="D12" s="3" t="n">
        <v>90</v>
      </c>
    </row>
    <row r="13">
      <c r="A13" t="inlineStr">
        <is>
          <t>1012</t>
        </is>
      </c>
      <c r="B13" t="inlineStr">
        <is>
          <t>Ana Ruiz</t>
        </is>
      </c>
      <c r="C13" s="2" t="n">
        <v>46300</v>
      </c>
      <c r="D13" s="3" t="n">
        <v>22.5</v>
      </c>
    </row>
    <row r="14">
      <c r="A14" t="inlineStr">
        <is>
          <t>1013</t>
        </is>
      </c>
      <c r="B14" t="inlineStr">
        <is>
          <t>Eli Brooks</t>
        </is>
      </c>
      <c r="C14" s="2" t="n">
        <v>46304</v>
      </c>
      <c r="D14" s="3" t="n">
        <v>31</v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4" customWidth="1" min="5" max="5"/>
    <col width="36" customWidth="1" min="6" max="6"/>
    <col width="14" customWidth="1" min="7" max="7"/>
  </cols>
  <sheetData>
    <row r="1" ht="30" customHeight="1">
      <c r="A1" s="1" t="inlineStr">
        <is>
          <t>Customer</t>
        </is>
      </c>
      <c r="B1" s="1" t="inlineStr">
        <is>
          <t>Orders</t>
        </is>
      </c>
      <c r="C1" s="1" t="inlineStr">
        <is>
          <t>Type</t>
        </is>
      </c>
      <c r="D1" s="1" t="inlineStr">
        <is>
          <t>Total spent</t>
        </is>
      </c>
      <c r="F1" s="4" t="inlineStr">
        <is>
          <t>Summary</t>
        </is>
      </c>
    </row>
    <row r="2">
      <c r="A2" t="inlineStr">
        <is>
          <t>Ana Ruiz</t>
        </is>
      </c>
      <c r="B2" s="5">
        <f>IF(A2="","",COUNTIF(Orders!$B$2:$B$200,A2))</f>
        <v/>
      </c>
      <c r="C2" s="5">
        <f>IF(A2="","",IF(B2=0,"No orders",IF(B2=1,"One time","Repeat")))</f>
        <v/>
      </c>
      <c r="D2" s="6">
        <f>IF(A2="","",SUMIF(Orders!$B$2:$B$200,A2,Orders!$D$2:$D$200))</f>
        <v/>
      </c>
      <c r="F2" t="inlineStr">
        <is>
          <t>Customers with at least one order</t>
        </is>
      </c>
      <c r="G2" s="7">
        <f>COUNTIF(B2:B31,"&gt;0")</f>
        <v/>
      </c>
    </row>
    <row r="3">
      <c r="A3" t="inlineStr">
        <is>
          <t>Ben Ortiz</t>
        </is>
      </c>
      <c r="B3" s="5">
        <f>IF(A3="","",COUNTIF(Orders!$B$2:$B$200,A3))</f>
        <v/>
      </c>
      <c r="C3" s="5">
        <f>IF(A3="","",IF(B3=0,"No orders",IF(B3=1,"One time","Repeat")))</f>
        <v/>
      </c>
      <c r="D3" s="6">
        <f>IF(A3="","",SUMIF(Orders!$B$2:$B$200,A3,Orders!$D$2:$D$200))</f>
        <v/>
      </c>
      <c r="F3" t="inlineStr">
        <is>
          <t>Repeat customers (2 or more orders)</t>
        </is>
      </c>
      <c r="G3" s="7">
        <f>COUNTIF(B2:B31,"&gt;=2")</f>
        <v/>
      </c>
    </row>
    <row r="4">
      <c r="A4" t="inlineStr">
        <is>
          <t>Cara Lee</t>
        </is>
      </c>
      <c r="B4" s="5">
        <f>IF(A4="","",COUNTIF(Orders!$B$2:$B$200,A4))</f>
        <v/>
      </c>
      <c r="C4" s="5">
        <f>IF(A4="","",IF(B4=0,"No orders",IF(B4=1,"One time","Repeat")))</f>
        <v/>
      </c>
      <c r="D4" s="6">
        <f>IF(A4="","",SUMIF(Orders!$B$2:$B$200,A4,Orders!$D$2:$D$200))</f>
        <v/>
      </c>
      <c r="F4" t="inlineStr">
        <is>
          <t>Repeat customer rate</t>
        </is>
      </c>
      <c r="G4" s="8">
        <f>IF(G2=0,"",G3/G2)</f>
        <v/>
      </c>
    </row>
    <row r="5">
      <c r="A5" t="inlineStr">
        <is>
          <t>Dev Patel</t>
        </is>
      </c>
      <c r="B5" s="5">
        <f>IF(A5="","",COUNTIF(Orders!$B$2:$B$200,A5))</f>
        <v/>
      </c>
      <c r="C5" s="5">
        <f>IF(A5="","",IF(B5=0,"No orders",IF(B5=1,"One time","Repeat")))</f>
        <v/>
      </c>
      <c r="D5" s="6">
        <f>IF(A5="","",SUMIF(Orders!$B$2:$B$200,A5,Orders!$D$2:$D$200))</f>
        <v/>
      </c>
      <c r="F5" t="inlineStr">
        <is>
          <t>Orders counted above</t>
        </is>
      </c>
      <c r="G5" s="7">
        <f>SUM(B2:B31)</f>
        <v/>
      </c>
    </row>
    <row r="6">
      <c r="A6" t="inlineStr">
        <is>
          <t>Eli Brooks</t>
        </is>
      </c>
      <c r="B6" s="5">
        <f>IF(A6="","",COUNTIF(Orders!$B$2:$B$200,A6))</f>
        <v/>
      </c>
      <c r="C6" s="5">
        <f>IF(A6="","",IF(B6=0,"No orders",IF(B6=1,"One time","Repeat")))</f>
        <v/>
      </c>
      <c r="D6" s="6">
        <f>IF(A6="","",SUMIF(Orders!$B$2:$B$200,A6,Orders!$D$2:$D$200))</f>
        <v/>
      </c>
      <c r="F6" t="inlineStr">
        <is>
          <t>Orders on the Orders tab</t>
        </is>
      </c>
      <c r="G6" s="7">
        <f>COUNTA(Orders!B2:B200)</f>
        <v/>
      </c>
    </row>
    <row r="7">
      <c r="A7" t="inlineStr">
        <is>
          <t>Fay Nolan</t>
        </is>
      </c>
      <c r="B7" s="5">
        <f>IF(A7="","",COUNTIF(Orders!$B$2:$B$200,A7))</f>
        <v/>
      </c>
      <c r="C7" s="5">
        <f>IF(A7="","",IF(B7=0,"No orders",IF(B7=1,"One time","Repeat")))</f>
        <v/>
      </c>
      <c r="D7" s="6">
        <f>IF(A7="","",SUMIF(Orders!$B$2:$B$200,A7,Orders!$D$2:$D$200))</f>
        <v/>
      </c>
      <c r="F7" t="inlineStr">
        <is>
          <t>Check: every order matched a customer</t>
        </is>
      </c>
      <c r="G7" s="5">
        <f>IF(G5=G6,"OK","CHECK")</f>
        <v/>
      </c>
    </row>
    <row r="8">
      <c r="A8" t="inlineStr">
        <is>
          <t>Gus Hall</t>
        </is>
      </c>
      <c r="B8" s="5">
        <f>IF(A8="","",COUNTIF(Orders!$B$2:$B$200,A8))</f>
        <v/>
      </c>
      <c r="C8" s="5">
        <f>IF(A8="","",IF(B8=0,"No orders",IF(B8=1,"One time","Repeat")))</f>
        <v/>
      </c>
      <c r="D8" s="6">
        <f>IF(A8="","",SUMIF(Orders!$B$2:$B$200,A8,Orders!$D$2:$D$200))</f>
        <v/>
      </c>
      <c r="F8" t="inlineStr">
        <is>
          <t>Spent by repeat customers</t>
        </is>
      </c>
      <c r="G8" s="6">
        <f>SUMIF(C2:C31,"Repeat",D2:D31)</f>
        <v/>
      </c>
    </row>
    <row r="9">
      <c r="A9" t="inlineStr">
        <is>
          <t>Hana Cole</t>
        </is>
      </c>
      <c r="B9" s="5">
        <f>IF(A9="","",COUNTIF(Orders!$B$2:$B$200,A9))</f>
        <v/>
      </c>
      <c r="C9" s="5">
        <f>IF(A9="","",IF(B9=0,"No orders",IF(B9=1,"One time","Repeat")))</f>
        <v/>
      </c>
      <c r="D9" s="6">
        <f>IF(A9="","",SUMIF(Orders!$B$2:$B$200,A9,Orders!$D$2:$D$200))</f>
        <v/>
      </c>
      <c r="F9" t="inlineStr">
        <is>
          <t>Share of spending from repeat customers</t>
        </is>
      </c>
      <c r="G9" s="8">
        <f>IF(SUM(D2:D31)=0,"",G8/SUM(D2:D31))</f>
        <v/>
      </c>
    </row>
    <row r="10">
      <c r="B10" s="5">
        <f>IF(A10="","",COUNTIF(Orders!$B$2:$B$200,A10))</f>
        <v/>
      </c>
      <c r="C10" s="5">
        <f>IF(A10="","",IF(B10=0,"No orders",IF(B10=1,"One time","Repeat")))</f>
        <v/>
      </c>
      <c r="D10" s="6">
        <f>IF(A10="","",SUMIF(Orders!$B$2:$B$200,A10,Orders!$D$2:$D$200))</f>
        <v/>
      </c>
    </row>
    <row r="11">
      <c r="B11" s="5">
        <f>IF(A11="","",COUNTIF(Orders!$B$2:$B$200,A11))</f>
        <v/>
      </c>
      <c r="C11" s="5">
        <f>IF(A11="","",IF(B11=0,"No orders",IF(B11=1,"One time","Repeat")))</f>
        <v/>
      </c>
      <c r="D11" s="6">
        <f>IF(A11="","",SUMIF(Orders!$B$2:$B$200,A11,Orders!$D$2:$D$200))</f>
        <v/>
      </c>
    </row>
    <row r="12">
      <c r="B12" s="5">
        <f>IF(A12="","",COUNTIF(Orders!$B$2:$B$200,A12))</f>
        <v/>
      </c>
      <c r="C12" s="5">
        <f>IF(A12="","",IF(B12=0,"No orders",IF(B12=1,"One time","Repeat")))</f>
        <v/>
      </c>
      <c r="D12" s="6">
        <f>IF(A12="","",SUMIF(Orders!$B$2:$B$200,A12,Orders!$D$2:$D$200))</f>
        <v/>
      </c>
    </row>
    <row r="13">
      <c r="B13" s="5">
        <f>IF(A13="","",COUNTIF(Orders!$B$2:$B$200,A13))</f>
        <v/>
      </c>
      <c r="C13" s="5">
        <f>IF(A13="","",IF(B13=0,"No orders",IF(B13=1,"One time","Repeat")))</f>
        <v/>
      </c>
      <c r="D13" s="6">
        <f>IF(A13="","",SUMIF(Orders!$B$2:$B$200,A13,Orders!$D$2:$D$200))</f>
        <v/>
      </c>
    </row>
    <row r="14">
      <c r="B14" s="5">
        <f>IF(A14="","",COUNTIF(Orders!$B$2:$B$200,A14))</f>
        <v/>
      </c>
      <c r="C14" s="5">
        <f>IF(A14="","",IF(B14=0,"No orders",IF(B14=1,"One time","Repeat")))</f>
        <v/>
      </c>
      <c r="D14" s="6">
        <f>IF(A14="","",SUMIF(Orders!$B$2:$B$200,A14,Orders!$D$2:$D$200))</f>
        <v/>
      </c>
    </row>
    <row r="15">
      <c r="B15" s="5">
        <f>IF(A15="","",COUNTIF(Orders!$B$2:$B$200,A15))</f>
        <v/>
      </c>
      <c r="C15" s="5">
        <f>IF(A15="","",IF(B15=0,"No orders",IF(B15=1,"One time","Repeat")))</f>
        <v/>
      </c>
      <c r="D15" s="6">
        <f>IF(A15="","",SUMIF(Orders!$B$2:$B$200,A15,Orders!$D$2:$D$200))</f>
        <v/>
      </c>
    </row>
    <row r="16">
      <c r="B16" s="5">
        <f>IF(A16="","",COUNTIF(Orders!$B$2:$B$200,A16))</f>
        <v/>
      </c>
      <c r="C16" s="5">
        <f>IF(A16="","",IF(B16=0,"No orders",IF(B16=1,"One time","Repeat")))</f>
        <v/>
      </c>
      <c r="D16" s="6">
        <f>IF(A16="","",SUMIF(Orders!$B$2:$B$200,A16,Orders!$D$2:$D$200))</f>
        <v/>
      </c>
    </row>
    <row r="17">
      <c r="B17" s="5">
        <f>IF(A17="","",COUNTIF(Orders!$B$2:$B$200,A17))</f>
        <v/>
      </c>
      <c r="C17" s="5">
        <f>IF(A17="","",IF(B17=0,"No orders",IF(B17=1,"One time","Repeat")))</f>
        <v/>
      </c>
      <c r="D17" s="6">
        <f>IF(A17="","",SUMIF(Orders!$B$2:$B$200,A17,Orders!$D$2:$D$200))</f>
        <v/>
      </c>
    </row>
    <row r="18">
      <c r="B18" s="5">
        <f>IF(A18="","",COUNTIF(Orders!$B$2:$B$200,A18))</f>
        <v/>
      </c>
      <c r="C18" s="5">
        <f>IF(A18="","",IF(B18=0,"No orders",IF(B18=1,"One time","Repeat")))</f>
        <v/>
      </c>
      <c r="D18" s="6">
        <f>IF(A18="","",SUMIF(Orders!$B$2:$B$200,A18,Orders!$D$2:$D$200))</f>
        <v/>
      </c>
    </row>
    <row r="19">
      <c r="B19" s="5">
        <f>IF(A19="","",COUNTIF(Orders!$B$2:$B$200,A19))</f>
        <v/>
      </c>
      <c r="C19" s="5">
        <f>IF(A19="","",IF(B19=0,"No orders",IF(B19=1,"One time","Repeat")))</f>
        <v/>
      </c>
      <c r="D19" s="6">
        <f>IF(A19="","",SUMIF(Orders!$B$2:$B$200,A19,Orders!$D$2:$D$200))</f>
        <v/>
      </c>
    </row>
    <row r="20">
      <c r="B20" s="5">
        <f>IF(A20="","",COUNTIF(Orders!$B$2:$B$200,A20))</f>
        <v/>
      </c>
      <c r="C20" s="5">
        <f>IF(A20="","",IF(B20=0,"No orders",IF(B20=1,"One time","Repeat")))</f>
        <v/>
      </c>
      <c r="D20" s="6">
        <f>IF(A20="","",SUMIF(Orders!$B$2:$B$200,A20,Orders!$D$2:$D$200))</f>
        <v/>
      </c>
    </row>
    <row r="21">
      <c r="B21" s="5">
        <f>IF(A21="","",COUNTIF(Orders!$B$2:$B$200,A21))</f>
        <v/>
      </c>
      <c r="C21" s="5">
        <f>IF(A21="","",IF(B21=0,"No orders",IF(B21=1,"One time","Repeat")))</f>
        <v/>
      </c>
      <c r="D21" s="6">
        <f>IF(A21="","",SUMIF(Orders!$B$2:$B$200,A21,Orders!$D$2:$D$200))</f>
        <v/>
      </c>
    </row>
    <row r="22">
      <c r="B22" s="5">
        <f>IF(A22="","",COUNTIF(Orders!$B$2:$B$200,A22))</f>
        <v/>
      </c>
      <c r="C22" s="5">
        <f>IF(A22="","",IF(B22=0,"No orders",IF(B22=1,"One time","Repeat")))</f>
        <v/>
      </c>
      <c r="D22" s="6">
        <f>IF(A22="","",SUMIF(Orders!$B$2:$B$200,A22,Orders!$D$2:$D$200))</f>
        <v/>
      </c>
    </row>
    <row r="23">
      <c r="B23" s="5">
        <f>IF(A23="","",COUNTIF(Orders!$B$2:$B$200,A23))</f>
        <v/>
      </c>
      <c r="C23" s="5">
        <f>IF(A23="","",IF(B23=0,"No orders",IF(B23=1,"One time","Repeat")))</f>
        <v/>
      </c>
      <c r="D23" s="6">
        <f>IF(A23="","",SUMIF(Orders!$B$2:$B$200,A23,Orders!$D$2:$D$200))</f>
        <v/>
      </c>
    </row>
    <row r="24">
      <c r="B24" s="5">
        <f>IF(A24="","",COUNTIF(Orders!$B$2:$B$200,A24))</f>
        <v/>
      </c>
      <c r="C24" s="5">
        <f>IF(A24="","",IF(B24=0,"No orders",IF(B24=1,"One time","Repeat")))</f>
        <v/>
      </c>
      <c r="D24" s="6">
        <f>IF(A24="","",SUMIF(Orders!$B$2:$B$200,A24,Orders!$D$2:$D$200))</f>
        <v/>
      </c>
    </row>
    <row r="25">
      <c r="B25" s="5">
        <f>IF(A25="","",COUNTIF(Orders!$B$2:$B$200,A25))</f>
        <v/>
      </c>
      <c r="C25" s="5">
        <f>IF(A25="","",IF(B25=0,"No orders",IF(B25=1,"One time","Repeat")))</f>
        <v/>
      </c>
      <c r="D25" s="6">
        <f>IF(A25="","",SUMIF(Orders!$B$2:$B$200,A25,Orders!$D$2:$D$200))</f>
        <v/>
      </c>
    </row>
    <row r="26">
      <c r="B26" s="5">
        <f>IF(A26="","",COUNTIF(Orders!$B$2:$B$200,A26))</f>
        <v/>
      </c>
      <c r="C26" s="5">
        <f>IF(A26="","",IF(B26=0,"No orders",IF(B26=1,"One time","Repeat")))</f>
        <v/>
      </c>
      <c r="D26" s="6">
        <f>IF(A26="","",SUMIF(Orders!$B$2:$B$200,A26,Orders!$D$2:$D$200))</f>
        <v/>
      </c>
    </row>
    <row r="27">
      <c r="B27" s="5">
        <f>IF(A27="","",COUNTIF(Orders!$B$2:$B$200,A27))</f>
        <v/>
      </c>
      <c r="C27" s="5">
        <f>IF(A27="","",IF(B27=0,"No orders",IF(B27=1,"One time","Repeat")))</f>
        <v/>
      </c>
      <c r="D27" s="6">
        <f>IF(A27="","",SUMIF(Orders!$B$2:$B$200,A27,Orders!$D$2:$D$200))</f>
        <v/>
      </c>
    </row>
    <row r="28">
      <c r="B28" s="5">
        <f>IF(A28="","",COUNTIF(Orders!$B$2:$B$200,A28))</f>
        <v/>
      </c>
      <c r="C28" s="5">
        <f>IF(A28="","",IF(B28=0,"No orders",IF(B28=1,"One time","Repeat")))</f>
        <v/>
      </c>
      <c r="D28" s="6">
        <f>IF(A28="","",SUMIF(Orders!$B$2:$B$200,A28,Orders!$D$2:$D$200))</f>
        <v/>
      </c>
    </row>
    <row r="29">
      <c r="B29" s="5">
        <f>IF(A29="","",COUNTIF(Orders!$B$2:$B$200,A29))</f>
        <v/>
      </c>
      <c r="C29" s="5">
        <f>IF(A29="","",IF(B29=0,"No orders",IF(B29=1,"One time","Repeat")))</f>
        <v/>
      </c>
      <c r="D29" s="6">
        <f>IF(A29="","",SUMIF(Orders!$B$2:$B$200,A29,Orders!$D$2:$D$200))</f>
        <v/>
      </c>
    </row>
    <row r="30">
      <c r="B30" s="5">
        <f>IF(A30="","",COUNTIF(Orders!$B$2:$B$200,A30))</f>
        <v/>
      </c>
      <c r="C30" s="5">
        <f>IF(A30="","",IF(B30=0,"No orders",IF(B30=1,"One time","Repeat")))</f>
        <v/>
      </c>
      <c r="D30" s="6">
        <f>IF(A30="","",SUMIF(Orders!$B$2:$B$200,A30,Orders!$D$2:$D$200))</f>
        <v/>
      </c>
    </row>
    <row r="31">
      <c r="B31" s="5">
        <f>IF(A31="","",COUNTIF(Orders!$B$2:$B$200,A31))</f>
        <v/>
      </c>
      <c r="C31" s="5">
        <f>IF(A31="","",IF(B31=0,"No orders",IF(B31=1,"One time","Repeat")))</f>
        <v/>
      </c>
      <c r="D31" s="6">
        <f>IF(A31="","",SUMIF(Orders!$B$2:$B$200,A31,Orders!$D$2:$D$200))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Tidy Tabs: Repeat Customer Rate With COUNTIF</t>
        </is>
      </c>
    </row>
    <row r="2">
      <c r="A2" s="10" t="inlineStr"/>
    </row>
    <row r="3">
      <c r="A3" s="10" t="inlineStr">
        <is>
          <t>1. Orders tab: one row per order, with the customer name in column B. Paste or type your orders under the sample rows.</t>
        </is>
      </c>
    </row>
    <row r="4">
      <c r="A4" s="10" t="inlineStr">
        <is>
          <t>2. Customers tab: list each customer once in column A . Rows 2 to 31 have formulas ready.</t>
        </is>
      </c>
    </row>
    <row r="5">
      <c r="A5" s="10" t="inlineStr">
        <is>
          <t>3. B2: =IF(A2="","",COUNTIF(Orders!$B$2:$B$200,A2)) counts that customer's orders. C2 labels them No orders, One time or Repeat. D2 adds up what they spent with SUMIF.</t>
        </is>
      </c>
    </row>
    <row r="6">
      <c r="A6" s="10" t="inlineStr">
        <is>
          <t>4. G2: =COUNTIF(B2:B31,"&gt;0") counts customers who ordered at all. G3: =COUNTIF(B2:B31,"&gt;=2") counts repeat customers.</t>
        </is>
      </c>
    </row>
    <row r="7">
      <c r="A7" s="10" t="inlineStr">
        <is>
          <t>5. G4: =IF(G2=0,"",G3/G2) is the repeat customer rate. The short form is =COUNTIF(B2:B9,"&gt;=2")/COUNTIF(B2:B9,"&gt;0").</t>
        </is>
      </c>
    </row>
    <row r="8">
      <c r="A8" s="10" t="inlineStr">
        <is>
          <t>6. G5 to G7 check that every order on the Orders tab matched a name on the Customers tab. A misspelled name or an extra space at the end of a cell makes G7 show CHECK.</t>
        </is>
      </c>
    </row>
    <row r="9">
      <c r="A9" s="10" t="inlineStr">
        <is>
          <t>7. COUNTIF ignores capital letters, so ana ruiz and Ana Ruiz are the same customer. It does not ignore spaces or different spellings.</t>
        </is>
      </c>
    </row>
    <row r="10">
      <c r="A10" s="10" t="inlineStr">
        <is>
          <t>8. The rate covers only the orders you pasted in. Choose the same date range for every rate you compare.</t>
        </is>
      </c>
    </row>
    <row r="11">
      <c r="A11" s="10" t="inlineStr"/>
    </row>
    <row r="12">
      <c r="A12" s="10" t="inlineStr">
        <is>
          <t>Names, orders and amounts are fictional. Checked in LibreOffice Calc only; not opened in Excel or Google Sheets.</t>
        </is>
      </c>
    </row>
    <row r="13">
      <c r="A13" s="10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2026-10-12T07:27:51Z</dcterms:created>
  <dcterms:modified xmlns:dcterms="http://purl.org/dc/terms/" xmlns:xsi="http://www.w3.org/2001/XMLSchema-instance" xsi:type="dcterms:W3CDTF">2026-10-12T07:27:51Z</dcterms:modified>
</cp:coreProperties>
</file>