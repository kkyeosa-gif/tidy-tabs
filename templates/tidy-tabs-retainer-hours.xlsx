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s" sheetId="1" state="visible" r:id="rId1"/>
    <sheet xmlns:r="http://schemas.openxmlformats.org/officeDocument/2006/relationships" name="Log" sheetId="2" state="visible" r:id="rId2"/>
    <sheet xmlns:r="http://schemas.openxmlformats.org/officeDocument/2006/relationships" name="How to use" sheetId="3" state="visible" r:id="rId3"/>
  </sheets>
  <definedNames>
    <definedName name="_xlnm.Print_Titles" localSheetId="0">'Clients'!$1:$1</definedName>
    <definedName name="_xlnm.Print_Area" localSheetId="0">'Clients'!$A$1:$I$13</definedName>
    <definedName name="_xlnm.Print_Titles" localSheetId="1">'Log'!$1:$1</definedName>
    <definedName name="_xlnm.Print_Area" localSheetId="1">'Log'!$A$1:$D$26</definedName>
  </definedNames>
  <calcPr calcId="124519" fullCalcOnLoad="1"/>
</workbook>
</file>

<file path=xl/styles.xml><?xml version="1.0" encoding="utf-8"?>
<styleSheet xmlns="http://schemas.openxmlformats.org/spreadsheetml/2006/main">
  <numFmts count="2">
    <numFmt numFmtId="164" formatCode="mm/dd/yyyy"/>
    <numFmt numFmtId="165"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0" pivotButton="0" quotePrefix="0" xfId="0"/>
    <xf numFmtId="2" fontId="0" fillId="3" borderId="0" pivotButton="0" quotePrefix="0" xfId="0"/>
    <xf numFmtId="2" fontId="0" fillId="4" borderId="0" applyAlignment="1" pivotButton="0" quotePrefix="0" xfId="0">
      <alignment horizontal="right"/>
    </xf>
    <xf numFmtId="165" fontId="0" fillId="4" borderId="0" applyAlignment="1" pivotButton="0" quotePrefix="0" xfId="0">
      <alignment horizontal="right"/>
    </xf>
    <xf numFmtId="0" fontId="0" fillId="4" borderId="0" applyAlignment="1" pivotButton="0" quotePrefix="0" xfId="0">
      <alignment horizontal="right"/>
    </xf>
    <xf numFmtId="0" fontId="2" fillId="0" borderId="0" pivotButton="0" quotePrefix="0" xfId="0"/>
    <xf numFmtId="1" fontId="0" fillId="4" borderId="0" applyAlignment="1" pivotButton="0" quotePrefix="0" xfId="0">
      <alignment horizontal="right"/>
    </xf>
    <xf numFmtId="164" fontId="0" fillId="3"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2" customWidth="1" min="4" max="4"/>
    <col width="12" customWidth="1" min="5" max="5"/>
    <col width="22" customWidth="1" min="6" max="6"/>
    <col width="3" customWidth="1" min="7" max="7"/>
    <col width="50" customWidth="1" min="8" max="8"/>
    <col width="14" customWidth="1" min="9" max="9"/>
  </cols>
  <sheetData>
    <row r="1" ht="30" customHeight="1">
      <c r="A1" s="1" t="inlineStr">
        <is>
          <t>Client</t>
        </is>
      </c>
      <c r="B1" s="1" t="inlineStr">
        <is>
          <t>Hours bought</t>
        </is>
      </c>
      <c r="C1" s="1" t="inlineStr">
        <is>
          <t>Hours used</t>
        </is>
      </c>
      <c r="D1" s="1" t="inlineStr">
        <is>
          <t>Hours left</t>
        </is>
      </c>
      <c r="E1" s="1" t="inlineStr">
        <is>
          <t>Percent used</t>
        </is>
      </c>
      <c r="F1" s="1" t="inlineStr">
        <is>
          <t>Status</t>
        </is>
      </c>
    </row>
    <row r="2">
      <c r="A2" s="2" t="inlineStr">
        <is>
          <t>Birch Street Bakery</t>
        </is>
      </c>
      <c r="B2" s="3" t="n">
        <v>20</v>
      </c>
      <c r="C2" s="4">
        <f>IF(A2="","",SUMIFS(Log!$C$2:$C$200,Log!$B$2:$B$200,A2))</f>
        <v/>
      </c>
      <c r="D2" s="4">
        <f>IF(OR(A2="",NOT(ISNUMBER(B2))),"",B2-C2)</f>
        <v/>
      </c>
      <c r="E2" s="5">
        <f>IF(D2="","",IF(B2=0,"",C2/B2))</f>
        <v/>
      </c>
      <c r="F2" s="6">
        <f>IF(D2="","",IF(D2&lt;0,"Over by "&amp;ROUND(-D2,2)&amp;" hours",IF(D2&lt;=B2*0.2,"Low","OK")))</f>
        <v/>
      </c>
      <c r="H2" s="7" t="inlineStr">
        <is>
          <t>Hours bought, all clients</t>
        </is>
      </c>
      <c r="I2" s="4">
        <f>SUM(B2:B13)</f>
        <v/>
      </c>
    </row>
    <row r="3">
      <c r="A3" s="2" t="inlineStr">
        <is>
          <t>Lakeview Dental Office</t>
        </is>
      </c>
      <c r="B3" s="3" t="n">
        <v>30</v>
      </c>
      <c r="C3" s="4">
        <f>IF(A3="","",SUMIFS(Log!$C$2:$C$200,Log!$B$2:$B$200,A3))</f>
        <v/>
      </c>
      <c r="D3" s="4">
        <f>IF(OR(A3="",NOT(ISNUMBER(B3))),"",B3-C3)</f>
        <v/>
      </c>
      <c r="E3" s="5">
        <f>IF(D3="","",IF(B3=0,"",C3/B3))</f>
        <v/>
      </c>
      <c r="F3" s="6">
        <f>IF(D3="","",IF(D3&lt;0,"Over by "&amp;ROUND(-D3,2)&amp;" hours",IF(D3&lt;=B3*0.2,"Low","OK")))</f>
        <v/>
      </c>
      <c r="H3" s="7" t="inlineStr">
        <is>
          <t>Hours used, all clients</t>
        </is>
      </c>
      <c r="I3" s="4">
        <f>SUM(C2:C13)</f>
        <v/>
      </c>
    </row>
    <row r="4">
      <c r="A4" s="2" t="inlineStr">
        <is>
          <t>Pine Hill Yoga</t>
        </is>
      </c>
      <c r="B4" s="3" t="n">
        <v>10</v>
      </c>
      <c r="C4" s="4">
        <f>IF(A4="","",SUMIFS(Log!$C$2:$C$200,Log!$B$2:$B$200,A4))</f>
        <v/>
      </c>
      <c r="D4" s="4">
        <f>IF(OR(A4="",NOT(ISNUMBER(B4))),"",B4-C4)</f>
        <v/>
      </c>
      <c r="E4" s="5">
        <f>IF(D4="","",IF(B4=0,"",C4/B4))</f>
        <v/>
      </c>
      <c r="F4" s="6">
        <f>IF(D4="","",IF(D4&lt;0,"Over by "&amp;ROUND(-D4,2)&amp;" hours",IF(D4&lt;=B4*0.2,"Low","OK")))</f>
        <v/>
      </c>
      <c r="H4" s="7" t="inlineStr">
        <is>
          <t>Hours logged in the Log sheet</t>
        </is>
      </c>
      <c r="I4" s="4">
        <f>SUM(Log!$C$2:$C$200)</f>
        <v/>
      </c>
    </row>
    <row r="5">
      <c r="A5" s="2" t="inlineStr">
        <is>
          <t>Cedar &amp; Co. Realty</t>
        </is>
      </c>
      <c r="B5" s="3" t="n">
        <v>15</v>
      </c>
      <c r="C5" s="4">
        <f>IF(A5="","",SUMIFS(Log!$C$2:$C$200,Log!$B$2:$B$200,A5))</f>
        <v/>
      </c>
      <c r="D5" s="4">
        <f>IF(OR(A5="",NOT(ISNUMBER(B5))),"",B5-C5)</f>
        <v/>
      </c>
      <c r="E5" s="5">
        <f>IF(D5="","",IF(B5=0,"",C5/B5))</f>
        <v/>
      </c>
      <c r="F5" s="6">
        <f>IF(D5="","",IF(D5&lt;0,"Over by "&amp;ROUND(-D5,2)&amp;" hours",IF(D5&lt;=B5*0.2,"Low","OK")))</f>
        <v/>
      </c>
      <c r="H5" s="7" t="inlineStr">
        <is>
          <t>Clients that are Low or over</t>
        </is>
      </c>
      <c r="I5" s="8">
        <f>COUNTIF(F2:F13,"Low")+COUNTIF(F2:F13,"Over*")</f>
        <v/>
      </c>
    </row>
    <row r="6">
      <c r="A6" s="2" t="inlineStr">
        <is>
          <t>Oak Lane Florist</t>
        </is>
      </c>
      <c r="B6" s="3" t="n">
        <v>12</v>
      </c>
      <c r="C6" s="4">
        <f>IF(A6="","",SUMIFS(Log!$C$2:$C$200,Log!$B$2:$B$200,A6))</f>
        <v/>
      </c>
      <c r="D6" s="4">
        <f>IF(OR(A6="",NOT(ISNUMBER(B6))),"",B6-C6)</f>
        <v/>
      </c>
      <c r="E6" s="5">
        <f>IF(D6="","",IF(B6=0,"",C6/B6))</f>
        <v/>
      </c>
      <c r="F6" s="6">
        <f>IF(D6="","",IF(D6&lt;0,"Over by "&amp;ROUND(-D6,2)&amp;" hours",IF(D6&lt;=B6*0.2,"Low","OK")))</f>
        <v/>
      </c>
      <c r="H6" s="7" t="inlineStr">
        <is>
          <t>Check: every logged client is listed, hours are numbers</t>
        </is>
      </c>
      <c r="I6" s="6">
        <f>IF(AND(SUMPRODUCT((Log!$B$2:$B$200&lt;&gt;"")*(COUNTIF($A$2:$A$13,Log!$B$2:$B$200)=0))=0,COUNT(Log!$C$2:$C$200)=COUNTA(Log!$C$2:$C$200),SUMPRODUCT(--((Log!$B$2:$B$200&lt;&gt;"")&lt;&gt;(Log!$C$2:$C$200&lt;&gt;"")))=0,COUNT($B$2:$B$13)=COUNTA($B$2:$B$13),SUMPRODUCT(($A$2:$A$13&lt;&gt;"")*(1-ISNUMBER($B$2:$B$13)))=0,ROUND(I3-I4,6)=0),"OK","CHECK")</f>
        <v/>
      </c>
    </row>
    <row r="7">
      <c r="A7" s="2" t="n"/>
      <c r="B7" s="3" t="n"/>
      <c r="C7" s="4">
        <f>IF(A7="","",SUMIFS(Log!$C$2:$C$200,Log!$B$2:$B$200,A7))</f>
        <v/>
      </c>
      <c r="D7" s="4">
        <f>IF(OR(A7="",NOT(ISNUMBER(B7))),"",B7-C7)</f>
        <v/>
      </c>
      <c r="E7" s="5">
        <f>IF(D7="","",IF(B7=0,"",C7/B7))</f>
        <v/>
      </c>
      <c r="F7" s="6">
        <f>IF(D7="","",IF(D7&lt;0,"Over by "&amp;ROUND(-D7,2)&amp;" hours",IF(D7&lt;=B7*0.2,"Low","OK")))</f>
        <v/>
      </c>
    </row>
    <row r="8">
      <c r="A8" s="2" t="n"/>
      <c r="B8" s="3" t="n"/>
      <c r="C8" s="4">
        <f>IF(A8="","",SUMIFS(Log!$C$2:$C$200,Log!$B$2:$B$200,A8))</f>
        <v/>
      </c>
      <c r="D8" s="4">
        <f>IF(OR(A8="",NOT(ISNUMBER(B8))),"",B8-C8)</f>
        <v/>
      </c>
      <c r="E8" s="5">
        <f>IF(D8="","",IF(B8=0,"",C8/B8))</f>
        <v/>
      </c>
      <c r="F8" s="6">
        <f>IF(D8="","",IF(D8&lt;0,"Over by "&amp;ROUND(-D8,2)&amp;" hours",IF(D8&lt;=B8*0.2,"Low","OK")))</f>
        <v/>
      </c>
    </row>
    <row r="9">
      <c r="A9" s="2" t="n"/>
      <c r="B9" s="3" t="n"/>
      <c r="C9" s="4">
        <f>IF(A9="","",SUMIFS(Log!$C$2:$C$200,Log!$B$2:$B$200,A9))</f>
        <v/>
      </c>
      <c r="D9" s="4">
        <f>IF(OR(A9="",NOT(ISNUMBER(B9))),"",B9-C9)</f>
        <v/>
      </c>
      <c r="E9" s="5">
        <f>IF(D9="","",IF(B9=0,"",C9/B9))</f>
        <v/>
      </c>
      <c r="F9" s="6">
        <f>IF(D9="","",IF(D9&lt;0,"Over by "&amp;ROUND(-D9,2)&amp;" hours",IF(D9&lt;=B9*0.2,"Low","OK")))</f>
        <v/>
      </c>
    </row>
    <row r="10">
      <c r="A10" s="2" t="n"/>
      <c r="B10" s="3" t="n"/>
      <c r="C10" s="4">
        <f>IF(A10="","",SUMIFS(Log!$C$2:$C$200,Log!$B$2:$B$200,A10))</f>
        <v/>
      </c>
      <c r="D10" s="4">
        <f>IF(OR(A10="",NOT(ISNUMBER(B10))),"",B10-C10)</f>
        <v/>
      </c>
      <c r="E10" s="5">
        <f>IF(D10="","",IF(B10=0,"",C10/B10))</f>
        <v/>
      </c>
      <c r="F10" s="6">
        <f>IF(D10="","",IF(D10&lt;0,"Over by "&amp;ROUND(-D10,2)&amp;" hours",IF(D10&lt;=B10*0.2,"Low","OK")))</f>
        <v/>
      </c>
    </row>
    <row r="11">
      <c r="A11" s="2" t="n"/>
      <c r="B11" s="3" t="n"/>
      <c r="C11" s="4">
        <f>IF(A11="","",SUMIFS(Log!$C$2:$C$200,Log!$B$2:$B$200,A11))</f>
        <v/>
      </c>
      <c r="D11" s="4">
        <f>IF(OR(A11="",NOT(ISNUMBER(B11))),"",B11-C11)</f>
        <v/>
      </c>
      <c r="E11" s="5">
        <f>IF(D11="","",IF(B11=0,"",C11/B11))</f>
        <v/>
      </c>
      <c r="F11" s="6">
        <f>IF(D11="","",IF(D11&lt;0,"Over by "&amp;ROUND(-D11,2)&amp;" hours",IF(D11&lt;=B11*0.2,"Low","OK")))</f>
        <v/>
      </c>
    </row>
    <row r="12">
      <c r="A12" s="2" t="n"/>
      <c r="B12" s="3" t="n"/>
      <c r="C12" s="4">
        <f>IF(A12="","",SUMIFS(Log!$C$2:$C$200,Log!$B$2:$B$200,A12))</f>
        <v/>
      </c>
      <c r="D12" s="4">
        <f>IF(OR(A12="",NOT(ISNUMBER(B12))),"",B12-C12)</f>
        <v/>
      </c>
      <c r="E12" s="5">
        <f>IF(D12="","",IF(B12=0,"",C12/B12))</f>
        <v/>
      </c>
      <c r="F12" s="6">
        <f>IF(D12="","",IF(D12&lt;0,"Over by "&amp;ROUND(-D12,2)&amp;" hours",IF(D12&lt;=B12*0.2,"Low","OK")))</f>
        <v/>
      </c>
    </row>
    <row r="13">
      <c r="A13" s="2" t="n"/>
      <c r="B13" s="3" t="n"/>
      <c r="C13" s="4">
        <f>IF(A13="","",SUMIFS(Log!$C$2:$C$200,Log!$B$2:$B$200,A13))</f>
        <v/>
      </c>
      <c r="D13" s="4">
        <f>IF(OR(A13="",NOT(ISNUMBER(B13))),"",B13-C13)</f>
        <v/>
      </c>
      <c r="E13" s="5">
        <f>IF(D13="","",IF(B13=0,"",C13/B13))</f>
        <v/>
      </c>
      <c r="F13" s="6">
        <f>IF(D13="","",IF(D13&lt;0,"Over by "&amp;ROUND(-D13,2)&amp;" hours",IF(D13&lt;=B13*0.2,"Low","OK")))</f>
        <v/>
      </c>
    </row>
  </sheetData>
  <conditionalFormatting sqref="A2:F13">
    <cfRule type="expression" priority="1" dxfId="0">
      <formula>LEFT($F2,4)="Over"</formula>
    </cfRule>
    <cfRule type="expression" priority="2" dxfId="1">
      <formula>$F2="Low"</formula>
    </cfRule>
  </conditionalFormatting>
  <conditionalFormatting sqref="I6">
    <cfRule type="expression" priority="3" dxfId="0">
      <formula>AND(I6&lt;&gt;"OK",I6&lt;&gt;"")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D20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9" customWidth="1" min="3" max="3"/>
    <col width="34" customWidth="1" min="4" max="4"/>
  </cols>
  <sheetData>
    <row r="1" ht="30" customHeight="1">
      <c r="A1" s="1" t="inlineStr">
        <is>
          <t>Date</t>
        </is>
      </c>
      <c r="B1" s="1" t="inlineStr">
        <is>
          <t>Client</t>
        </is>
      </c>
      <c r="C1" s="1" t="inlineStr">
        <is>
          <t>Hours</t>
        </is>
      </c>
      <c r="D1" s="1" t="inlineStr">
        <is>
          <t>Task</t>
        </is>
      </c>
    </row>
    <row r="2">
      <c r="A2" s="9" t="n">
        <v>46266</v>
      </c>
      <c r="B2" s="2" t="inlineStr">
        <is>
          <t>Birch Street Bakery</t>
        </is>
      </c>
      <c r="C2" s="3" t="n">
        <v>5.5</v>
      </c>
      <c r="D2" s="2" t="inlineStr">
        <is>
          <t>Website copy</t>
        </is>
      </c>
    </row>
    <row r="3">
      <c r="A3" s="9" t="n">
        <v>46268</v>
      </c>
      <c r="B3" s="2" t="inlineStr">
        <is>
          <t>Lakeview Dental Office</t>
        </is>
      </c>
      <c r="C3" s="3" t="n">
        <v>6</v>
      </c>
      <c r="D3" s="2" t="inlineStr">
        <is>
          <t>Newsletter</t>
        </is>
      </c>
    </row>
    <row r="4">
      <c r="A4" s="9" t="n">
        <v>46269</v>
      </c>
      <c r="B4" s="2" t="inlineStr">
        <is>
          <t>Pine Hill Yoga</t>
        </is>
      </c>
      <c r="C4" s="3" t="n">
        <v>2</v>
      </c>
      <c r="D4" s="2" t="inlineStr">
        <is>
          <t>Class descriptions</t>
        </is>
      </c>
    </row>
    <row r="5">
      <c r="A5" s="9" t="n">
        <v>46273</v>
      </c>
      <c r="B5" s="2" t="inlineStr">
        <is>
          <t>Cedar &amp; Co. Realty</t>
        </is>
      </c>
      <c r="C5" s="3" t="n">
        <v>2.5</v>
      </c>
      <c r="D5" s="2" t="inlineStr">
        <is>
          <t>Listing descriptions</t>
        </is>
      </c>
    </row>
    <row r="6">
      <c r="A6" s="9" t="n">
        <v>46275</v>
      </c>
      <c r="B6" s="2" t="inlineStr">
        <is>
          <t>Birch Street Bakery</t>
        </is>
      </c>
      <c r="C6" s="3" t="n">
        <v>4.25</v>
      </c>
      <c r="D6" s="2" t="inlineStr">
        <is>
          <t>Menu rewrite</t>
        </is>
      </c>
    </row>
    <row r="7">
      <c r="A7" s="9" t="n">
        <v>46276</v>
      </c>
      <c r="B7" s="2" t="inlineStr">
        <is>
          <t>Lakeview Dental Office</t>
        </is>
      </c>
      <c r="C7" s="3" t="n">
        <v>7.5</v>
      </c>
      <c r="D7" s="2" t="inlineStr">
        <is>
          <t>Blog posts</t>
        </is>
      </c>
    </row>
    <row r="8">
      <c r="A8" s="9" t="n">
        <v>46280</v>
      </c>
      <c r="B8" s="2" t="inlineStr">
        <is>
          <t>Pine Hill Yoga</t>
        </is>
      </c>
      <c r="C8" s="3" t="n">
        <v>1.5</v>
      </c>
      <c r="D8" s="2" t="inlineStr">
        <is>
          <t>Email series</t>
        </is>
      </c>
    </row>
    <row r="9">
      <c r="A9" s="9" t="n">
        <v>46282</v>
      </c>
      <c r="B9" s="2" t="inlineStr">
        <is>
          <t>Cedar &amp; Co. Realty</t>
        </is>
      </c>
      <c r="C9" s="3" t="n">
        <v>1.25</v>
      </c>
      <c r="D9" s="2" t="inlineStr">
        <is>
          <t>Open house flyer</t>
        </is>
      </c>
    </row>
    <row r="10">
      <c r="A10" s="9" t="n">
        <v>46283</v>
      </c>
      <c r="B10" s="2" t="inlineStr">
        <is>
          <t>Lakeview Dental Office</t>
        </is>
      </c>
      <c r="C10" s="3" t="n">
        <v>4.25</v>
      </c>
      <c r="D10" s="2" t="inlineStr">
        <is>
          <t>Patient FAQ</t>
        </is>
      </c>
    </row>
    <row r="11">
      <c r="A11" s="9" t="n">
        <v>46287</v>
      </c>
      <c r="B11" s="2" t="inlineStr">
        <is>
          <t>Pine Hill Yoga</t>
        </is>
      </c>
      <c r="C11" s="3" t="n">
        <v>3</v>
      </c>
      <c r="D11" s="2" t="inlineStr">
        <is>
          <t>Workshop page</t>
        </is>
      </c>
    </row>
    <row r="12">
      <c r="A12" s="9" t="n">
        <v>46289</v>
      </c>
      <c r="B12" s="2" t="inlineStr">
        <is>
          <t>Birch Street Bakery</t>
        </is>
      </c>
      <c r="C12" s="3" t="n">
        <v>3</v>
      </c>
      <c r="D12" s="2" t="inlineStr">
        <is>
          <t>Holiday email</t>
        </is>
      </c>
    </row>
    <row r="13">
      <c r="A13" s="9" t="n">
        <v>46290</v>
      </c>
      <c r="B13" s="2" t="inlineStr">
        <is>
          <t>Cedar &amp; Co. Realty</t>
        </is>
      </c>
      <c r="C13" s="3" t="n">
        <v>3</v>
      </c>
      <c r="D13" s="2" t="inlineStr">
        <is>
          <t>Neighborhood guide</t>
        </is>
      </c>
    </row>
    <row r="14">
      <c r="A14" s="9" t="n">
        <v>46294</v>
      </c>
      <c r="B14" s="2" t="inlineStr">
        <is>
          <t>Lakeview Dental Office</t>
        </is>
      </c>
      <c r="C14" s="3" t="n">
        <v>5</v>
      </c>
      <c r="D14" s="2" t="inlineStr">
        <is>
          <t>Website edits</t>
        </is>
      </c>
    </row>
    <row r="15">
      <c r="A15" s="9" t="n">
        <v>46296</v>
      </c>
      <c r="B15" s="2" t="inlineStr">
        <is>
          <t>Pine Hill Yoga</t>
        </is>
      </c>
      <c r="C15" s="3" t="n">
        <v>4.25</v>
      </c>
      <c r="D15" s="2" t="inlineStr">
        <is>
          <t>Retreat brochure</t>
        </is>
      </c>
    </row>
    <row r="16">
      <c r="A16" s="9" t="n">
        <v>46301</v>
      </c>
      <c r="B16" s="2" t="inlineStr">
        <is>
          <t>Lakeview Dental Office</t>
        </is>
      </c>
      <c r="C16" s="3" t="n">
        <v>3.75</v>
      </c>
      <c r="D16" s="2" t="inlineStr">
        <is>
          <t>Newsletter</t>
        </is>
      </c>
    </row>
    <row r="17">
      <c r="A17" s="9" t="n">
        <v>46303</v>
      </c>
      <c r="B17" s="2" t="inlineStr">
        <is>
          <t>Pine Hill Yoga</t>
        </is>
      </c>
      <c r="C17" s="3" t="n">
        <v>1.5</v>
      </c>
      <c r="D17" s="2" t="inlineStr">
        <is>
          <t>Social posts</t>
        </is>
      </c>
    </row>
    <row r="18">
      <c r="A18" s="9" t="n">
        <v>46308</v>
      </c>
      <c r="B18" s="2" t="inlineStr">
        <is>
          <t>Cedar &amp; Co. Realty</t>
        </is>
      </c>
      <c r="C18" s="3" t="n">
        <v>0.75</v>
      </c>
      <c r="D18" s="2" t="inlineStr">
        <is>
          <t>Proofreading</t>
        </is>
      </c>
    </row>
    <row r="19">
      <c r="A19" s="9" t="n"/>
      <c r="B19" s="2" t="n"/>
      <c r="C19" s="3" t="n"/>
      <c r="D19" s="2" t="n"/>
    </row>
    <row r="20">
      <c r="A20" s="9" t="n"/>
      <c r="B20" s="2" t="n"/>
      <c r="C20" s="3" t="n"/>
      <c r="D20" s="2" t="n"/>
    </row>
    <row r="21">
      <c r="A21" s="9" t="n"/>
      <c r="B21" s="2" t="n"/>
      <c r="C21" s="3" t="n"/>
      <c r="D21" s="2" t="n"/>
    </row>
    <row r="22">
      <c r="A22" s="9" t="n"/>
      <c r="B22" s="2" t="n"/>
      <c r="C22" s="3" t="n"/>
      <c r="D22" s="2" t="n"/>
    </row>
    <row r="23">
      <c r="A23" s="9" t="n"/>
      <c r="B23" s="2" t="n"/>
      <c r="C23" s="3" t="n"/>
      <c r="D23" s="2" t="n"/>
    </row>
    <row r="24">
      <c r="A24" s="9" t="n"/>
      <c r="B24" s="2" t="n"/>
      <c r="C24" s="3" t="n"/>
      <c r="D24" s="2" t="n"/>
    </row>
    <row r="25">
      <c r="A25" s="9" t="n"/>
      <c r="B25" s="2" t="n"/>
      <c r="C25" s="3" t="n"/>
      <c r="D25" s="2" t="n"/>
    </row>
    <row r="26">
      <c r="A26" s="9" t="n"/>
      <c r="B26" s="2" t="n"/>
      <c r="C26" s="3" t="n"/>
      <c r="D26" s="2" t="n"/>
    </row>
    <row r="27">
      <c r="A27" s="9" t="n"/>
      <c r="B27" s="2" t="n"/>
      <c r="C27" s="3" t="n"/>
      <c r="D27" s="2" t="n"/>
    </row>
    <row r="28">
      <c r="A28" s="9" t="n"/>
      <c r="B28" s="2" t="n"/>
      <c r="C28" s="3" t="n"/>
      <c r="D28" s="2" t="n"/>
    </row>
    <row r="29">
      <c r="A29" s="9" t="n"/>
      <c r="B29" s="2" t="n"/>
      <c r="C29" s="3" t="n"/>
      <c r="D29" s="2" t="n"/>
    </row>
    <row r="30">
      <c r="A30" s="9" t="n"/>
      <c r="B30" s="2" t="n"/>
      <c r="C30" s="3" t="n"/>
      <c r="D30" s="2" t="n"/>
    </row>
    <row r="31">
      <c r="A31" s="9" t="n"/>
      <c r="B31" s="2" t="n"/>
      <c r="C31" s="3" t="n"/>
      <c r="D31" s="2" t="n"/>
    </row>
    <row r="32">
      <c r="A32" s="9" t="n"/>
      <c r="B32" s="2" t="n"/>
      <c r="C32" s="3" t="n"/>
      <c r="D32" s="2" t="n"/>
    </row>
    <row r="33">
      <c r="A33" s="9" t="n"/>
      <c r="B33" s="2" t="n"/>
      <c r="C33" s="3" t="n"/>
      <c r="D33" s="2" t="n"/>
    </row>
    <row r="34">
      <c r="A34" s="9" t="n"/>
      <c r="B34" s="2" t="n"/>
      <c r="C34" s="3" t="n"/>
      <c r="D34" s="2" t="n"/>
    </row>
    <row r="35">
      <c r="A35" s="9" t="n"/>
      <c r="B35" s="2" t="n"/>
      <c r="C35" s="3" t="n"/>
      <c r="D35" s="2" t="n"/>
    </row>
    <row r="36">
      <c r="A36" s="9" t="n"/>
      <c r="B36" s="2" t="n"/>
      <c r="C36" s="3" t="n"/>
      <c r="D36" s="2" t="n"/>
    </row>
    <row r="37">
      <c r="A37" s="9" t="n"/>
      <c r="B37" s="2" t="n"/>
      <c r="C37" s="3" t="n"/>
      <c r="D37" s="2" t="n"/>
    </row>
    <row r="38">
      <c r="A38" s="9" t="n"/>
      <c r="B38" s="2" t="n"/>
      <c r="C38" s="3" t="n"/>
      <c r="D38" s="2" t="n"/>
    </row>
    <row r="39">
      <c r="A39" s="9" t="n"/>
      <c r="B39" s="2" t="n"/>
      <c r="C39" s="3" t="n"/>
      <c r="D39" s="2" t="n"/>
    </row>
    <row r="40">
      <c r="A40" s="9" t="n"/>
      <c r="B40" s="2" t="n"/>
      <c r="C40" s="3" t="n"/>
      <c r="D40" s="2" t="n"/>
    </row>
    <row r="41">
      <c r="A41" s="9" t="n"/>
      <c r="B41" s="2" t="n"/>
      <c r="C41" s="3" t="n"/>
      <c r="D41" s="2" t="n"/>
    </row>
    <row r="42">
      <c r="A42" s="9" t="n"/>
      <c r="B42" s="2" t="n"/>
      <c r="C42" s="3" t="n"/>
      <c r="D42" s="2" t="n"/>
    </row>
    <row r="43">
      <c r="A43" s="9" t="n"/>
      <c r="B43" s="2" t="n"/>
      <c r="C43" s="3" t="n"/>
      <c r="D43" s="2" t="n"/>
    </row>
    <row r="44">
      <c r="A44" s="9" t="n"/>
      <c r="B44" s="2" t="n"/>
      <c r="C44" s="3" t="n"/>
      <c r="D44" s="2" t="n"/>
    </row>
    <row r="45">
      <c r="A45" s="9" t="n"/>
      <c r="B45" s="2" t="n"/>
      <c r="C45" s="3" t="n"/>
      <c r="D45" s="2" t="n"/>
    </row>
    <row r="46">
      <c r="A46" s="9" t="n"/>
      <c r="B46" s="2" t="n"/>
      <c r="C46" s="3" t="n"/>
      <c r="D46" s="2" t="n"/>
    </row>
    <row r="47">
      <c r="A47" s="9" t="n"/>
      <c r="B47" s="2" t="n"/>
      <c r="C47" s="3" t="n"/>
      <c r="D47" s="2" t="n"/>
    </row>
    <row r="48">
      <c r="A48" s="9" t="n"/>
      <c r="B48" s="2" t="n"/>
      <c r="C48" s="3" t="n"/>
      <c r="D48" s="2" t="n"/>
    </row>
    <row r="49">
      <c r="A49" s="9" t="n"/>
      <c r="B49" s="2" t="n"/>
      <c r="C49" s="3" t="n"/>
      <c r="D49" s="2" t="n"/>
    </row>
    <row r="50">
      <c r="A50" s="9" t="n"/>
      <c r="B50" s="2" t="n"/>
      <c r="C50" s="3" t="n"/>
      <c r="D50" s="2" t="n"/>
    </row>
    <row r="51">
      <c r="A51" s="9" t="n"/>
      <c r="B51" s="2" t="n"/>
      <c r="C51" s="3" t="n"/>
      <c r="D51" s="2" t="n"/>
    </row>
    <row r="52">
      <c r="A52" s="9" t="n"/>
      <c r="B52" s="2" t="n"/>
      <c r="C52" s="3" t="n"/>
      <c r="D52" s="2" t="n"/>
    </row>
    <row r="53">
      <c r="A53" s="9" t="n"/>
      <c r="B53" s="2" t="n"/>
      <c r="C53" s="3" t="n"/>
      <c r="D53" s="2" t="n"/>
    </row>
    <row r="54">
      <c r="A54" s="9" t="n"/>
      <c r="B54" s="2" t="n"/>
      <c r="C54" s="3" t="n"/>
      <c r="D54" s="2" t="n"/>
    </row>
    <row r="55">
      <c r="A55" s="9" t="n"/>
      <c r="B55" s="2" t="n"/>
      <c r="C55" s="3" t="n"/>
      <c r="D55" s="2" t="n"/>
    </row>
    <row r="56">
      <c r="A56" s="9" t="n"/>
      <c r="B56" s="2" t="n"/>
      <c r="C56" s="3" t="n"/>
      <c r="D56" s="2" t="n"/>
    </row>
    <row r="57">
      <c r="A57" s="9" t="n"/>
      <c r="B57" s="2" t="n"/>
      <c r="C57" s="3" t="n"/>
      <c r="D57" s="2" t="n"/>
    </row>
    <row r="58">
      <c r="A58" s="9" t="n"/>
      <c r="B58" s="2" t="n"/>
      <c r="C58" s="3" t="n"/>
      <c r="D58" s="2" t="n"/>
    </row>
    <row r="59">
      <c r="A59" s="9" t="n"/>
      <c r="B59" s="2" t="n"/>
      <c r="C59" s="3" t="n"/>
      <c r="D59" s="2" t="n"/>
    </row>
    <row r="60">
      <c r="A60" s="9" t="n"/>
      <c r="B60" s="2" t="n"/>
      <c r="C60" s="3" t="n"/>
      <c r="D60" s="2" t="n"/>
    </row>
    <row r="61">
      <c r="A61" s="9" t="n"/>
      <c r="B61" s="2" t="n"/>
      <c r="C61" s="3" t="n"/>
      <c r="D61" s="2" t="n"/>
    </row>
    <row r="62">
      <c r="A62" s="9" t="n"/>
      <c r="B62" s="2" t="n"/>
      <c r="C62" s="3" t="n"/>
      <c r="D62" s="2" t="n"/>
    </row>
    <row r="63">
      <c r="A63" s="9" t="n"/>
      <c r="B63" s="2" t="n"/>
      <c r="C63" s="3" t="n"/>
      <c r="D63" s="2" t="n"/>
    </row>
    <row r="64">
      <c r="A64" s="9" t="n"/>
      <c r="B64" s="2" t="n"/>
      <c r="C64" s="3" t="n"/>
      <c r="D64" s="2" t="n"/>
    </row>
    <row r="65">
      <c r="A65" s="9" t="n"/>
      <c r="B65" s="2" t="n"/>
      <c r="C65" s="3" t="n"/>
      <c r="D65" s="2" t="n"/>
    </row>
    <row r="66">
      <c r="A66" s="9" t="n"/>
      <c r="B66" s="2" t="n"/>
      <c r="C66" s="3" t="n"/>
      <c r="D66" s="2" t="n"/>
    </row>
    <row r="67">
      <c r="A67" s="9" t="n"/>
      <c r="B67" s="2" t="n"/>
      <c r="C67" s="3" t="n"/>
      <c r="D67" s="2" t="n"/>
    </row>
    <row r="68">
      <c r="A68" s="9" t="n"/>
      <c r="B68" s="2" t="n"/>
      <c r="C68" s="3" t="n"/>
      <c r="D68" s="2" t="n"/>
    </row>
    <row r="69">
      <c r="A69" s="9" t="n"/>
      <c r="B69" s="2" t="n"/>
      <c r="C69" s="3" t="n"/>
      <c r="D69" s="2" t="n"/>
    </row>
    <row r="70">
      <c r="A70" s="9" t="n"/>
      <c r="B70" s="2" t="n"/>
      <c r="C70" s="3" t="n"/>
      <c r="D70" s="2" t="n"/>
    </row>
    <row r="71">
      <c r="A71" s="9" t="n"/>
      <c r="B71" s="2" t="n"/>
      <c r="C71" s="3" t="n"/>
      <c r="D71" s="2" t="n"/>
    </row>
    <row r="72">
      <c r="A72" s="9" t="n"/>
      <c r="B72" s="2" t="n"/>
      <c r="C72" s="3" t="n"/>
      <c r="D72" s="2" t="n"/>
    </row>
    <row r="73">
      <c r="A73" s="9" t="n"/>
      <c r="B73" s="2" t="n"/>
      <c r="C73" s="3" t="n"/>
      <c r="D73" s="2" t="n"/>
    </row>
    <row r="74">
      <c r="A74" s="9" t="n"/>
      <c r="B74" s="2" t="n"/>
      <c r="C74" s="3" t="n"/>
      <c r="D74" s="2" t="n"/>
    </row>
    <row r="75">
      <c r="A75" s="9" t="n"/>
      <c r="B75" s="2" t="n"/>
      <c r="C75" s="3" t="n"/>
      <c r="D75" s="2" t="n"/>
    </row>
    <row r="76">
      <c r="A76" s="9" t="n"/>
      <c r="B76" s="2" t="n"/>
      <c r="C76" s="3" t="n"/>
      <c r="D76" s="2" t="n"/>
    </row>
    <row r="77">
      <c r="A77" s="9" t="n"/>
      <c r="B77" s="2" t="n"/>
      <c r="C77" s="3" t="n"/>
      <c r="D77" s="2" t="n"/>
    </row>
    <row r="78">
      <c r="A78" s="9" t="n"/>
      <c r="B78" s="2" t="n"/>
      <c r="C78" s="3" t="n"/>
      <c r="D78" s="2" t="n"/>
    </row>
    <row r="79">
      <c r="A79" s="9" t="n"/>
      <c r="B79" s="2" t="n"/>
      <c r="C79" s="3" t="n"/>
      <c r="D79" s="2" t="n"/>
    </row>
    <row r="80">
      <c r="A80" s="9" t="n"/>
      <c r="B80" s="2" t="n"/>
      <c r="C80" s="3" t="n"/>
      <c r="D80" s="2" t="n"/>
    </row>
    <row r="81">
      <c r="A81" s="9" t="n"/>
      <c r="B81" s="2" t="n"/>
      <c r="C81" s="3" t="n"/>
      <c r="D81" s="2" t="n"/>
    </row>
    <row r="82">
      <c r="A82" s="9" t="n"/>
      <c r="B82" s="2" t="n"/>
      <c r="C82" s="3" t="n"/>
      <c r="D82" s="2" t="n"/>
    </row>
    <row r="83">
      <c r="A83" s="9" t="n"/>
      <c r="B83" s="2" t="n"/>
      <c r="C83" s="3" t="n"/>
      <c r="D83" s="2" t="n"/>
    </row>
    <row r="84">
      <c r="A84" s="9" t="n"/>
      <c r="B84" s="2" t="n"/>
      <c r="C84" s="3" t="n"/>
      <c r="D84" s="2" t="n"/>
    </row>
    <row r="85">
      <c r="A85" s="9" t="n"/>
      <c r="B85" s="2" t="n"/>
      <c r="C85" s="3" t="n"/>
      <c r="D85" s="2" t="n"/>
    </row>
    <row r="86">
      <c r="A86" s="9" t="n"/>
      <c r="B86" s="2" t="n"/>
      <c r="C86" s="3" t="n"/>
      <c r="D86" s="2" t="n"/>
    </row>
    <row r="87">
      <c r="A87" s="9" t="n"/>
      <c r="B87" s="2" t="n"/>
      <c r="C87" s="3" t="n"/>
      <c r="D87" s="2" t="n"/>
    </row>
    <row r="88">
      <c r="A88" s="9" t="n"/>
      <c r="B88" s="2" t="n"/>
      <c r="C88" s="3" t="n"/>
      <c r="D88" s="2" t="n"/>
    </row>
    <row r="89">
      <c r="A89" s="9" t="n"/>
      <c r="B89" s="2" t="n"/>
      <c r="C89" s="3" t="n"/>
      <c r="D89" s="2" t="n"/>
    </row>
    <row r="90">
      <c r="A90" s="9" t="n"/>
      <c r="B90" s="2" t="n"/>
      <c r="C90" s="3" t="n"/>
      <c r="D90" s="2" t="n"/>
    </row>
    <row r="91">
      <c r="A91" s="9" t="n"/>
      <c r="B91" s="2" t="n"/>
      <c r="C91" s="3" t="n"/>
      <c r="D91" s="2" t="n"/>
    </row>
    <row r="92">
      <c r="A92" s="9" t="n"/>
      <c r="B92" s="2" t="n"/>
      <c r="C92" s="3" t="n"/>
      <c r="D92" s="2" t="n"/>
    </row>
    <row r="93">
      <c r="A93" s="9" t="n"/>
      <c r="B93" s="2" t="n"/>
      <c r="C93" s="3" t="n"/>
      <c r="D93" s="2" t="n"/>
    </row>
    <row r="94">
      <c r="A94" s="9" t="n"/>
      <c r="B94" s="2" t="n"/>
      <c r="C94" s="3" t="n"/>
      <c r="D94" s="2" t="n"/>
    </row>
    <row r="95">
      <c r="A95" s="9" t="n"/>
      <c r="B95" s="2" t="n"/>
      <c r="C95" s="3" t="n"/>
      <c r="D95" s="2" t="n"/>
    </row>
    <row r="96">
      <c r="A96" s="9" t="n"/>
      <c r="B96" s="2" t="n"/>
      <c r="C96" s="3" t="n"/>
      <c r="D96" s="2" t="n"/>
    </row>
    <row r="97">
      <c r="A97" s="9" t="n"/>
      <c r="B97" s="2" t="n"/>
      <c r="C97" s="3" t="n"/>
      <c r="D97" s="2" t="n"/>
    </row>
    <row r="98">
      <c r="A98" s="9" t="n"/>
      <c r="B98" s="2" t="n"/>
      <c r="C98" s="3" t="n"/>
      <c r="D98" s="2" t="n"/>
    </row>
    <row r="99">
      <c r="A99" s="9" t="n"/>
      <c r="B99" s="2" t="n"/>
      <c r="C99" s="3" t="n"/>
      <c r="D99" s="2" t="n"/>
    </row>
    <row r="100">
      <c r="A100" s="9" t="n"/>
      <c r="B100" s="2" t="n"/>
      <c r="C100" s="3" t="n"/>
      <c r="D100" s="2" t="n"/>
    </row>
    <row r="101">
      <c r="A101" s="9" t="n"/>
      <c r="B101" s="2" t="n"/>
      <c r="C101" s="3" t="n"/>
      <c r="D101" s="2" t="n"/>
    </row>
    <row r="102">
      <c r="A102" s="9" t="n"/>
      <c r="B102" s="2" t="n"/>
      <c r="C102" s="3" t="n"/>
      <c r="D102" s="2" t="n"/>
    </row>
    <row r="103">
      <c r="A103" s="9" t="n"/>
      <c r="B103" s="2" t="n"/>
      <c r="C103" s="3" t="n"/>
      <c r="D103" s="2" t="n"/>
    </row>
    <row r="104">
      <c r="A104" s="9" t="n"/>
      <c r="B104" s="2" t="n"/>
      <c r="C104" s="3" t="n"/>
      <c r="D104" s="2" t="n"/>
    </row>
    <row r="105">
      <c r="A105" s="9" t="n"/>
      <c r="B105" s="2" t="n"/>
      <c r="C105" s="3" t="n"/>
      <c r="D105" s="2" t="n"/>
    </row>
    <row r="106">
      <c r="A106" s="9" t="n"/>
      <c r="B106" s="2" t="n"/>
      <c r="C106" s="3" t="n"/>
      <c r="D106" s="2" t="n"/>
    </row>
    <row r="107">
      <c r="A107" s="9" t="n"/>
      <c r="B107" s="2" t="n"/>
      <c r="C107" s="3" t="n"/>
      <c r="D107" s="2" t="n"/>
    </row>
    <row r="108">
      <c r="A108" s="9" t="n"/>
      <c r="B108" s="2" t="n"/>
      <c r="C108" s="3" t="n"/>
      <c r="D108" s="2" t="n"/>
    </row>
    <row r="109">
      <c r="A109" s="9" t="n"/>
      <c r="B109" s="2" t="n"/>
      <c r="C109" s="3" t="n"/>
      <c r="D109" s="2" t="n"/>
    </row>
    <row r="110">
      <c r="A110" s="9" t="n"/>
      <c r="B110" s="2" t="n"/>
      <c r="C110" s="3" t="n"/>
      <c r="D110" s="2" t="n"/>
    </row>
    <row r="111">
      <c r="A111" s="9" t="n"/>
      <c r="B111" s="2" t="n"/>
      <c r="C111" s="3" t="n"/>
      <c r="D111" s="2" t="n"/>
    </row>
    <row r="112">
      <c r="A112" s="9" t="n"/>
      <c r="B112" s="2" t="n"/>
      <c r="C112" s="3" t="n"/>
      <c r="D112" s="2" t="n"/>
    </row>
    <row r="113">
      <c r="A113" s="9" t="n"/>
      <c r="B113" s="2" t="n"/>
      <c r="C113" s="3" t="n"/>
      <c r="D113" s="2" t="n"/>
    </row>
    <row r="114">
      <c r="A114" s="9" t="n"/>
      <c r="B114" s="2" t="n"/>
      <c r="C114" s="3" t="n"/>
      <c r="D114" s="2" t="n"/>
    </row>
    <row r="115">
      <c r="A115" s="9" t="n"/>
      <c r="B115" s="2" t="n"/>
      <c r="C115" s="3" t="n"/>
      <c r="D115" s="2" t="n"/>
    </row>
    <row r="116">
      <c r="A116" s="9" t="n"/>
      <c r="B116" s="2" t="n"/>
      <c r="C116" s="3" t="n"/>
      <c r="D116" s="2" t="n"/>
    </row>
    <row r="117">
      <c r="A117" s="9" t="n"/>
      <c r="B117" s="2" t="n"/>
      <c r="C117" s="3" t="n"/>
      <c r="D117" s="2" t="n"/>
    </row>
    <row r="118">
      <c r="A118" s="9" t="n"/>
      <c r="B118" s="2" t="n"/>
      <c r="C118" s="3" t="n"/>
      <c r="D118" s="2" t="n"/>
    </row>
    <row r="119">
      <c r="A119" s="9" t="n"/>
      <c r="B119" s="2" t="n"/>
      <c r="C119" s="3" t="n"/>
      <c r="D119" s="2" t="n"/>
    </row>
    <row r="120">
      <c r="A120" s="9" t="n"/>
      <c r="B120" s="2" t="n"/>
      <c r="C120" s="3" t="n"/>
      <c r="D120" s="2" t="n"/>
    </row>
    <row r="121">
      <c r="A121" s="9" t="n"/>
      <c r="B121" s="2" t="n"/>
      <c r="C121" s="3" t="n"/>
      <c r="D121" s="2" t="n"/>
    </row>
    <row r="122">
      <c r="A122" s="9" t="n"/>
      <c r="B122" s="2" t="n"/>
      <c r="C122" s="3" t="n"/>
      <c r="D122" s="2" t="n"/>
    </row>
    <row r="123">
      <c r="A123" s="9" t="n"/>
      <c r="B123" s="2" t="n"/>
      <c r="C123" s="3" t="n"/>
      <c r="D123" s="2" t="n"/>
    </row>
    <row r="124">
      <c r="A124" s="9" t="n"/>
      <c r="B124" s="2" t="n"/>
      <c r="C124" s="3" t="n"/>
      <c r="D124" s="2" t="n"/>
    </row>
    <row r="125">
      <c r="A125" s="9" t="n"/>
      <c r="B125" s="2" t="n"/>
      <c r="C125" s="3" t="n"/>
      <c r="D125" s="2" t="n"/>
    </row>
    <row r="126">
      <c r="A126" s="9" t="n"/>
      <c r="B126" s="2" t="n"/>
      <c r="C126" s="3" t="n"/>
      <c r="D126" s="2" t="n"/>
    </row>
    <row r="127">
      <c r="A127" s="9" t="n"/>
      <c r="B127" s="2" t="n"/>
      <c r="C127" s="3" t="n"/>
      <c r="D127" s="2" t="n"/>
    </row>
    <row r="128">
      <c r="A128" s="9" t="n"/>
      <c r="B128" s="2" t="n"/>
      <c r="C128" s="3" t="n"/>
      <c r="D128" s="2" t="n"/>
    </row>
    <row r="129">
      <c r="A129" s="9" t="n"/>
      <c r="B129" s="2" t="n"/>
      <c r="C129" s="3" t="n"/>
      <c r="D129" s="2" t="n"/>
    </row>
    <row r="130">
      <c r="A130" s="9" t="n"/>
      <c r="B130" s="2" t="n"/>
      <c r="C130" s="3" t="n"/>
      <c r="D130" s="2" t="n"/>
    </row>
    <row r="131">
      <c r="A131" s="9" t="n"/>
      <c r="B131" s="2" t="n"/>
      <c r="C131" s="3" t="n"/>
      <c r="D131" s="2" t="n"/>
    </row>
    <row r="132">
      <c r="A132" s="9" t="n"/>
      <c r="B132" s="2" t="n"/>
      <c r="C132" s="3" t="n"/>
      <c r="D132" s="2" t="n"/>
    </row>
    <row r="133">
      <c r="A133" s="9" t="n"/>
      <c r="B133" s="2" t="n"/>
      <c r="C133" s="3" t="n"/>
      <c r="D133" s="2" t="n"/>
    </row>
    <row r="134">
      <c r="A134" s="9" t="n"/>
      <c r="B134" s="2" t="n"/>
      <c r="C134" s="3" t="n"/>
      <c r="D134" s="2" t="n"/>
    </row>
    <row r="135">
      <c r="A135" s="9" t="n"/>
      <c r="B135" s="2" t="n"/>
      <c r="C135" s="3" t="n"/>
      <c r="D135" s="2" t="n"/>
    </row>
    <row r="136">
      <c r="A136" s="9" t="n"/>
      <c r="B136" s="2" t="n"/>
      <c r="C136" s="3" t="n"/>
      <c r="D136" s="2" t="n"/>
    </row>
    <row r="137">
      <c r="A137" s="9" t="n"/>
      <c r="B137" s="2" t="n"/>
      <c r="C137" s="3" t="n"/>
      <c r="D137" s="2" t="n"/>
    </row>
    <row r="138">
      <c r="A138" s="9" t="n"/>
      <c r="B138" s="2" t="n"/>
      <c r="C138" s="3" t="n"/>
      <c r="D138" s="2" t="n"/>
    </row>
    <row r="139">
      <c r="A139" s="9" t="n"/>
      <c r="B139" s="2" t="n"/>
      <c r="C139" s="3" t="n"/>
      <c r="D139" s="2" t="n"/>
    </row>
    <row r="140">
      <c r="A140" s="9" t="n"/>
      <c r="B140" s="2" t="n"/>
      <c r="C140" s="3" t="n"/>
      <c r="D140" s="2" t="n"/>
    </row>
    <row r="141">
      <c r="A141" s="9" t="n"/>
      <c r="B141" s="2" t="n"/>
      <c r="C141" s="3" t="n"/>
      <c r="D141" s="2" t="n"/>
    </row>
    <row r="142">
      <c r="A142" s="9" t="n"/>
      <c r="B142" s="2" t="n"/>
      <c r="C142" s="3" t="n"/>
      <c r="D142" s="2" t="n"/>
    </row>
    <row r="143">
      <c r="A143" s="9" t="n"/>
      <c r="B143" s="2" t="n"/>
      <c r="C143" s="3" t="n"/>
      <c r="D143" s="2" t="n"/>
    </row>
    <row r="144">
      <c r="A144" s="9" t="n"/>
      <c r="B144" s="2" t="n"/>
      <c r="C144" s="3" t="n"/>
      <c r="D144" s="2" t="n"/>
    </row>
    <row r="145">
      <c r="A145" s="9" t="n"/>
      <c r="B145" s="2" t="n"/>
      <c r="C145" s="3" t="n"/>
      <c r="D145" s="2" t="n"/>
    </row>
    <row r="146">
      <c r="A146" s="9" t="n"/>
      <c r="B146" s="2" t="n"/>
      <c r="C146" s="3" t="n"/>
      <c r="D146" s="2" t="n"/>
    </row>
    <row r="147">
      <c r="A147" s="9" t="n"/>
      <c r="B147" s="2" t="n"/>
      <c r="C147" s="3" t="n"/>
      <c r="D147" s="2" t="n"/>
    </row>
    <row r="148">
      <c r="A148" s="9" t="n"/>
      <c r="B148" s="2" t="n"/>
      <c r="C148" s="3" t="n"/>
      <c r="D148" s="2" t="n"/>
    </row>
    <row r="149">
      <c r="A149" s="9" t="n"/>
      <c r="B149" s="2" t="n"/>
      <c r="C149" s="3" t="n"/>
      <c r="D149" s="2" t="n"/>
    </row>
    <row r="150">
      <c r="A150" s="9" t="n"/>
      <c r="B150" s="2" t="n"/>
      <c r="C150" s="3" t="n"/>
      <c r="D150" s="2" t="n"/>
    </row>
    <row r="151">
      <c r="A151" s="9" t="n"/>
      <c r="B151" s="2" t="n"/>
      <c r="C151" s="3" t="n"/>
      <c r="D151" s="2" t="n"/>
    </row>
    <row r="152">
      <c r="A152" s="9" t="n"/>
      <c r="B152" s="2" t="n"/>
      <c r="C152" s="3" t="n"/>
      <c r="D152" s="2" t="n"/>
    </row>
    <row r="153">
      <c r="A153" s="9" t="n"/>
      <c r="B153" s="2" t="n"/>
      <c r="C153" s="3" t="n"/>
      <c r="D153" s="2" t="n"/>
    </row>
    <row r="154">
      <c r="A154" s="9" t="n"/>
      <c r="B154" s="2" t="n"/>
      <c r="C154" s="3" t="n"/>
      <c r="D154" s="2" t="n"/>
    </row>
    <row r="155">
      <c r="A155" s="9" t="n"/>
      <c r="B155" s="2" t="n"/>
      <c r="C155" s="3" t="n"/>
      <c r="D155" s="2" t="n"/>
    </row>
    <row r="156">
      <c r="A156" s="9" t="n"/>
      <c r="B156" s="2" t="n"/>
      <c r="C156" s="3" t="n"/>
      <c r="D156" s="2" t="n"/>
    </row>
    <row r="157">
      <c r="A157" s="9" t="n"/>
      <c r="B157" s="2" t="n"/>
      <c r="C157" s="3" t="n"/>
      <c r="D157" s="2" t="n"/>
    </row>
    <row r="158">
      <c r="A158" s="9" t="n"/>
      <c r="B158" s="2" t="n"/>
      <c r="C158" s="3" t="n"/>
      <c r="D158" s="2" t="n"/>
    </row>
    <row r="159">
      <c r="A159" s="9" t="n"/>
      <c r="B159" s="2" t="n"/>
      <c r="C159" s="3" t="n"/>
      <c r="D159" s="2" t="n"/>
    </row>
    <row r="160">
      <c r="A160" s="9" t="n"/>
      <c r="B160" s="2" t="n"/>
      <c r="C160" s="3" t="n"/>
      <c r="D160" s="2" t="n"/>
    </row>
    <row r="161">
      <c r="A161" s="9" t="n"/>
      <c r="B161" s="2" t="n"/>
      <c r="C161" s="3" t="n"/>
      <c r="D161" s="2" t="n"/>
    </row>
    <row r="162">
      <c r="A162" s="9" t="n"/>
      <c r="B162" s="2" t="n"/>
      <c r="C162" s="3" t="n"/>
      <c r="D162" s="2" t="n"/>
    </row>
    <row r="163">
      <c r="A163" s="9" t="n"/>
      <c r="B163" s="2" t="n"/>
      <c r="C163" s="3" t="n"/>
      <c r="D163" s="2" t="n"/>
    </row>
    <row r="164">
      <c r="A164" s="9" t="n"/>
      <c r="B164" s="2" t="n"/>
      <c r="C164" s="3" t="n"/>
      <c r="D164" s="2" t="n"/>
    </row>
    <row r="165">
      <c r="A165" s="9" t="n"/>
      <c r="B165" s="2" t="n"/>
      <c r="C165" s="3" t="n"/>
      <c r="D165" s="2" t="n"/>
    </row>
    <row r="166">
      <c r="A166" s="9" t="n"/>
      <c r="B166" s="2" t="n"/>
      <c r="C166" s="3" t="n"/>
      <c r="D166" s="2" t="n"/>
    </row>
    <row r="167">
      <c r="A167" s="9" t="n"/>
      <c r="B167" s="2" t="n"/>
      <c r="C167" s="3" t="n"/>
      <c r="D167" s="2" t="n"/>
    </row>
    <row r="168">
      <c r="A168" s="9" t="n"/>
      <c r="B168" s="2" t="n"/>
      <c r="C168" s="3" t="n"/>
      <c r="D168" s="2" t="n"/>
    </row>
    <row r="169">
      <c r="A169" s="9" t="n"/>
      <c r="B169" s="2" t="n"/>
      <c r="C169" s="3" t="n"/>
      <c r="D169" s="2" t="n"/>
    </row>
    <row r="170">
      <c r="A170" s="9" t="n"/>
      <c r="B170" s="2" t="n"/>
      <c r="C170" s="3" t="n"/>
      <c r="D170" s="2" t="n"/>
    </row>
    <row r="171">
      <c r="A171" s="9" t="n"/>
      <c r="B171" s="2" t="n"/>
      <c r="C171" s="3" t="n"/>
      <c r="D171" s="2" t="n"/>
    </row>
    <row r="172">
      <c r="A172" s="9" t="n"/>
      <c r="B172" s="2" t="n"/>
      <c r="C172" s="3" t="n"/>
      <c r="D172" s="2" t="n"/>
    </row>
    <row r="173">
      <c r="A173" s="9" t="n"/>
      <c r="B173" s="2" t="n"/>
      <c r="C173" s="3" t="n"/>
      <c r="D173" s="2" t="n"/>
    </row>
    <row r="174">
      <c r="A174" s="9" t="n"/>
      <c r="B174" s="2" t="n"/>
      <c r="C174" s="3" t="n"/>
      <c r="D174" s="2" t="n"/>
    </row>
    <row r="175">
      <c r="A175" s="9" t="n"/>
      <c r="B175" s="2" t="n"/>
      <c r="C175" s="3" t="n"/>
      <c r="D175" s="2" t="n"/>
    </row>
    <row r="176">
      <c r="A176" s="9" t="n"/>
      <c r="B176" s="2" t="n"/>
      <c r="C176" s="3" t="n"/>
      <c r="D176" s="2" t="n"/>
    </row>
    <row r="177">
      <c r="A177" s="9" t="n"/>
      <c r="B177" s="2" t="n"/>
      <c r="C177" s="3" t="n"/>
      <c r="D177" s="2" t="n"/>
    </row>
    <row r="178">
      <c r="A178" s="9" t="n"/>
      <c r="B178" s="2" t="n"/>
      <c r="C178" s="3" t="n"/>
      <c r="D178" s="2" t="n"/>
    </row>
    <row r="179">
      <c r="A179" s="9" t="n"/>
      <c r="B179" s="2" t="n"/>
      <c r="C179" s="3" t="n"/>
      <c r="D179" s="2" t="n"/>
    </row>
    <row r="180">
      <c r="A180" s="9" t="n"/>
      <c r="B180" s="2" t="n"/>
      <c r="C180" s="3" t="n"/>
      <c r="D180" s="2" t="n"/>
    </row>
    <row r="181">
      <c r="A181" s="9" t="n"/>
      <c r="B181" s="2" t="n"/>
      <c r="C181" s="3" t="n"/>
      <c r="D181" s="2" t="n"/>
    </row>
    <row r="182">
      <c r="A182" s="9" t="n"/>
      <c r="B182" s="2" t="n"/>
      <c r="C182" s="3" t="n"/>
      <c r="D182" s="2" t="n"/>
    </row>
    <row r="183">
      <c r="A183" s="9" t="n"/>
      <c r="B183" s="2" t="n"/>
      <c r="C183" s="3" t="n"/>
      <c r="D183" s="2" t="n"/>
    </row>
    <row r="184">
      <c r="A184" s="9" t="n"/>
      <c r="B184" s="2" t="n"/>
      <c r="C184" s="3" t="n"/>
      <c r="D184" s="2" t="n"/>
    </row>
    <row r="185">
      <c r="A185" s="9" t="n"/>
      <c r="B185" s="2" t="n"/>
      <c r="C185" s="3" t="n"/>
      <c r="D185" s="2" t="n"/>
    </row>
    <row r="186">
      <c r="A186" s="9" t="n"/>
      <c r="B186" s="2" t="n"/>
      <c r="C186" s="3" t="n"/>
      <c r="D186" s="2" t="n"/>
    </row>
    <row r="187">
      <c r="A187" s="9" t="n"/>
      <c r="B187" s="2" t="n"/>
      <c r="C187" s="3" t="n"/>
      <c r="D187" s="2" t="n"/>
    </row>
    <row r="188">
      <c r="A188" s="9" t="n"/>
      <c r="B188" s="2" t="n"/>
      <c r="C188" s="3" t="n"/>
      <c r="D188" s="2" t="n"/>
    </row>
    <row r="189">
      <c r="A189" s="9" t="n"/>
      <c r="B189" s="2" t="n"/>
      <c r="C189" s="3" t="n"/>
      <c r="D189" s="2" t="n"/>
    </row>
    <row r="190">
      <c r="A190" s="9" t="n"/>
      <c r="B190" s="2" t="n"/>
      <c r="C190" s="3" t="n"/>
      <c r="D190" s="2" t="n"/>
    </row>
    <row r="191">
      <c r="A191" s="9" t="n"/>
      <c r="B191" s="2" t="n"/>
      <c r="C191" s="3" t="n"/>
      <c r="D191" s="2" t="n"/>
    </row>
    <row r="192">
      <c r="A192" s="9" t="n"/>
      <c r="B192" s="2" t="n"/>
      <c r="C192" s="3" t="n"/>
      <c r="D192" s="2" t="n"/>
    </row>
    <row r="193">
      <c r="A193" s="9" t="n"/>
      <c r="B193" s="2" t="n"/>
      <c r="C193" s="3" t="n"/>
      <c r="D193" s="2" t="n"/>
    </row>
    <row r="194">
      <c r="A194" s="9" t="n"/>
      <c r="B194" s="2" t="n"/>
      <c r="C194" s="3" t="n"/>
      <c r="D194" s="2" t="n"/>
    </row>
    <row r="195">
      <c r="A195" s="9" t="n"/>
      <c r="B195" s="2" t="n"/>
      <c r="C195" s="3" t="n"/>
      <c r="D195" s="2" t="n"/>
    </row>
    <row r="196">
      <c r="A196" s="9" t="n"/>
      <c r="B196" s="2" t="n"/>
      <c r="C196" s="3" t="n"/>
      <c r="D196" s="2" t="n"/>
    </row>
    <row r="197">
      <c r="A197" s="9" t="n"/>
      <c r="B197" s="2" t="n"/>
      <c r="C197" s="3" t="n"/>
      <c r="D197" s="2" t="n"/>
    </row>
    <row r="198">
      <c r="A198" s="9" t="n"/>
      <c r="B198" s="2" t="n"/>
      <c r="C198" s="3" t="n"/>
      <c r="D198" s="2" t="n"/>
    </row>
    <row r="199">
      <c r="A199" s="9" t="n"/>
      <c r="B199" s="2" t="n"/>
      <c r="C199" s="3" t="n"/>
      <c r="D199" s="2" t="n"/>
    </row>
    <row r="200">
      <c r="A200" s="9" t="n"/>
      <c r="B200" s="2" t="n"/>
      <c r="C200" s="3" t="n"/>
      <c r="D200" s="2" t="n"/>
    </row>
  </sheetData>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0" t="inlineStr">
        <is>
          <t>Tidy Tabs: Prepaid Retainer Hours Remaining for Each Client</t>
        </is>
      </c>
    </row>
    <row r="2">
      <c r="A2" s="11" t="inlineStr"/>
    </row>
    <row r="3">
      <c r="A3" s="11" t="inlineStr">
        <is>
          <t>1. Log tab: one row per entry. Type the date (A), the client name (B), the hours (C) and a task note (D). Yellow. Rows 2 to 200 are read. Quarter hours such as 0.25 work.</t>
        </is>
      </c>
    </row>
    <row r="4">
      <c r="A4" s="11" t="inlineStr">
        <is>
          <t>2. Clients tab: type each client name in A2:A13 exactly as it appears in the Log and the hours they bought in B. Yellow. Up to 12 clients. The sample is five fictional clients of a freelance writer.</t>
        </is>
      </c>
    </row>
    <row r="5">
      <c r="A5" s="11" t="inlineStr">
        <is>
          <t>3. Hours used, C2: =SUMIFS(Log!$C$2:$C$200,Log!$B$2:$B$200,A2). It adds the Log hours whose client matches A2. Capitalization does not matter. A client with no Log rows shows 0.00.</t>
        </is>
      </c>
    </row>
    <row r="6">
      <c r="A6" s="11" t="inlineStr">
        <is>
          <t>4. Hours left, D2: =B2-C2. A negative number means the client has used more hours than they bought. The one cell version is =B2-SUMIFS(Log!$C$2:$C$200,Log!$B$2:$B$200,A2).</t>
        </is>
      </c>
    </row>
    <row r="7">
      <c r="A7" s="11" t="inlineStr">
        <is>
          <t>5. Percent used, E2: =C2/B2 (blank if the hours bought are 0). Status, F2: Over by N hours when D is below 0, Low when the hours left are 20% of the hours bought or less, OK otherwise. Change 0.2 in the F formulas to use another cutoff.</t>
        </is>
      </c>
    </row>
    <row r="8">
      <c r="A8" s="11" t="inlineStr">
        <is>
          <t>6. A name with a space at the end, such as "Pine Hill Yoga ", is a different name to SUMIFS. Its hours are not added to the client, and I6 shows CHECK because the name is not in the Clients list. Hours typed as text (for example 2h) are skipped by SUMIFS and also give CHECK.</t>
        </is>
      </c>
    </row>
    <row r="9">
      <c r="A9" s="11" t="inlineStr">
        <is>
          <t>7. I6 shows OK when every Log client is listed, every Log hours cell is a number, and the hours used add up to the hours in the Log (I3 equals I4).</t>
        </is>
      </c>
    </row>
    <row r="10">
      <c r="A10" s="11" t="inlineStr">
        <is>
          <t>8. Hours only. No rates, invoices, tax or contract advice.</t>
        </is>
      </c>
    </row>
    <row r="11">
      <c r="A11" s="11" t="inlineStr"/>
    </row>
    <row r="12">
      <c r="A12" s="11" t="inlineStr">
        <is>
          <t>Clients and hours are fictional. Checked in LibreOffice Calc only; not opened in Excel or Google Sheets.</t>
        </is>
      </c>
    </row>
    <row r="13">
      <c r="A13" s="11"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2026-10-23T07:41:03Z</dcterms:created>
  <dcterms:modified xmlns:dcterms="http://purl.org/dc/terms/" xmlns:xsi="http://www.w3.org/2001/XMLSchema-instance" xsi:type="dcterms:W3CDTF">2026-10-23T07:41:03Z</dcterms:modified>
</cp:coreProperties>
</file>