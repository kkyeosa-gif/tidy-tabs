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How to use" sheetId="2" state="visible" r:id="rId2"/>
  </sheets>
  <definedNames>
    <definedName name="_xlnm.Print_Titles" localSheetId="0">'Campaigns'!$1:$1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2" borderId="0" applyAlignment="1" pivotButton="0" quotePrefix="0" xfId="0">
      <alignment horizontal="right"/>
    </xf>
    <xf numFmtId="2" fontId="0" fillId="3" borderId="0" applyAlignment="1" pivotButton="0" quotePrefix="0" xfId="0">
      <alignment horizontal="right"/>
    </xf>
    <xf numFmtId="0" fontId="2" fillId="4" borderId="0" applyAlignment="1" pivotButton="0" quotePrefix="0" xfId="0">
      <alignment vertical="center" wrapText="1"/>
    </xf>
    <xf numFmtId="0" fontId="0" fillId="2" borderId="0" pivotButton="0" quotePrefix="0" xfId="0"/>
    <xf numFmtId="165" fontId="0" fillId="2" borderId="0" pivotButton="0" quotePrefix="0" xfId="0"/>
    <xf numFmtId="1" fontId="0" fillId="2" borderId="0" pivotButton="0" quotePrefix="0" xfId="0"/>
    <xf numFmtId="2" fontId="0" fillId="3" borderId="0" pivotButton="0" quotePrefix="0" xfId="0"/>
    <xf numFmtId="165" fontId="0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165" fontId="1" fillId="3" borderId="0" pivotButton="0" quotePrefix="0" xfId="0"/>
    <xf numFmtId="1" fontId="1" fillId="3" borderId="0" pivotButton="0" quotePrefix="0" xfId="0"/>
    <xf numFmtId="2" fontId="1" fillId="3" borderId="0" pivotButton="0" quotePrefix="0" xfId="0"/>
    <xf numFmtId="0" fontId="0" fillId="3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  <bgColor rgb="00F8D7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13" customWidth="1" min="4" max="4"/>
    <col width="10" customWidth="1" min="5" max="5"/>
    <col width="14" customWidth="1" min="6" max="6"/>
    <col width="16" customWidth="1" min="7" max="7"/>
    <col width="20" customWidth="1" min="8" max="8"/>
  </cols>
  <sheetData>
    <row r="1">
      <c r="A1" s="1" t="inlineStr">
        <is>
          <t>Gross margin before ads</t>
        </is>
      </c>
      <c r="B1" s="2" t="n">
        <v>0.4</v>
      </c>
      <c r="C1" t="inlineStr">
        <is>
          <t>Typed: (price - product cost - fees) / price</t>
        </is>
      </c>
    </row>
    <row r="2">
      <c r="A2" s="1" t="inlineStr">
        <is>
          <t>Break even ROAS</t>
        </is>
      </c>
      <c r="B2" s="3">
        <f>IF(AND(ISNUMBER(B1),B1&gt;0,B1&lt;=1),1/B1,"Check margin")</f>
        <v/>
      </c>
      <c r="C2" t="inlineStr">
        <is>
          <t>Formula: 1 / margin</t>
        </is>
      </c>
    </row>
    <row r="4" ht="30" customHeight="1">
      <c r="A4" s="4" t="inlineStr">
        <is>
          <t>Campaign</t>
        </is>
      </c>
      <c r="B4" s="4" t="inlineStr">
        <is>
          <t>Ad spend</t>
        </is>
      </c>
      <c r="C4" s="4" t="inlineStr">
        <is>
          <t>Orders</t>
        </is>
      </c>
      <c r="D4" s="4" t="inlineStr">
        <is>
          <t>Sales</t>
        </is>
      </c>
      <c r="E4" s="4" t="inlineStr">
        <is>
          <t>ROAS</t>
        </is>
      </c>
      <c r="F4" s="4" t="inlineStr">
        <is>
          <t>Cost per order</t>
        </is>
      </c>
      <c r="G4" s="4" t="inlineStr">
        <is>
          <t>Profit after ads</t>
        </is>
      </c>
      <c r="H4" s="4" t="inlineStr">
        <is>
          <t>Status</t>
        </is>
      </c>
    </row>
    <row r="5">
      <c r="A5" s="5" t="inlineStr">
        <is>
          <t>Etsy Ads, candles</t>
        </is>
      </c>
      <c r="B5" s="6" t="n">
        <v>180</v>
      </c>
      <c r="C5" s="7" t="n">
        <v>31</v>
      </c>
      <c r="D5" s="6" t="n">
        <v>1240</v>
      </c>
      <c r="E5" s="8">
        <f>IF(AND(ISNUMBER(B5),ISNUMBER(D5),B5&gt;0),D5/B5,"")</f>
        <v/>
      </c>
      <c r="F5" s="9">
        <f>IF(AND(ISNUMBER(B5),ISNUMBER(C5),C5&gt;0),B5/C5,"")</f>
        <v/>
      </c>
      <c r="G5" s="9">
        <f>IF(AND(ISNUMBER(B5),ISNUMBER(D5),ISNUMBER($B$2)),D5*$B$1-B5,"")</f>
        <v/>
      </c>
      <c r="H5" s="10">
        <f>IF(AND(B5="",C5="",D5=""),"",IF(NOT(ISNUMBER(G5)),"Check",IF(B5=0,"No spend",IF(ROUND(G5,2)&gt;=0,"Above break-even","Below break-even"))))</f>
        <v/>
      </c>
    </row>
    <row r="6">
      <c r="A6" s="5" t="inlineStr">
        <is>
          <t>Facebook holiday gift sets</t>
        </is>
      </c>
      <c r="B6" s="6" t="n">
        <v>420</v>
      </c>
      <c r="C6" s="7" t="n">
        <v>38</v>
      </c>
      <c r="D6" s="6" t="n">
        <v>1260</v>
      </c>
      <c r="E6" s="8">
        <f>IF(AND(ISNUMBER(B6),ISNUMBER(D6),B6&gt;0),D6/B6,"")</f>
        <v/>
      </c>
      <c r="F6" s="9">
        <f>IF(AND(ISNUMBER(B6),ISNUMBER(C6),C6&gt;0),B6/C6,"")</f>
        <v/>
      </c>
      <c r="G6" s="9">
        <f>IF(AND(ISNUMBER(B6),ISNUMBER(D6),ISNUMBER($B$2)),D6*$B$1-B6,"")</f>
        <v/>
      </c>
      <c r="H6" s="10">
        <f>IF(AND(B6="",C6="",D6=""),"",IF(NOT(ISNUMBER(G6)),"Check",IF(B6=0,"No spend",IF(ROUND(G6,2)&gt;=0,"Above break-even","Below break-even"))))</f>
        <v/>
      </c>
    </row>
    <row r="7">
      <c r="A7" s="5" t="inlineStr">
        <is>
          <t>Google Shopping, soap</t>
        </is>
      </c>
      <c r="B7" s="6" t="n">
        <v>250</v>
      </c>
      <c r="C7" s="7" t="n">
        <v>29</v>
      </c>
      <c r="D7" s="6" t="n">
        <v>725</v>
      </c>
      <c r="E7" s="8">
        <f>IF(AND(ISNUMBER(B7),ISNUMBER(D7),B7&gt;0),D7/B7,"")</f>
        <v/>
      </c>
      <c r="F7" s="9">
        <f>IF(AND(ISNUMBER(B7),ISNUMBER(C7),C7&gt;0),B7/C7,"")</f>
        <v/>
      </c>
      <c r="G7" s="9">
        <f>IF(AND(ISNUMBER(B7),ISNUMBER(D7),ISNUMBER($B$2)),D7*$B$1-B7,"")</f>
        <v/>
      </c>
      <c r="H7" s="10">
        <f>IF(AND(B7="",C7="",D7=""),"",IF(NOT(ISNUMBER(G7)),"Check",IF(B7=0,"No spend",IF(ROUND(G7,2)&gt;=0,"Above break-even","Below break-even"))))</f>
        <v/>
      </c>
    </row>
    <row r="8">
      <c r="A8" s="5" t="inlineStr">
        <is>
          <t>Instagram reel boost</t>
        </is>
      </c>
      <c r="B8" s="6" t="n">
        <v>150</v>
      </c>
      <c r="C8" s="7" t="n">
        <v>7</v>
      </c>
      <c r="D8" s="6" t="n">
        <v>245</v>
      </c>
      <c r="E8" s="8">
        <f>IF(AND(ISNUMBER(B8),ISNUMBER(D8),B8&gt;0),D8/B8,"")</f>
        <v/>
      </c>
      <c r="F8" s="9">
        <f>IF(AND(ISNUMBER(B8),ISNUMBER(C8),C8&gt;0),B8/C8,"")</f>
        <v/>
      </c>
      <c r="G8" s="9">
        <f>IF(AND(ISNUMBER(B8),ISNUMBER(D8),ISNUMBER($B$2)),D8*$B$1-B8,"")</f>
        <v/>
      </c>
      <c r="H8" s="10">
        <f>IF(AND(B8="",C8="",D8=""),"",IF(NOT(ISNUMBER(G8)),"Check",IF(B8=0,"No spend",IF(ROUND(G8,2)&gt;=0,"Above break-even","Below break-even"))))</f>
        <v/>
      </c>
    </row>
    <row r="9">
      <c r="A9" s="5" t="inlineStr">
        <is>
          <t>Pinterest pins, wraps</t>
        </is>
      </c>
      <c r="B9" s="6" t="n">
        <v>90</v>
      </c>
      <c r="C9" s="7" t="n">
        <v>12</v>
      </c>
      <c r="D9" s="6" t="n">
        <v>450</v>
      </c>
      <c r="E9" s="8">
        <f>IF(AND(ISNUMBER(B9),ISNUMBER(D9),B9&gt;0),D9/B9,"")</f>
        <v/>
      </c>
      <c r="F9" s="9">
        <f>IF(AND(ISNUMBER(B9),ISNUMBER(C9),C9&gt;0),B9/C9,"")</f>
        <v/>
      </c>
      <c r="G9" s="9">
        <f>IF(AND(ISNUMBER(B9),ISNUMBER(D9),ISNUMBER($B$2)),D9*$B$1-B9,"")</f>
        <v/>
      </c>
      <c r="H9" s="10">
        <f>IF(AND(B9="",C9="",D9=""),"",IF(NOT(ISNUMBER(G9)),"Check",IF(B9=0,"No spend",IF(ROUND(G9,2)&gt;=0,"Above break-even","Below break-even"))))</f>
        <v/>
      </c>
    </row>
    <row r="10">
      <c r="A10" s="5" t="inlineStr">
        <is>
          <t>Etsy Ads, mugs</t>
        </is>
      </c>
      <c r="B10" s="6" t="n">
        <v>120</v>
      </c>
      <c r="C10" s="7" t="n">
        <v>9</v>
      </c>
      <c r="D10" s="6" t="n">
        <v>300</v>
      </c>
      <c r="E10" s="8">
        <f>IF(AND(ISNUMBER(B10),ISNUMBER(D10),B10&gt;0),D10/B10,"")</f>
        <v/>
      </c>
      <c r="F10" s="9">
        <f>IF(AND(ISNUMBER(B10),ISNUMBER(C10),C10&gt;0),B10/C10,"")</f>
        <v/>
      </c>
      <c r="G10" s="9">
        <f>IF(AND(ISNUMBER(B10),ISNUMBER(D10),ISNUMBER($B$2)),D10*$B$1-B10,"")</f>
        <v/>
      </c>
      <c r="H10" s="10">
        <f>IF(AND(B10="",C10="",D10=""),"",IF(NOT(ISNUMBER(G10)),"Check",IF(B10=0,"No spend",IF(ROUND(G10,2)&gt;=0,"Above break-even","Below break-even"))))</f>
        <v/>
      </c>
    </row>
    <row r="11">
      <c r="A11" s="5" t="inlineStr">
        <is>
          <t>Farmers market flyers</t>
        </is>
      </c>
      <c r="B11" s="6" t="n">
        <v>60</v>
      </c>
      <c r="C11" s="7" t="n">
        <v>0</v>
      </c>
      <c r="D11" s="6" t="n">
        <v>0</v>
      </c>
      <c r="E11" s="8">
        <f>IF(AND(ISNUMBER(B11),ISNUMBER(D11),B11&gt;0),D11/B11,"")</f>
        <v/>
      </c>
      <c r="F11" s="9">
        <f>IF(AND(ISNUMBER(B11),ISNUMBER(C11),C11&gt;0),B11/C11,"")</f>
        <v/>
      </c>
      <c r="G11" s="9">
        <f>IF(AND(ISNUMBER(B11),ISNUMBER(D11),ISNUMBER($B$2)),D11*$B$1-B11,"")</f>
        <v/>
      </c>
      <c r="H11" s="10">
        <f>IF(AND(B11="",C11="",D11=""),"",IF(NOT(ISNUMBER(G11)),"Check",IF(B11=0,"No spend",IF(ROUND(G11,2)&gt;=0,"Above break-even","Below break-even"))))</f>
        <v/>
      </c>
    </row>
    <row r="12">
      <c r="A12" s="5" t="inlineStr">
        <is>
          <t>Email sale announcement</t>
        </is>
      </c>
      <c r="B12" s="6" t="n">
        <v>40</v>
      </c>
      <c r="C12" s="7" t="n">
        <v>22</v>
      </c>
      <c r="D12" s="6" t="n">
        <v>960</v>
      </c>
      <c r="E12" s="8">
        <f>IF(AND(ISNUMBER(B12),ISNUMBER(D12),B12&gt;0),D12/B12,"")</f>
        <v/>
      </c>
      <c r="F12" s="9">
        <f>IF(AND(ISNUMBER(B12),ISNUMBER(C12),C12&gt;0),B12/C12,"")</f>
        <v/>
      </c>
      <c r="G12" s="9">
        <f>IF(AND(ISNUMBER(B12),ISNUMBER(D12),ISNUMBER($B$2)),D12*$B$1-B12,"")</f>
        <v/>
      </c>
      <c r="H12" s="10">
        <f>IF(AND(B12="",C12="",D12=""),"",IF(NOT(ISNUMBER(G12)),"Check",IF(B12=0,"No spend",IF(ROUND(G12,2)&gt;=0,"Above break-even","Below break-even"))))</f>
        <v/>
      </c>
    </row>
    <row r="13">
      <c r="A13" s="5" t="n"/>
      <c r="B13" s="6" t="n"/>
      <c r="C13" s="7" t="n"/>
      <c r="D13" s="6" t="n"/>
      <c r="E13" s="8">
        <f>IF(AND(ISNUMBER(B13),ISNUMBER(D13),B13&gt;0),D13/B13,"")</f>
        <v/>
      </c>
      <c r="F13" s="9">
        <f>IF(AND(ISNUMBER(B13),ISNUMBER(C13),C13&gt;0),B13/C13,"")</f>
        <v/>
      </c>
      <c r="G13" s="9">
        <f>IF(AND(ISNUMBER(B13),ISNUMBER(D13),ISNUMBER($B$2)),D13*$B$1-B13,"")</f>
        <v/>
      </c>
      <c r="H13" s="10">
        <f>IF(AND(B13="",C13="",D13=""),"",IF(NOT(ISNUMBER(G13)),"Check",IF(B13=0,"No spend",IF(ROUND(G13,2)&gt;=0,"Above break-even","Below break-even"))))</f>
        <v/>
      </c>
    </row>
    <row r="14">
      <c r="A14" s="5" t="n"/>
      <c r="B14" s="6" t="n"/>
      <c r="C14" s="7" t="n"/>
      <c r="D14" s="6" t="n"/>
      <c r="E14" s="8">
        <f>IF(AND(ISNUMBER(B14),ISNUMBER(D14),B14&gt;0),D14/B14,"")</f>
        <v/>
      </c>
      <c r="F14" s="9">
        <f>IF(AND(ISNUMBER(B14),ISNUMBER(C14),C14&gt;0),B14/C14,"")</f>
        <v/>
      </c>
      <c r="G14" s="9">
        <f>IF(AND(ISNUMBER(B14),ISNUMBER(D14),ISNUMBER($B$2)),D14*$B$1-B14,"")</f>
        <v/>
      </c>
      <c r="H14" s="10">
        <f>IF(AND(B14="",C14="",D14=""),"",IF(NOT(ISNUMBER(G14)),"Check",IF(B14=0,"No spend",IF(ROUND(G14,2)&gt;=0,"Above break-even","Below break-even"))))</f>
        <v/>
      </c>
    </row>
    <row r="15">
      <c r="A15" s="5" t="n"/>
      <c r="B15" s="6" t="n"/>
      <c r="C15" s="7" t="n"/>
      <c r="D15" s="6" t="n"/>
      <c r="E15" s="8">
        <f>IF(AND(ISNUMBER(B15),ISNUMBER(D15),B15&gt;0),D15/B15,"")</f>
        <v/>
      </c>
      <c r="F15" s="9">
        <f>IF(AND(ISNUMBER(B15),ISNUMBER(C15),C15&gt;0),B15/C15,"")</f>
        <v/>
      </c>
      <c r="G15" s="9">
        <f>IF(AND(ISNUMBER(B15),ISNUMBER(D15),ISNUMBER($B$2)),D15*$B$1-B15,"")</f>
        <v/>
      </c>
      <c r="H15" s="10">
        <f>IF(AND(B15="",C15="",D15=""),"",IF(NOT(ISNUMBER(G15)),"Check",IF(B15=0,"No spend",IF(ROUND(G15,2)&gt;=0,"Above break-even","Below break-even"))))</f>
        <v/>
      </c>
    </row>
    <row r="16">
      <c r="A16" s="5" t="n"/>
      <c r="B16" s="6" t="n"/>
      <c r="C16" s="7" t="n"/>
      <c r="D16" s="6" t="n"/>
      <c r="E16" s="8">
        <f>IF(AND(ISNUMBER(B16),ISNUMBER(D16),B16&gt;0),D16/B16,"")</f>
        <v/>
      </c>
      <c r="F16" s="9">
        <f>IF(AND(ISNUMBER(B16),ISNUMBER(C16),C16&gt;0),B16/C16,"")</f>
        <v/>
      </c>
      <c r="G16" s="9">
        <f>IF(AND(ISNUMBER(B16),ISNUMBER(D16),ISNUMBER($B$2)),D16*$B$1-B16,"")</f>
        <v/>
      </c>
      <c r="H16" s="10">
        <f>IF(AND(B16="",C16="",D16=""),"",IF(NOT(ISNUMBER(G16)),"Check",IF(B16=0,"No spend",IF(ROUND(G16,2)&gt;=0,"Above break-even","Below break-even"))))</f>
        <v/>
      </c>
    </row>
    <row r="17">
      <c r="A17" s="11" t="inlineStr">
        <is>
          <t>Total</t>
        </is>
      </c>
      <c r="B17" s="12">
        <f>SUM(B5:B16)</f>
        <v/>
      </c>
      <c r="C17" s="13">
        <f>SUM(C5:C16)</f>
        <v/>
      </c>
      <c r="D17" s="12">
        <f>SUM(D5:D16)</f>
        <v/>
      </c>
      <c r="E17" s="14">
        <f>IF(SUM(B5:B16)&gt;0,SUM(D5:D16)/SUM(B5:B16),"")</f>
        <v/>
      </c>
      <c r="F17" s="12">
        <f>IF(SUM(C5:C16)&gt;0,SUM(B5:B16)/SUM(C5:C16),"")</f>
        <v/>
      </c>
      <c r="G17" s="12">
        <f>SUM(G5:G16)</f>
        <v/>
      </c>
      <c r="H17" s="11" t="n"/>
    </row>
    <row r="19">
      <c r="A19" s="1" t="inlineStr">
        <is>
          <t>Check: total profit = Sales x margin - Spend</t>
        </is>
      </c>
      <c r="B19" s="15">
        <f>IF(NOT(ISNUMBER($B$2)),"Check margin",IF(COUNTIF(H5:H16,"Check")&gt;0,"CHECK",IF(ABS(G17-(D17*$B$1-B17))&lt;0.005,"OK","CHECK")))</f>
        <v/>
      </c>
    </row>
  </sheetData>
  <conditionalFormatting sqref="A5:H16">
    <cfRule type="expression" priority="1" dxfId="0">
      <formula>$H5="Below break-even"</formula>
    </cfRule>
  </conditionalFormatting>
  <conditionalFormatting sqref="H5:H16">
    <cfRule type="expression" priority="2" dxfId="1">
      <formula>$H5="Check"</formula>
    </cfRule>
  </conditionalFormatting>
  <conditionalFormatting sqref="B19">
    <cfRule type="expression" priority="3" dxfId="1">
      <formula>B19&lt;&gt;"OK"</formula>
    </cfRule>
  </conditionalFormatting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6" t="inlineStr">
        <is>
          <t>Tidy Tabs: Return on Ad Spend (ROAS) and Break Even ROAS</t>
        </is>
      </c>
    </row>
    <row r="2">
      <c r="A2" s="17" t="inlineStr"/>
    </row>
    <row r="3">
      <c r="A3" s="17" t="inlineStr">
        <is>
          <t>1. Campaigns tab, B1: your gross margin before ads as a percent, typed. Work it out from price, product cost and selling fees: (price - cost - fees) / price. The 40% here is a made-up example.</t>
        </is>
      </c>
    </row>
    <row r="4">
      <c r="A4" s="17" t="inlineStr">
        <is>
          <t>2. B2 is the break even ROAS, =1/B1. At a 40% margin every $1.00 of ads must bring back $2.50 in sales just to cover the product cost, fees and the ad spend. A margin of 0 or below, above 100%, or text shows Check margin.</t>
        </is>
      </c>
    </row>
    <row r="5">
      <c r="A5" s="17" t="inlineStr">
        <is>
          <t>3. Rows 5 to 16: one campaign per row. Type the ad spend (B), the orders (C) and the sales (D) from the ad report. They are yellow.</t>
        </is>
      </c>
    </row>
    <row r="6">
      <c r="A6" s="17" t="inlineStr">
        <is>
          <t>4. ROAS E5 =D5/B5. Cost per order F5 =B5/C5. Profit after ads G5 =D5*$B$1-B5. A row with no spend leaves ROAS blank instead of showing #DIV/0!, and its status is No spend.</t>
        </is>
      </c>
    </row>
    <row r="7">
      <c r="A7" s="17" t="inlineStr">
        <is>
          <t>5. Status H5: Above break-even when profit after ads rounds to $0.00 or more, Below break-even when it is less. Check means the spend or sales is blank or text, or the margin is not valid. Orders (C) are used only for cost per order.</t>
        </is>
      </c>
    </row>
    <row r="8">
      <c r="A8" s="17" t="inlineStr">
        <is>
          <t>6. Total row 17: overall ROAS is total sales divided by total spend. B19 shows OK when total profit equals total sales x margin minus total spend, and CHECK when any row needs checking.</t>
        </is>
      </c>
    </row>
    <row r="9">
      <c r="A9" s="17" t="inlineStr">
        <is>
          <t>7. This is arithmetic only. It does not say what a good ROAS is, and it ignores returns, shipping, taxes and the time between a click and a sale. Ad platforms count orders and sales in their own ways; follow the platform's report.</t>
        </is>
      </c>
    </row>
    <row r="10">
      <c r="A10" s="17" t="inlineStr"/>
    </row>
    <row r="11">
      <c r="A11" s="17" t="inlineStr">
        <is>
          <t>Campaigns, spend and sales are fictional. Checked in LibreOffice Calc only; not opened in Excel or Google Sheets.</t>
        </is>
      </c>
    </row>
    <row r="12">
      <c r="A12" s="17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2026-10-19T07:45:47Z</dcterms:created>
  <dcterms:modified xmlns:dcterms="http://purl.org/dc/terms/" xmlns:xsi="http://www.w3.org/2001/XMLSchema-instance" xsi:type="dcterms:W3CDTF">2026-10-19T07:45:47Z</dcterms:modified>
</cp:coreProperties>
</file>