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By hour" sheetId="2" state="visible" r:id="rId2"/>
    <sheet xmlns:r="http://schemas.openxmlformats.org/officeDocument/2006/relationships" name="How to use" sheetId="3" state="visible" r:id="rId3"/>
  </sheets>
  <definedNames>
    <definedName name="_xlnm.Print_Titles" localSheetId="0">'Orders'!$1:$1</definedName>
    <definedName name="_xlnm.Print_Area" localSheetId="0">'Orders'!$A$1:$D$51</definedName>
    <definedName name="_xlnm.Print_Titles" localSheetId="1">'By hour'!$1:$1</definedName>
    <definedName name="_xlnm.Print_Area" localSheetId="1">'By hour'!$A$1:$H$15</definedName>
  </definedNames>
  <calcPr calcId="124519" fullCalcOnLoad="1"/>
</workbook>
</file>

<file path=xl/styles.xml><?xml version="1.0" encoding="utf-8"?>
<styleSheet xmlns="http://schemas.openxmlformats.org/spreadsheetml/2006/main">
  <numFmts count="4">
    <numFmt numFmtId="164" formatCode="yyyy-mm-dd h:mm:ss"/>
    <numFmt numFmtId="165" formatCode="mm/dd/yyyy h:mm:ss AM/PM"/>
    <numFmt numFmtId="166" formatCode="&quot;$&quot;#,##0.00"/>
    <numFmt numFmtId="167" formatCode="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165" fontId="0" fillId="3" borderId="0" pivotButton="0" quotePrefix="0" xfId="0"/>
    <xf numFmtId="166" fontId="0" fillId="3" borderId="0" pivotButton="0" quotePrefix="0" xfId="0"/>
    <xf numFmtId="0" fontId="0" fillId="3" borderId="0" pivotButton="0" quotePrefix="0" xfId="0"/>
    <xf numFmtId="1" fontId="0" fillId="4" borderId="0" pivotButton="0" quotePrefix="0" xfId="0"/>
    <xf numFmtId="0" fontId="2" fillId="0" borderId="0" pivotButton="0" quotePrefix="0" xfId="0"/>
    <xf numFmtId="0" fontId="0" fillId="4" borderId="0" applyAlignment="1" pivotButton="0" quotePrefix="0" xfId="0">
      <alignment horizontal="right"/>
    </xf>
    <xf numFmtId="0" fontId="0" fillId="4" borderId="0" pivotButton="0" quotePrefix="0" xfId="0"/>
    <xf numFmtId="166" fontId="0" fillId="4" borderId="0" pivotButton="0" quotePrefix="0" xfId="0"/>
    <xf numFmtId="167" fontId="0" fillId="4" borderId="0" pivotButton="0" quotePrefix="0" xfId="0"/>
    <xf numFmtId="166" fontId="0" fillId="4" borderId="0" applyAlignment="1" pivotButton="0" quotePrefix="0" xfId="0">
      <alignment horizontal="right"/>
    </xf>
    <xf numFmtId="1" fontId="0" fillId="4" borderId="0" applyAlignment="1" pivotButton="0" quotePrefix="0" xfId="0">
      <alignment horizontal="right"/>
    </xf>
    <xf numFmtId="0" fontId="2" fillId="4" borderId="0" pivotButton="0" quotePrefix="0" xfId="0"/>
    <xf numFmtId="1" fontId="2" fillId="4" borderId="0" pivotButton="0" quotePrefix="0" xfId="0"/>
    <xf numFmtId="166" fontId="2" fillId="4" borderId="0" pivotButton="0" quotePrefix="0" xfId="0"/>
    <xf numFmtId="167" fontId="2" fillId="4"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00"/>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4" customWidth="1" min="3" max="3"/>
    <col width="9" customWidth="1" min="4" max="4"/>
  </cols>
  <sheetData>
    <row r="1" ht="30" customHeight="1">
      <c r="A1" s="1" t="inlineStr">
        <is>
          <t>Order date and time</t>
        </is>
      </c>
      <c r="B1" s="1" t="inlineStr">
        <is>
          <t>Amount</t>
        </is>
      </c>
      <c r="C1" s="1" t="inlineStr">
        <is>
          <t>Item</t>
        </is>
      </c>
      <c r="D1" s="1" t="inlineStr">
        <is>
          <t>Hour</t>
        </is>
      </c>
    </row>
    <row r="2">
      <c r="A2" s="2" t="n">
        <v>46298.34375</v>
      </c>
      <c r="B2" s="3" t="n">
        <v>24</v>
      </c>
      <c r="C2" s="4" t="inlineStr">
        <is>
          <t>Soy candle</t>
        </is>
      </c>
      <c r="D2" s="5">
        <f>IF(A2="","",IF(ISNUMBER(A2),HOUR(A2),"Check time"))</f>
        <v/>
      </c>
    </row>
    <row r="3">
      <c r="A3" s="2" t="n">
        <v>46298.36111111111</v>
      </c>
      <c r="B3" s="3" t="n">
        <v>8</v>
      </c>
      <c r="C3" s="4" t="inlineStr">
        <is>
          <t>Soap bar</t>
        </is>
      </c>
      <c r="D3" s="5">
        <f>IF(A3="","",IF(ISNUMBER(A3),HOUR(A3),"Check time"))</f>
        <v/>
      </c>
    </row>
    <row r="4">
      <c r="A4" s="2" t="n">
        <v>46298.37847222222</v>
      </c>
      <c r="B4" s="3" t="n">
        <v>36.5</v>
      </c>
      <c r="C4" s="4" t="inlineStr">
        <is>
          <t>Candle set</t>
        </is>
      </c>
      <c r="D4" s="5">
        <f>IF(A4="","",IF(ISNUMBER(A4),HOUR(A4),"Check time"))</f>
        <v/>
      </c>
    </row>
    <row r="5">
      <c r="A5" s="2" t="n">
        <v>46298.41665509259</v>
      </c>
      <c r="B5" s="3" t="n">
        <v>18</v>
      </c>
      <c r="C5" s="4" t="inlineStr">
        <is>
          <t>Soy candle</t>
        </is>
      </c>
      <c r="D5" s="5">
        <f>IF(A5="","",IF(ISNUMBER(A5),HOUR(A5),"Check time"))</f>
        <v/>
      </c>
    </row>
    <row r="6">
      <c r="A6" s="2" t="n">
        <v>46298.41666666666</v>
      </c>
      <c r="B6" s="3" t="n">
        <v>22</v>
      </c>
      <c r="C6" s="4" t="inlineStr">
        <is>
          <t>Brass earrings</t>
        </is>
      </c>
      <c r="D6" s="5">
        <f>IF(A6="","",IF(ISNUMBER(A6),HOUR(A6),"Check time"))</f>
        <v/>
      </c>
    </row>
    <row r="7">
      <c r="A7" s="2" t="n">
        <v>46298.41667824074</v>
      </c>
      <c r="B7" s="3" t="n">
        <v>12</v>
      </c>
      <c r="C7" s="4" t="inlineStr">
        <is>
          <t>Greeting cards</t>
        </is>
      </c>
      <c r="D7" s="5">
        <f>IF(A7="","",IF(ISNUMBER(A7),HOUR(A7),"Check time"))</f>
        <v/>
      </c>
    </row>
    <row r="8">
      <c r="A8" s="2" t="n">
        <v>46298.43055555555</v>
      </c>
      <c r="B8" s="3" t="n">
        <v>48</v>
      </c>
      <c r="C8" s="4" t="inlineStr">
        <is>
          <t>Gift box</t>
        </is>
      </c>
      <c r="D8" s="5">
        <f>IF(A8="","",IF(ISNUMBER(A8),HOUR(A8),"Check time"))</f>
        <v/>
      </c>
    </row>
    <row r="9">
      <c r="A9" s="2" t="n">
        <v>46298.44097222222</v>
      </c>
      <c r="B9" s="3" t="n">
        <v>16.5</v>
      </c>
      <c r="C9" s="4" t="inlineStr">
        <is>
          <t>Soap bar</t>
        </is>
      </c>
      <c r="D9" s="5">
        <f>IF(A9="","",IF(ISNUMBER(A9),HOUR(A9),"Check time"))</f>
        <v/>
      </c>
    </row>
    <row r="10">
      <c r="A10" s="2" t="n">
        <v>46298.45138888889</v>
      </c>
      <c r="B10" s="3" t="n">
        <v>30</v>
      </c>
      <c r="C10" s="4" t="inlineStr">
        <is>
          <t>Candle set</t>
        </is>
      </c>
      <c r="D10" s="5">
        <f>IF(A10="","",IF(ISNUMBER(A10),HOUR(A10),"Check time"))</f>
        <v/>
      </c>
    </row>
    <row r="11">
      <c r="A11" s="2" t="n">
        <v>46298.46527777778</v>
      </c>
      <c r="B11" s="3" t="n">
        <v>24</v>
      </c>
      <c r="C11" s="4" t="inlineStr">
        <is>
          <t>Soy candle</t>
        </is>
      </c>
      <c r="D11" s="5">
        <f>IF(A11="","",IF(ISNUMBER(A11),HOUR(A11),"Check time"))</f>
        <v/>
      </c>
    </row>
    <row r="12">
      <c r="A12" s="2" t="n">
        <v>46298.48958333334</v>
      </c>
      <c r="B12" s="3" t="n">
        <v>54</v>
      </c>
      <c r="C12" s="4" t="inlineStr">
        <is>
          <t>Gift box</t>
        </is>
      </c>
      <c r="D12" s="5">
        <f>IF(A12="","",IF(ISNUMBER(A12),HOUR(A12),"Check time"))</f>
        <v/>
      </c>
    </row>
    <row r="13">
      <c r="A13" s="2" t="n">
        <v>46298.50347222222</v>
      </c>
      <c r="B13" s="3" t="n">
        <v>18</v>
      </c>
      <c r="C13" s="4" t="inlineStr">
        <is>
          <t>Brass earrings</t>
        </is>
      </c>
      <c r="D13" s="5">
        <f>IF(A13="","",IF(ISNUMBER(A13),HOUR(A13),"Check time"))</f>
        <v/>
      </c>
    </row>
    <row r="14">
      <c r="A14" s="2" t="n">
        <v>46298.52083333334</v>
      </c>
      <c r="B14" s="3" t="n">
        <v>40</v>
      </c>
      <c r="C14" s="4" t="inlineStr">
        <is>
          <t>Candle set</t>
        </is>
      </c>
      <c r="D14" s="5">
        <f>IF(A14="","",IF(ISNUMBER(A14),HOUR(A14),"Check time"))</f>
        <v/>
      </c>
    </row>
    <row r="15">
      <c r="A15" s="2" t="n">
        <v>46298.53819444445</v>
      </c>
      <c r="B15" s="3" t="n">
        <v>26</v>
      </c>
      <c r="C15" s="4" t="inlineStr">
        <is>
          <t>Soap bar</t>
        </is>
      </c>
      <c r="D15" s="5">
        <f>IF(A15="","",IF(ISNUMBER(A15),HOUR(A15),"Check time"))</f>
        <v/>
      </c>
    </row>
    <row r="16">
      <c r="A16" s="2" t="n">
        <v>46298.55208333334</v>
      </c>
      <c r="B16" s="3" t="n">
        <v>14.5</v>
      </c>
      <c r="C16" s="4" t="inlineStr">
        <is>
          <t>Greeting cards</t>
        </is>
      </c>
      <c r="D16" s="5">
        <f>IF(A16="","",IF(ISNUMBER(A16),HOUR(A16),"Check time"))</f>
        <v/>
      </c>
    </row>
    <row r="17">
      <c r="A17" s="2" t="n">
        <v>46298.56944444445</v>
      </c>
      <c r="B17" s="3" t="n">
        <v>32</v>
      </c>
      <c r="C17" s="4" t="inlineStr">
        <is>
          <t>Soy candle</t>
        </is>
      </c>
      <c r="D17" s="5">
        <f>IF(A17="","",IF(ISNUMBER(A17),HOUR(A17),"Check time"))</f>
        <v/>
      </c>
    </row>
    <row r="18">
      <c r="A18" s="2" t="n">
        <v>46298.59027777778</v>
      </c>
      <c r="B18" s="3" t="n">
        <v>20</v>
      </c>
      <c r="C18" s="4" t="inlineStr">
        <is>
          <t>Soap bar</t>
        </is>
      </c>
      <c r="D18" s="5">
        <f>IF(A18="","",IF(ISNUMBER(A18),HOUR(A18),"Check time"))</f>
        <v/>
      </c>
    </row>
    <row r="19">
      <c r="A19" s="2" t="n">
        <v>46298.61458333334</v>
      </c>
      <c r="B19" s="3" t="n">
        <v>44</v>
      </c>
      <c r="C19" s="4" t="inlineStr">
        <is>
          <t>Gift box</t>
        </is>
      </c>
      <c r="D19" s="5">
        <f>IF(A19="","",IF(ISNUMBER(A19),HOUR(A19),"Check time"))</f>
        <v/>
      </c>
    </row>
    <row r="20">
      <c r="A20" s="2" t="n">
        <v>46298.63888888889</v>
      </c>
      <c r="B20" s="3" t="n">
        <v>18</v>
      </c>
      <c r="C20" s="4" t="inlineStr">
        <is>
          <t>Soy candle</t>
        </is>
      </c>
      <c r="D20" s="5">
        <f>IF(A20="","",IF(ISNUMBER(A20),HOUR(A20),"Check time"))</f>
        <v/>
      </c>
    </row>
    <row r="21">
      <c r="A21" s="2" t="n">
        <v>46298.65972222222</v>
      </c>
      <c r="B21" s="3" t="n">
        <v>12</v>
      </c>
      <c r="C21" s="4" t="inlineStr">
        <is>
          <t>Greeting cards</t>
        </is>
      </c>
      <c r="D21" s="5">
        <f>IF(A21="","",IF(ISNUMBER(A21),HOUR(A21),"Check time"))</f>
        <v/>
      </c>
    </row>
    <row r="22">
      <c r="A22" s="2" t="n">
        <v>46298.68402777778</v>
      </c>
      <c r="B22" s="3" t="n">
        <v>28</v>
      </c>
      <c r="C22" s="4" t="inlineStr">
        <is>
          <t>Brass earrings</t>
        </is>
      </c>
      <c r="D22" s="5">
        <f>IF(A22="","",IF(ISNUMBER(A22),HOUR(A22),"Check time"))</f>
        <v/>
      </c>
    </row>
    <row r="23">
      <c r="A23" s="2" t="n">
        <v>46298.71180555555</v>
      </c>
      <c r="B23" s="3" t="n">
        <v>16</v>
      </c>
      <c r="C23" s="4" t="inlineStr">
        <is>
          <t>Soap bar</t>
        </is>
      </c>
      <c r="D23" s="5">
        <f>IF(A23="","",IF(ISNUMBER(A23),HOUR(A23),"Check time"))</f>
        <v/>
      </c>
    </row>
    <row r="24">
      <c r="A24" s="2" t="n">
        <v>46298.77083333334</v>
      </c>
      <c r="B24" s="3" t="n">
        <v>24</v>
      </c>
      <c r="C24" s="4" t="inlineStr">
        <is>
          <t>Soy candle</t>
        </is>
      </c>
      <c r="D24" s="5">
        <f>IF(A24="","",IF(ISNUMBER(A24),HOUR(A24),"Check time"))</f>
        <v/>
      </c>
    </row>
    <row r="25">
      <c r="A25" s="2" t="n">
        <v>46305.32291666666</v>
      </c>
      <c r="B25" s="3" t="n">
        <v>9</v>
      </c>
      <c r="C25" s="4" t="inlineStr">
        <is>
          <t>Soap bar</t>
        </is>
      </c>
      <c r="D25" s="5">
        <f>IF(A25="","",IF(ISNUMBER(A25),HOUR(A25),"Check time"))</f>
        <v/>
      </c>
    </row>
    <row r="26">
      <c r="A26" s="2" t="n">
        <v>46305.35416666666</v>
      </c>
      <c r="B26" s="3" t="n">
        <v>15</v>
      </c>
      <c r="C26" s="4" t="inlineStr">
        <is>
          <t>Greeting cards</t>
        </is>
      </c>
      <c r="D26" s="5">
        <f>IF(A26="","",IF(ISNUMBER(A26),HOUR(A26),"Check time"))</f>
        <v/>
      </c>
    </row>
    <row r="27">
      <c r="A27" s="2" t="n">
        <v>46305.38194444445</v>
      </c>
      <c r="B27" s="3" t="n">
        <v>28</v>
      </c>
      <c r="C27" s="4" t="inlineStr">
        <is>
          <t>Soy candle</t>
        </is>
      </c>
      <c r="D27" s="5">
        <f>IF(A27="","",IF(ISNUMBER(A27),HOUR(A27),"Check time"))</f>
        <v/>
      </c>
    </row>
    <row r="28">
      <c r="A28" s="2" t="n">
        <v>46305.40972222222</v>
      </c>
      <c r="B28" s="3" t="n">
        <v>42</v>
      </c>
      <c r="C28" s="4" t="inlineStr">
        <is>
          <t>Candle set</t>
        </is>
      </c>
      <c r="D28" s="5">
        <f>IF(A28="","",IF(ISNUMBER(A28),HOUR(A28),"Check time"))</f>
        <v/>
      </c>
    </row>
    <row r="29">
      <c r="A29" s="2" t="n">
        <v>46305.42708333334</v>
      </c>
      <c r="B29" s="3" t="n">
        <v>36</v>
      </c>
      <c r="C29" s="4" t="inlineStr">
        <is>
          <t>Gift box</t>
        </is>
      </c>
      <c r="D29" s="5">
        <f>IF(A29="","",IF(ISNUMBER(A29),HOUR(A29),"Check time"))</f>
        <v/>
      </c>
    </row>
    <row r="30">
      <c r="A30" s="2" t="n">
        <v>46305.44444444445</v>
      </c>
      <c r="B30" s="3" t="n">
        <v>22.5</v>
      </c>
      <c r="C30" s="4" t="inlineStr">
        <is>
          <t>Brass earrings</t>
        </is>
      </c>
      <c r="D30" s="5">
        <f>IF(A30="","",IF(ISNUMBER(A30),HOUR(A30),"Check time"))</f>
        <v/>
      </c>
    </row>
    <row r="31">
      <c r="A31" s="2" t="n">
        <v>46305.45833333334</v>
      </c>
      <c r="B31" s="3" t="n">
        <v>18</v>
      </c>
      <c r="C31" s="4" t="inlineStr">
        <is>
          <t>Soy candle</t>
        </is>
      </c>
      <c r="D31" s="5">
        <f>IF(A31="","",IF(ISNUMBER(A31),HOUR(A31),"Check time"))</f>
        <v/>
      </c>
    </row>
    <row r="32">
      <c r="A32" s="2" t="n">
        <v>46305.47569444445</v>
      </c>
      <c r="B32" s="3" t="n">
        <v>60</v>
      </c>
      <c r="C32" s="4" t="inlineStr">
        <is>
          <t>Gift box</t>
        </is>
      </c>
      <c r="D32" s="5">
        <f>IF(A32="","",IF(ISNUMBER(A32),HOUR(A32),"Check time"))</f>
        <v/>
      </c>
    </row>
    <row r="33">
      <c r="A33" s="2" t="n">
        <v>46305.49652777778</v>
      </c>
      <c r="B33" s="3" t="n">
        <v>14</v>
      </c>
      <c r="C33" s="4" t="inlineStr">
        <is>
          <t>Soap bar</t>
        </is>
      </c>
      <c r="D33" s="5">
        <f>IF(A33="","",IF(ISNUMBER(A33),HOUR(A33),"Check time"))</f>
        <v/>
      </c>
    </row>
    <row r="34">
      <c r="A34" s="2" t="n">
        <v>46305.51041666666</v>
      </c>
      <c r="B34" s="3" t="n">
        <v>34</v>
      </c>
      <c r="C34" s="4" t="inlineStr">
        <is>
          <t>Candle set</t>
        </is>
      </c>
      <c r="D34" s="5">
        <f>IF(A34="","",IF(ISNUMBER(A34),HOUR(A34),"Check time"))</f>
        <v/>
      </c>
    </row>
    <row r="35">
      <c r="A35" s="2" t="n">
        <v>46305.53125</v>
      </c>
      <c r="B35" s="3" t="n">
        <v>20</v>
      </c>
      <c r="C35" s="4" t="inlineStr">
        <is>
          <t>Soy candle</t>
        </is>
      </c>
      <c r="D35" s="5">
        <f>IF(A35="","",IF(ISNUMBER(A35),HOUR(A35),"Check time"))</f>
        <v/>
      </c>
    </row>
    <row r="36">
      <c r="A36" s="2" t="n">
        <v>46305.54513888889</v>
      </c>
      <c r="B36" s="3" t="n">
        <v>26.5</v>
      </c>
      <c r="C36" s="4" t="inlineStr">
        <is>
          <t>Brass earrings</t>
        </is>
      </c>
      <c r="D36" s="5">
        <f>IF(A36="","",IF(ISNUMBER(A36),HOUR(A36),"Check time"))</f>
        <v/>
      </c>
    </row>
    <row r="37">
      <c r="A37" s="2" t="n">
        <v>46305.57638888889</v>
      </c>
      <c r="B37" s="3" t="n">
        <v>12</v>
      </c>
      <c r="C37" s="4" t="inlineStr">
        <is>
          <t>Greeting cards</t>
        </is>
      </c>
      <c r="D37" s="5">
        <f>IF(A37="","",IF(ISNUMBER(A37),HOUR(A37),"Check time"))</f>
        <v/>
      </c>
    </row>
    <row r="38">
      <c r="A38" s="2" t="n">
        <v>46305.59722222222</v>
      </c>
      <c r="B38" s="3" t="n">
        <v>38</v>
      </c>
      <c r="C38" s="4" t="inlineStr">
        <is>
          <t>Candle set</t>
        </is>
      </c>
      <c r="D38" s="5">
        <f>IF(A38="","",IF(ISNUMBER(A38),HOUR(A38),"Check time"))</f>
        <v/>
      </c>
    </row>
    <row r="39">
      <c r="A39" s="2" t="n">
        <v>46305.62152777778</v>
      </c>
      <c r="B39" s="3" t="n">
        <v>16</v>
      </c>
      <c r="C39" s="4" t="inlineStr">
        <is>
          <t>Soap bar</t>
        </is>
      </c>
      <c r="D39" s="5">
        <f>IF(A39="","",IF(ISNUMBER(A39),HOUR(A39),"Check time"))</f>
        <v/>
      </c>
    </row>
    <row r="40">
      <c r="A40" s="2" t="n">
        <v>46305.64583333334</v>
      </c>
      <c r="B40" s="3" t="n">
        <v>24</v>
      </c>
      <c r="C40" s="4" t="inlineStr">
        <is>
          <t>Soy candle</t>
        </is>
      </c>
      <c r="D40" s="5">
        <f>IF(A40="","",IF(ISNUMBER(A40),HOUR(A40),"Check time"))</f>
        <v/>
      </c>
    </row>
    <row r="41">
      <c r="A41" s="2" t="n">
        <v>46305.67361111111</v>
      </c>
      <c r="B41" s="3" t="n">
        <v>30</v>
      </c>
      <c r="C41" s="4" t="inlineStr">
        <is>
          <t>Gift box</t>
        </is>
      </c>
      <c r="D41" s="5">
        <f>IF(A41="","",IF(ISNUMBER(A41),HOUR(A41),"Check time"))</f>
        <v/>
      </c>
    </row>
    <row r="42">
      <c r="A42" s="2" t="n">
        <v>46305.69444444445</v>
      </c>
      <c r="B42" s="3" t="n">
        <v>18.5</v>
      </c>
      <c r="C42" s="4" t="inlineStr">
        <is>
          <t>Soap bar</t>
        </is>
      </c>
      <c r="D42" s="5">
        <f>IF(A42="","",IF(ISNUMBER(A42),HOUR(A42),"Check time"))</f>
        <v/>
      </c>
    </row>
    <row r="43">
      <c r="A43" s="2" t="n">
        <v>46305.72222222222</v>
      </c>
      <c r="B43" s="3" t="n">
        <v>22</v>
      </c>
      <c r="C43" s="4" t="inlineStr">
        <is>
          <t>Brass earrings</t>
        </is>
      </c>
      <c r="D43" s="5">
        <f>IF(A43="","",IF(ISNUMBER(A43),HOUR(A43),"Check time"))</f>
        <v/>
      </c>
    </row>
    <row r="44">
      <c r="A44" s="2" t="n">
        <v>46305.74998842592</v>
      </c>
      <c r="B44" s="3" t="n">
        <v>10</v>
      </c>
      <c r="C44" s="4" t="inlineStr">
        <is>
          <t>Greeting cards</t>
        </is>
      </c>
      <c r="D44" s="5">
        <f>IF(A44="","",IF(ISNUMBER(A44),HOUR(A44),"Check time"))</f>
        <v/>
      </c>
    </row>
    <row r="45">
      <c r="A45" s="2" t="n">
        <v>46305.75</v>
      </c>
      <c r="B45" s="3" t="n">
        <v>27</v>
      </c>
      <c r="C45" s="4" t="inlineStr">
        <is>
          <t>Soy candle</t>
        </is>
      </c>
      <c r="D45" s="5">
        <f>IF(A45="","",IF(ISNUMBER(A45),HOUR(A45),"Check time"))</f>
        <v/>
      </c>
    </row>
    <row r="46">
      <c r="A46" s="2" t="n">
        <v>46305.79861111111</v>
      </c>
      <c r="B46" s="3" t="n">
        <v>15</v>
      </c>
      <c r="C46" s="4" t="inlineStr">
        <is>
          <t>Soap bar</t>
        </is>
      </c>
      <c r="D46" s="5">
        <f>IF(A46="","",IF(ISNUMBER(A46),HOUR(A46),"Check time"))</f>
        <v/>
      </c>
    </row>
    <row r="47">
      <c r="A47" s="2" t="n">
        <v>46306</v>
      </c>
      <c r="B47" s="3" t="n">
        <v>33</v>
      </c>
      <c r="C47" s="4" t="inlineStr">
        <is>
          <t>Online order</t>
        </is>
      </c>
      <c r="D47" s="5">
        <f>IF(A47="","",IF(ISNUMBER(A47),HOUR(A47),"Check time"))</f>
        <v/>
      </c>
    </row>
    <row r="48">
      <c r="A48" s="2" t="n">
        <v>46306.42013888889</v>
      </c>
      <c r="B48" s="3" t="n">
        <v>29</v>
      </c>
      <c r="C48" s="4" t="inlineStr">
        <is>
          <t>Candle set</t>
        </is>
      </c>
      <c r="D48" s="5">
        <f>IF(A48="","",IF(ISNUMBER(A48),HOUR(A48),"Check time"))</f>
        <v/>
      </c>
    </row>
    <row r="49">
      <c r="A49" s="2" t="n">
        <v>46306.44791666666</v>
      </c>
      <c r="B49" s="3" t="n">
        <v>21</v>
      </c>
      <c r="C49" s="4" t="inlineStr">
        <is>
          <t>Soy candle</t>
        </is>
      </c>
      <c r="D49" s="5">
        <f>IF(A49="","",IF(ISNUMBER(A49),HOUR(A49),"Check time"))</f>
        <v/>
      </c>
    </row>
    <row r="50">
      <c r="A50" s="2" t="n">
        <v>46306.47916666666</v>
      </c>
      <c r="B50" s="3" t="n">
        <v>17</v>
      </c>
      <c r="C50" s="4" t="inlineStr">
        <is>
          <t>Greeting cards</t>
        </is>
      </c>
      <c r="D50" s="5">
        <f>IF(A50="","",IF(ISNUMBER(A50),HOUR(A50),"Check time"))</f>
        <v/>
      </c>
    </row>
    <row r="51">
      <c r="A51" s="2" t="n">
        <v>46306.58333333334</v>
      </c>
      <c r="B51" s="3" t="n">
        <v>19.5</v>
      </c>
      <c r="C51" s="4" t="inlineStr">
        <is>
          <t>Soap bar</t>
        </is>
      </c>
      <c r="D51" s="5">
        <f>IF(A51="","",IF(ISNUMBER(A51),HOUR(A51),"Check time"))</f>
        <v/>
      </c>
    </row>
    <row r="52">
      <c r="A52" s="2" t="n"/>
      <c r="B52" s="3" t="n"/>
      <c r="C52" s="4" t="n"/>
      <c r="D52" s="5">
        <f>IF(A52="","",IF(ISNUMBER(A52),HOUR(A52),"Check time"))</f>
        <v/>
      </c>
    </row>
    <row r="53">
      <c r="A53" s="2" t="n"/>
      <c r="B53" s="3" t="n"/>
      <c r="C53" s="4" t="n"/>
      <c r="D53" s="5">
        <f>IF(A53="","",IF(ISNUMBER(A53),HOUR(A53),"Check time"))</f>
        <v/>
      </c>
    </row>
    <row r="54">
      <c r="A54" s="2" t="n"/>
      <c r="B54" s="3" t="n"/>
      <c r="C54" s="4" t="n"/>
      <c r="D54" s="5">
        <f>IF(A54="","",IF(ISNUMBER(A54),HOUR(A54),"Check time"))</f>
        <v/>
      </c>
    </row>
    <row r="55">
      <c r="A55" s="2" t="n"/>
      <c r="B55" s="3" t="n"/>
      <c r="C55" s="4" t="n"/>
      <c r="D55" s="5">
        <f>IF(A55="","",IF(ISNUMBER(A55),HOUR(A55),"Check time"))</f>
        <v/>
      </c>
    </row>
    <row r="56">
      <c r="A56" s="2" t="n"/>
      <c r="B56" s="3" t="n"/>
      <c r="C56" s="4" t="n"/>
      <c r="D56" s="5">
        <f>IF(A56="","",IF(ISNUMBER(A56),HOUR(A56),"Check time"))</f>
        <v/>
      </c>
    </row>
    <row r="57">
      <c r="A57" s="2" t="n"/>
      <c r="B57" s="3" t="n"/>
      <c r="C57" s="4" t="n"/>
      <c r="D57" s="5">
        <f>IF(A57="","",IF(ISNUMBER(A57),HOUR(A57),"Check time"))</f>
        <v/>
      </c>
    </row>
    <row r="58">
      <c r="A58" s="2" t="n"/>
      <c r="B58" s="3" t="n"/>
      <c r="C58" s="4" t="n"/>
      <c r="D58" s="5">
        <f>IF(A58="","",IF(ISNUMBER(A58),HOUR(A58),"Check time"))</f>
        <v/>
      </c>
    </row>
    <row r="59">
      <c r="A59" s="2" t="n"/>
      <c r="B59" s="3" t="n"/>
      <c r="C59" s="4" t="n"/>
      <c r="D59" s="5">
        <f>IF(A59="","",IF(ISNUMBER(A59),HOUR(A59),"Check time"))</f>
        <v/>
      </c>
    </row>
    <row r="60">
      <c r="A60" s="2" t="n"/>
      <c r="B60" s="3" t="n"/>
      <c r="C60" s="4" t="n"/>
      <c r="D60" s="5">
        <f>IF(A60="","",IF(ISNUMBER(A60),HOUR(A60),"Check time"))</f>
        <v/>
      </c>
    </row>
    <row r="61">
      <c r="A61" s="2" t="n"/>
      <c r="B61" s="3" t="n"/>
      <c r="C61" s="4" t="n"/>
      <c r="D61" s="5">
        <f>IF(A61="","",IF(ISNUMBER(A61),HOUR(A61),"Check time"))</f>
        <v/>
      </c>
    </row>
    <row r="62">
      <c r="A62" s="2" t="n"/>
      <c r="B62" s="3" t="n"/>
      <c r="C62" s="4" t="n"/>
      <c r="D62" s="5">
        <f>IF(A62="","",IF(ISNUMBER(A62),HOUR(A62),"Check time"))</f>
        <v/>
      </c>
    </row>
    <row r="63">
      <c r="A63" s="2" t="n"/>
      <c r="B63" s="3" t="n"/>
      <c r="C63" s="4" t="n"/>
      <c r="D63" s="5">
        <f>IF(A63="","",IF(ISNUMBER(A63),HOUR(A63),"Check time"))</f>
        <v/>
      </c>
    </row>
    <row r="64">
      <c r="A64" s="2" t="n"/>
      <c r="B64" s="3" t="n"/>
      <c r="C64" s="4" t="n"/>
      <c r="D64" s="5">
        <f>IF(A64="","",IF(ISNUMBER(A64),HOUR(A64),"Check time"))</f>
        <v/>
      </c>
    </row>
    <row r="65">
      <c r="A65" s="2" t="n"/>
      <c r="B65" s="3" t="n"/>
      <c r="C65" s="4" t="n"/>
      <c r="D65" s="5">
        <f>IF(A65="","",IF(ISNUMBER(A65),HOUR(A65),"Check time"))</f>
        <v/>
      </c>
    </row>
    <row r="66">
      <c r="A66" s="2" t="n"/>
      <c r="B66" s="3" t="n"/>
      <c r="C66" s="4" t="n"/>
      <c r="D66" s="5">
        <f>IF(A66="","",IF(ISNUMBER(A66),HOUR(A66),"Check time"))</f>
        <v/>
      </c>
    </row>
    <row r="67">
      <c r="A67" s="2" t="n"/>
      <c r="B67" s="3" t="n"/>
      <c r="C67" s="4" t="n"/>
      <c r="D67" s="5">
        <f>IF(A67="","",IF(ISNUMBER(A67),HOUR(A67),"Check time"))</f>
        <v/>
      </c>
    </row>
    <row r="68">
      <c r="A68" s="2" t="n"/>
      <c r="B68" s="3" t="n"/>
      <c r="C68" s="4" t="n"/>
      <c r="D68" s="5">
        <f>IF(A68="","",IF(ISNUMBER(A68),HOUR(A68),"Check time"))</f>
        <v/>
      </c>
    </row>
    <row r="69">
      <c r="A69" s="2" t="n"/>
      <c r="B69" s="3" t="n"/>
      <c r="C69" s="4" t="n"/>
      <c r="D69" s="5">
        <f>IF(A69="","",IF(ISNUMBER(A69),HOUR(A69),"Check time"))</f>
        <v/>
      </c>
    </row>
    <row r="70">
      <c r="A70" s="2" t="n"/>
      <c r="B70" s="3" t="n"/>
      <c r="C70" s="4" t="n"/>
      <c r="D70" s="5">
        <f>IF(A70="","",IF(ISNUMBER(A70),HOUR(A70),"Check time"))</f>
        <v/>
      </c>
    </row>
    <row r="71">
      <c r="A71" s="2" t="n"/>
      <c r="B71" s="3" t="n"/>
      <c r="C71" s="4" t="n"/>
      <c r="D71" s="5">
        <f>IF(A71="","",IF(ISNUMBER(A71),HOUR(A71),"Check time"))</f>
        <v/>
      </c>
    </row>
    <row r="72">
      <c r="A72" s="2" t="n"/>
      <c r="B72" s="3" t="n"/>
      <c r="C72" s="4" t="n"/>
      <c r="D72" s="5">
        <f>IF(A72="","",IF(ISNUMBER(A72),HOUR(A72),"Check time"))</f>
        <v/>
      </c>
    </row>
    <row r="73">
      <c r="A73" s="2" t="n"/>
      <c r="B73" s="3" t="n"/>
      <c r="C73" s="4" t="n"/>
      <c r="D73" s="5">
        <f>IF(A73="","",IF(ISNUMBER(A73),HOUR(A73),"Check time"))</f>
        <v/>
      </c>
    </row>
    <row r="74">
      <c r="A74" s="2" t="n"/>
      <c r="B74" s="3" t="n"/>
      <c r="C74" s="4" t="n"/>
      <c r="D74" s="5">
        <f>IF(A74="","",IF(ISNUMBER(A74),HOUR(A74),"Check time"))</f>
        <v/>
      </c>
    </row>
    <row r="75">
      <c r="A75" s="2" t="n"/>
      <c r="B75" s="3" t="n"/>
      <c r="C75" s="4" t="n"/>
      <c r="D75" s="5">
        <f>IF(A75="","",IF(ISNUMBER(A75),HOUR(A75),"Check time"))</f>
        <v/>
      </c>
    </row>
    <row r="76">
      <c r="A76" s="2" t="n"/>
      <c r="B76" s="3" t="n"/>
      <c r="C76" s="4" t="n"/>
      <c r="D76" s="5">
        <f>IF(A76="","",IF(ISNUMBER(A76),HOUR(A76),"Check time"))</f>
        <v/>
      </c>
    </row>
    <row r="77">
      <c r="A77" s="2" t="n"/>
      <c r="B77" s="3" t="n"/>
      <c r="C77" s="4" t="n"/>
      <c r="D77" s="5">
        <f>IF(A77="","",IF(ISNUMBER(A77),HOUR(A77),"Check time"))</f>
        <v/>
      </c>
    </row>
    <row r="78">
      <c r="A78" s="2" t="n"/>
      <c r="B78" s="3" t="n"/>
      <c r="C78" s="4" t="n"/>
      <c r="D78" s="5">
        <f>IF(A78="","",IF(ISNUMBER(A78),HOUR(A78),"Check time"))</f>
        <v/>
      </c>
    </row>
    <row r="79">
      <c r="A79" s="2" t="n"/>
      <c r="B79" s="3" t="n"/>
      <c r="C79" s="4" t="n"/>
      <c r="D79" s="5">
        <f>IF(A79="","",IF(ISNUMBER(A79),HOUR(A79),"Check time"))</f>
        <v/>
      </c>
    </row>
    <row r="80">
      <c r="A80" s="2" t="n"/>
      <c r="B80" s="3" t="n"/>
      <c r="C80" s="4" t="n"/>
      <c r="D80" s="5">
        <f>IF(A80="","",IF(ISNUMBER(A80),HOUR(A80),"Check time"))</f>
        <v/>
      </c>
    </row>
    <row r="81">
      <c r="A81" s="2" t="n"/>
      <c r="B81" s="3" t="n"/>
      <c r="C81" s="4" t="n"/>
      <c r="D81" s="5">
        <f>IF(A81="","",IF(ISNUMBER(A81),HOUR(A81),"Check time"))</f>
        <v/>
      </c>
    </row>
    <row r="82">
      <c r="A82" s="2" t="n"/>
      <c r="B82" s="3" t="n"/>
      <c r="C82" s="4" t="n"/>
      <c r="D82" s="5">
        <f>IF(A82="","",IF(ISNUMBER(A82),HOUR(A82),"Check time"))</f>
        <v/>
      </c>
    </row>
    <row r="83">
      <c r="A83" s="2" t="n"/>
      <c r="B83" s="3" t="n"/>
      <c r="C83" s="4" t="n"/>
      <c r="D83" s="5">
        <f>IF(A83="","",IF(ISNUMBER(A83),HOUR(A83),"Check time"))</f>
        <v/>
      </c>
    </row>
    <row r="84">
      <c r="A84" s="2" t="n"/>
      <c r="B84" s="3" t="n"/>
      <c r="C84" s="4" t="n"/>
      <c r="D84" s="5">
        <f>IF(A84="","",IF(ISNUMBER(A84),HOUR(A84),"Check time"))</f>
        <v/>
      </c>
    </row>
    <row r="85">
      <c r="A85" s="2" t="n"/>
      <c r="B85" s="3" t="n"/>
      <c r="C85" s="4" t="n"/>
      <c r="D85" s="5">
        <f>IF(A85="","",IF(ISNUMBER(A85),HOUR(A85),"Check time"))</f>
        <v/>
      </c>
    </row>
    <row r="86">
      <c r="A86" s="2" t="n"/>
      <c r="B86" s="3" t="n"/>
      <c r="C86" s="4" t="n"/>
      <c r="D86" s="5">
        <f>IF(A86="","",IF(ISNUMBER(A86),HOUR(A86),"Check time"))</f>
        <v/>
      </c>
    </row>
    <row r="87">
      <c r="A87" s="2" t="n"/>
      <c r="B87" s="3" t="n"/>
      <c r="C87" s="4" t="n"/>
      <c r="D87" s="5">
        <f>IF(A87="","",IF(ISNUMBER(A87),HOUR(A87),"Check time"))</f>
        <v/>
      </c>
    </row>
    <row r="88">
      <c r="A88" s="2" t="n"/>
      <c r="B88" s="3" t="n"/>
      <c r="C88" s="4" t="n"/>
      <c r="D88" s="5">
        <f>IF(A88="","",IF(ISNUMBER(A88),HOUR(A88),"Check time"))</f>
        <v/>
      </c>
    </row>
    <row r="89">
      <c r="A89" s="2" t="n"/>
      <c r="B89" s="3" t="n"/>
      <c r="C89" s="4" t="n"/>
      <c r="D89" s="5">
        <f>IF(A89="","",IF(ISNUMBER(A89),HOUR(A89),"Check time"))</f>
        <v/>
      </c>
    </row>
    <row r="90">
      <c r="A90" s="2" t="n"/>
      <c r="B90" s="3" t="n"/>
      <c r="C90" s="4" t="n"/>
      <c r="D90" s="5">
        <f>IF(A90="","",IF(ISNUMBER(A90),HOUR(A90),"Check time"))</f>
        <v/>
      </c>
    </row>
    <row r="91">
      <c r="A91" s="2" t="n"/>
      <c r="B91" s="3" t="n"/>
      <c r="C91" s="4" t="n"/>
      <c r="D91" s="5">
        <f>IF(A91="","",IF(ISNUMBER(A91),HOUR(A91),"Check time"))</f>
        <v/>
      </c>
    </row>
    <row r="92">
      <c r="A92" s="2" t="n"/>
      <c r="B92" s="3" t="n"/>
      <c r="C92" s="4" t="n"/>
      <c r="D92" s="5">
        <f>IF(A92="","",IF(ISNUMBER(A92),HOUR(A92),"Check time"))</f>
        <v/>
      </c>
    </row>
    <row r="93">
      <c r="A93" s="2" t="n"/>
      <c r="B93" s="3" t="n"/>
      <c r="C93" s="4" t="n"/>
      <c r="D93" s="5">
        <f>IF(A93="","",IF(ISNUMBER(A93),HOUR(A93),"Check time"))</f>
        <v/>
      </c>
    </row>
    <row r="94">
      <c r="A94" s="2" t="n"/>
      <c r="B94" s="3" t="n"/>
      <c r="C94" s="4" t="n"/>
      <c r="D94" s="5">
        <f>IF(A94="","",IF(ISNUMBER(A94),HOUR(A94),"Check time"))</f>
        <v/>
      </c>
    </row>
    <row r="95">
      <c r="A95" s="2" t="n"/>
      <c r="B95" s="3" t="n"/>
      <c r="C95" s="4" t="n"/>
      <c r="D95" s="5">
        <f>IF(A95="","",IF(ISNUMBER(A95),HOUR(A95),"Check time"))</f>
        <v/>
      </c>
    </row>
    <row r="96">
      <c r="A96" s="2" t="n"/>
      <c r="B96" s="3" t="n"/>
      <c r="C96" s="4" t="n"/>
      <c r="D96" s="5">
        <f>IF(A96="","",IF(ISNUMBER(A96),HOUR(A96),"Check time"))</f>
        <v/>
      </c>
    </row>
    <row r="97">
      <c r="A97" s="2" t="n"/>
      <c r="B97" s="3" t="n"/>
      <c r="C97" s="4" t="n"/>
      <c r="D97" s="5">
        <f>IF(A97="","",IF(ISNUMBER(A97),HOUR(A97),"Check time"))</f>
        <v/>
      </c>
    </row>
    <row r="98">
      <c r="A98" s="2" t="n"/>
      <c r="B98" s="3" t="n"/>
      <c r="C98" s="4" t="n"/>
      <c r="D98" s="5">
        <f>IF(A98="","",IF(ISNUMBER(A98),HOUR(A98),"Check time"))</f>
        <v/>
      </c>
    </row>
    <row r="99">
      <c r="A99" s="2" t="n"/>
      <c r="B99" s="3" t="n"/>
      <c r="C99" s="4" t="n"/>
      <c r="D99" s="5">
        <f>IF(A99="","",IF(ISNUMBER(A99),HOUR(A99),"Check time"))</f>
        <v/>
      </c>
    </row>
    <row r="100">
      <c r="A100" s="2" t="n"/>
      <c r="B100" s="3" t="n"/>
      <c r="C100" s="4" t="n"/>
      <c r="D100" s="5">
        <f>IF(A100="","",IF(ISNUMBER(A100),HOUR(A100),"Check time"))</f>
        <v/>
      </c>
    </row>
    <row r="101">
      <c r="A101" s="2" t="n"/>
      <c r="B101" s="3" t="n"/>
      <c r="C101" s="4" t="n"/>
      <c r="D101" s="5">
        <f>IF(A101="","",IF(ISNUMBER(A101),HOUR(A101),"Check time"))</f>
        <v/>
      </c>
    </row>
    <row r="102">
      <c r="A102" s="2" t="n"/>
      <c r="B102" s="3" t="n"/>
      <c r="C102" s="4" t="n"/>
      <c r="D102" s="5">
        <f>IF(A102="","",IF(ISNUMBER(A102),HOUR(A102),"Check time"))</f>
        <v/>
      </c>
    </row>
    <row r="103">
      <c r="A103" s="2" t="n"/>
      <c r="B103" s="3" t="n"/>
      <c r="C103" s="4" t="n"/>
      <c r="D103" s="5">
        <f>IF(A103="","",IF(ISNUMBER(A103),HOUR(A103),"Check time"))</f>
        <v/>
      </c>
    </row>
    <row r="104">
      <c r="A104" s="2" t="n"/>
      <c r="B104" s="3" t="n"/>
      <c r="C104" s="4" t="n"/>
      <c r="D104" s="5">
        <f>IF(A104="","",IF(ISNUMBER(A104),HOUR(A104),"Check time"))</f>
        <v/>
      </c>
    </row>
    <row r="105">
      <c r="A105" s="2" t="n"/>
      <c r="B105" s="3" t="n"/>
      <c r="C105" s="4" t="n"/>
      <c r="D105" s="5">
        <f>IF(A105="","",IF(ISNUMBER(A105),HOUR(A105),"Check time"))</f>
        <v/>
      </c>
    </row>
    <row r="106">
      <c r="A106" s="2" t="n"/>
      <c r="B106" s="3" t="n"/>
      <c r="C106" s="4" t="n"/>
      <c r="D106" s="5">
        <f>IF(A106="","",IF(ISNUMBER(A106),HOUR(A106),"Check time"))</f>
        <v/>
      </c>
    </row>
    <row r="107">
      <c r="A107" s="2" t="n"/>
      <c r="B107" s="3" t="n"/>
      <c r="C107" s="4" t="n"/>
      <c r="D107" s="5">
        <f>IF(A107="","",IF(ISNUMBER(A107),HOUR(A107),"Check time"))</f>
        <v/>
      </c>
    </row>
    <row r="108">
      <c r="A108" s="2" t="n"/>
      <c r="B108" s="3" t="n"/>
      <c r="C108" s="4" t="n"/>
      <c r="D108" s="5">
        <f>IF(A108="","",IF(ISNUMBER(A108),HOUR(A108),"Check time"))</f>
        <v/>
      </c>
    </row>
    <row r="109">
      <c r="A109" s="2" t="n"/>
      <c r="B109" s="3" t="n"/>
      <c r="C109" s="4" t="n"/>
      <c r="D109" s="5">
        <f>IF(A109="","",IF(ISNUMBER(A109),HOUR(A109),"Check time"))</f>
        <v/>
      </c>
    </row>
    <row r="110">
      <c r="A110" s="2" t="n"/>
      <c r="B110" s="3" t="n"/>
      <c r="C110" s="4" t="n"/>
      <c r="D110" s="5">
        <f>IF(A110="","",IF(ISNUMBER(A110),HOUR(A110),"Check time"))</f>
        <v/>
      </c>
    </row>
    <row r="111">
      <c r="A111" s="2" t="n"/>
      <c r="B111" s="3" t="n"/>
      <c r="C111" s="4" t="n"/>
      <c r="D111" s="5">
        <f>IF(A111="","",IF(ISNUMBER(A111),HOUR(A111),"Check time"))</f>
        <v/>
      </c>
    </row>
    <row r="112">
      <c r="A112" s="2" t="n"/>
      <c r="B112" s="3" t="n"/>
      <c r="C112" s="4" t="n"/>
      <c r="D112" s="5">
        <f>IF(A112="","",IF(ISNUMBER(A112),HOUR(A112),"Check time"))</f>
        <v/>
      </c>
    </row>
    <row r="113">
      <c r="A113" s="2" t="n"/>
      <c r="B113" s="3" t="n"/>
      <c r="C113" s="4" t="n"/>
      <c r="D113" s="5">
        <f>IF(A113="","",IF(ISNUMBER(A113),HOUR(A113),"Check time"))</f>
        <v/>
      </c>
    </row>
    <row r="114">
      <c r="A114" s="2" t="n"/>
      <c r="B114" s="3" t="n"/>
      <c r="C114" s="4" t="n"/>
      <c r="D114" s="5">
        <f>IF(A114="","",IF(ISNUMBER(A114),HOUR(A114),"Check time"))</f>
        <v/>
      </c>
    </row>
    <row r="115">
      <c r="A115" s="2" t="n"/>
      <c r="B115" s="3" t="n"/>
      <c r="C115" s="4" t="n"/>
      <c r="D115" s="5">
        <f>IF(A115="","",IF(ISNUMBER(A115),HOUR(A115),"Check time"))</f>
        <v/>
      </c>
    </row>
    <row r="116">
      <c r="A116" s="2" t="n"/>
      <c r="B116" s="3" t="n"/>
      <c r="C116" s="4" t="n"/>
      <c r="D116" s="5">
        <f>IF(A116="","",IF(ISNUMBER(A116),HOUR(A116),"Check time"))</f>
        <v/>
      </c>
    </row>
    <row r="117">
      <c r="A117" s="2" t="n"/>
      <c r="B117" s="3" t="n"/>
      <c r="C117" s="4" t="n"/>
      <c r="D117" s="5">
        <f>IF(A117="","",IF(ISNUMBER(A117),HOUR(A117),"Check time"))</f>
        <v/>
      </c>
    </row>
    <row r="118">
      <c r="A118" s="2" t="n"/>
      <c r="B118" s="3" t="n"/>
      <c r="C118" s="4" t="n"/>
      <c r="D118" s="5">
        <f>IF(A118="","",IF(ISNUMBER(A118),HOUR(A118),"Check time"))</f>
        <v/>
      </c>
    </row>
    <row r="119">
      <c r="A119" s="2" t="n"/>
      <c r="B119" s="3" t="n"/>
      <c r="C119" s="4" t="n"/>
      <c r="D119" s="5">
        <f>IF(A119="","",IF(ISNUMBER(A119),HOUR(A119),"Check time"))</f>
        <v/>
      </c>
    </row>
    <row r="120">
      <c r="A120" s="2" t="n"/>
      <c r="B120" s="3" t="n"/>
      <c r="C120" s="4" t="n"/>
      <c r="D120" s="5">
        <f>IF(A120="","",IF(ISNUMBER(A120),HOUR(A120),"Check time"))</f>
        <v/>
      </c>
    </row>
    <row r="121">
      <c r="A121" s="2" t="n"/>
      <c r="B121" s="3" t="n"/>
      <c r="C121" s="4" t="n"/>
      <c r="D121" s="5">
        <f>IF(A121="","",IF(ISNUMBER(A121),HOUR(A121),"Check time"))</f>
        <v/>
      </c>
    </row>
    <row r="122">
      <c r="A122" s="2" t="n"/>
      <c r="B122" s="3" t="n"/>
      <c r="C122" s="4" t="n"/>
      <c r="D122" s="5">
        <f>IF(A122="","",IF(ISNUMBER(A122),HOUR(A122),"Check time"))</f>
        <v/>
      </c>
    </row>
    <row r="123">
      <c r="A123" s="2" t="n"/>
      <c r="B123" s="3" t="n"/>
      <c r="C123" s="4" t="n"/>
      <c r="D123" s="5">
        <f>IF(A123="","",IF(ISNUMBER(A123),HOUR(A123),"Check time"))</f>
        <v/>
      </c>
    </row>
    <row r="124">
      <c r="A124" s="2" t="n"/>
      <c r="B124" s="3" t="n"/>
      <c r="C124" s="4" t="n"/>
      <c r="D124" s="5">
        <f>IF(A124="","",IF(ISNUMBER(A124),HOUR(A124),"Check time"))</f>
        <v/>
      </c>
    </row>
    <row r="125">
      <c r="A125" s="2" t="n"/>
      <c r="B125" s="3" t="n"/>
      <c r="C125" s="4" t="n"/>
      <c r="D125" s="5">
        <f>IF(A125="","",IF(ISNUMBER(A125),HOUR(A125),"Check time"))</f>
        <v/>
      </c>
    </row>
    <row r="126">
      <c r="A126" s="2" t="n"/>
      <c r="B126" s="3" t="n"/>
      <c r="C126" s="4" t="n"/>
      <c r="D126" s="5">
        <f>IF(A126="","",IF(ISNUMBER(A126),HOUR(A126),"Check time"))</f>
        <v/>
      </c>
    </row>
    <row r="127">
      <c r="A127" s="2" t="n"/>
      <c r="B127" s="3" t="n"/>
      <c r="C127" s="4" t="n"/>
      <c r="D127" s="5">
        <f>IF(A127="","",IF(ISNUMBER(A127),HOUR(A127),"Check time"))</f>
        <v/>
      </c>
    </row>
    <row r="128">
      <c r="A128" s="2" t="n"/>
      <c r="B128" s="3" t="n"/>
      <c r="C128" s="4" t="n"/>
      <c r="D128" s="5">
        <f>IF(A128="","",IF(ISNUMBER(A128),HOUR(A128),"Check time"))</f>
        <v/>
      </c>
    </row>
    <row r="129">
      <c r="A129" s="2" t="n"/>
      <c r="B129" s="3" t="n"/>
      <c r="C129" s="4" t="n"/>
      <c r="D129" s="5">
        <f>IF(A129="","",IF(ISNUMBER(A129),HOUR(A129),"Check time"))</f>
        <v/>
      </c>
    </row>
    <row r="130">
      <c r="A130" s="2" t="n"/>
      <c r="B130" s="3" t="n"/>
      <c r="C130" s="4" t="n"/>
      <c r="D130" s="5">
        <f>IF(A130="","",IF(ISNUMBER(A130),HOUR(A130),"Check time"))</f>
        <v/>
      </c>
    </row>
    <row r="131">
      <c r="A131" s="2" t="n"/>
      <c r="B131" s="3" t="n"/>
      <c r="C131" s="4" t="n"/>
      <c r="D131" s="5">
        <f>IF(A131="","",IF(ISNUMBER(A131),HOUR(A131),"Check time"))</f>
        <v/>
      </c>
    </row>
    <row r="132">
      <c r="A132" s="2" t="n"/>
      <c r="B132" s="3" t="n"/>
      <c r="C132" s="4" t="n"/>
      <c r="D132" s="5">
        <f>IF(A132="","",IF(ISNUMBER(A132),HOUR(A132),"Check time"))</f>
        <v/>
      </c>
    </row>
    <row r="133">
      <c r="A133" s="2" t="n"/>
      <c r="B133" s="3" t="n"/>
      <c r="C133" s="4" t="n"/>
      <c r="D133" s="5">
        <f>IF(A133="","",IF(ISNUMBER(A133),HOUR(A133),"Check time"))</f>
        <v/>
      </c>
    </row>
    <row r="134">
      <c r="A134" s="2" t="n"/>
      <c r="B134" s="3" t="n"/>
      <c r="C134" s="4" t="n"/>
      <c r="D134" s="5">
        <f>IF(A134="","",IF(ISNUMBER(A134),HOUR(A134),"Check time"))</f>
        <v/>
      </c>
    </row>
    <row r="135">
      <c r="A135" s="2" t="n"/>
      <c r="B135" s="3" t="n"/>
      <c r="C135" s="4" t="n"/>
      <c r="D135" s="5">
        <f>IF(A135="","",IF(ISNUMBER(A135),HOUR(A135),"Check time"))</f>
        <v/>
      </c>
    </row>
    <row r="136">
      <c r="A136" s="2" t="n"/>
      <c r="B136" s="3" t="n"/>
      <c r="C136" s="4" t="n"/>
      <c r="D136" s="5">
        <f>IF(A136="","",IF(ISNUMBER(A136),HOUR(A136),"Check time"))</f>
        <v/>
      </c>
    </row>
    <row r="137">
      <c r="A137" s="2" t="n"/>
      <c r="B137" s="3" t="n"/>
      <c r="C137" s="4" t="n"/>
      <c r="D137" s="5">
        <f>IF(A137="","",IF(ISNUMBER(A137),HOUR(A137),"Check time"))</f>
        <v/>
      </c>
    </row>
    <row r="138">
      <c r="A138" s="2" t="n"/>
      <c r="B138" s="3" t="n"/>
      <c r="C138" s="4" t="n"/>
      <c r="D138" s="5">
        <f>IF(A138="","",IF(ISNUMBER(A138),HOUR(A138),"Check time"))</f>
        <v/>
      </c>
    </row>
    <row r="139">
      <c r="A139" s="2" t="n"/>
      <c r="B139" s="3" t="n"/>
      <c r="C139" s="4" t="n"/>
      <c r="D139" s="5">
        <f>IF(A139="","",IF(ISNUMBER(A139),HOUR(A139),"Check time"))</f>
        <v/>
      </c>
    </row>
    <row r="140">
      <c r="A140" s="2" t="n"/>
      <c r="B140" s="3" t="n"/>
      <c r="C140" s="4" t="n"/>
      <c r="D140" s="5">
        <f>IF(A140="","",IF(ISNUMBER(A140),HOUR(A140),"Check time"))</f>
        <v/>
      </c>
    </row>
    <row r="141">
      <c r="A141" s="2" t="n"/>
      <c r="B141" s="3" t="n"/>
      <c r="C141" s="4" t="n"/>
      <c r="D141" s="5">
        <f>IF(A141="","",IF(ISNUMBER(A141),HOUR(A141),"Check time"))</f>
        <v/>
      </c>
    </row>
    <row r="142">
      <c r="A142" s="2" t="n"/>
      <c r="B142" s="3" t="n"/>
      <c r="C142" s="4" t="n"/>
      <c r="D142" s="5">
        <f>IF(A142="","",IF(ISNUMBER(A142),HOUR(A142),"Check time"))</f>
        <v/>
      </c>
    </row>
    <row r="143">
      <c r="A143" s="2" t="n"/>
      <c r="B143" s="3" t="n"/>
      <c r="C143" s="4" t="n"/>
      <c r="D143" s="5">
        <f>IF(A143="","",IF(ISNUMBER(A143),HOUR(A143),"Check time"))</f>
        <v/>
      </c>
    </row>
    <row r="144">
      <c r="A144" s="2" t="n"/>
      <c r="B144" s="3" t="n"/>
      <c r="C144" s="4" t="n"/>
      <c r="D144" s="5">
        <f>IF(A144="","",IF(ISNUMBER(A144),HOUR(A144),"Check time"))</f>
        <v/>
      </c>
    </row>
    <row r="145">
      <c r="A145" s="2" t="n"/>
      <c r="B145" s="3" t="n"/>
      <c r="C145" s="4" t="n"/>
      <c r="D145" s="5">
        <f>IF(A145="","",IF(ISNUMBER(A145),HOUR(A145),"Check time"))</f>
        <v/>
      </c>
    </row>
    <row r="146">
      <c r="A146" s="2" t="n"/>
      <c r="B146" s="3" t="n"/>
      <c r="C146" s="4" t="n"/>
      <c r="D146" s="5">
        <f>IF(A146="","",IF(ISNUMBER(A146),HOUR(A146),"Check time"))</f>
        <v/>
      </c>
    </row>
    <row r="147">
      <c r="A147" s="2" t="n"/>
      <c r="B147" s="3" t="n"/>
      <c r="C147" s="4" t="n"/>
      <c r="D147" s="5">
        <f>IF(A147="","",IF(ISNUMBER(A147),HOUR(A147),"Check time"))</f>
        <v/>
      </c>
    </row>
    <row r="148">
      <c r="A148" s="2" t="n"/>
      <c r="B148" s="3" t="n"/>
      <c r="C148" s="4" t="n"/>
      <c r="D148" s="5">
        <f>IF(A148="","",IF(ISNUMBER(A148),HOUR(A148),"Check time"))</f>
        <v/>
      </c>
    </row>
    <row r="149">
      <c r="A149" s="2" t="n"/>
      <c r="B149" s="3" t="n"/>
      <c r="C149" s="4" t="n"/>
      <c r="D149" s="5">
        <f>IF(A149="","",IF(ISNUMBER(A149),HOUR(A149),"Check time"))</f>
        <v/>
      </c>
    </row>
    <row r="150">
      <c r="A150" s="2" t="n"/>
      <c r="B150" s="3" t="n"/>
      <c r="C150" s="4" t="n"/>
      <c r="D150" s="5">
        <f>IF(A150="","",IF(ISNUMBER(A150),HOUR(A150),"Check time"))</f>
        <v/>
      </c>
    </row>
    <row r="151">
      <c r="A151" s="2" t="n"/>
      <c r="B151" s="3" t="n"/>
      <c r="C151" s="4" t="n"/>
      <c r="D151" s="5">
        <f>IF(A151="","",IF(ISNUMBER(A151),HOUR(A151),"Check time"))</f>
        <v/>
      </c>
    </row>
    <row r="152">
      <c r="A152" s="2" t="n"/>
      <c r="B152" s="3" t="n"/>
      <c r="C152" s="4" t="n"/>
      <c r="D152" s="5">
        <f>IF(A152="","",IF(ISNUMBER(A152),HOUR(A152),"Check time"))</f>
        <v/>
      </c>
    </row>
    <row r="153">
      <c r="A153" s="2" t="n"/>
      <c r="B153" s="3" t="n"/>
      <c r="C153" s="4" t="n"/>
      <c r="D153" s="5">
        <f>IF(A153="","",IF(ISNUMBER(A153),HOUR(A153),"Check time"))</f>
        <v/>
      </c>
    </row>
    <row r="154">
      <c r="A154" s="2" t="n"/>
      <c r="B154" s="3" t="n"/>
      <c r="C154" s="4" t="n"/>
      <c r="D154" s="5">
        <f>IF(A154="","",IF(ISNUMBER(A154),HOUR(A154),"Check time"))</f>
        <v/>
      </c>
    </row>
    <row r="155">
      <c r="A155" s="2" t="n"/>
      <c r="B155" s="3" t="n"/>
      <c r="C155" s="4" t="n"/>
      <c r="D155" s="5">
        <f>IF(A155="","",IF(ISNUMBER(A155),HOUR(A155),"Check time"))</f>
        <v/>
      </c>
    </row>
    <row r="156">
      <c r="A156" s="2" t="n"/>
      <c r="B156" s="3" t="n"/>
      <c r="C156" s="4" t="n"/>
      <c r="D156" s="5">
        <f>IF(A156="","",IF(ISNUMBER(A156),HOUR(A156),"Check time"))</f>
        <v/>
      </c>
    </row>
    <row r="157">
      <c r="A157" s="2" t="n"/>
      <c r="B157" s="3" t="n"/>
      <c r="C157" s="4" t="n"/>
      <c r="D157" s="5">
        <f>IF(A157="","",IF(ISNUMBER(A157),HOUR(A157),"Check time"))</f>
        <v/>
      </c>
    </row>
    <row r="158">
      <c r="A158" s="2" t="n"/>
      <c r="B158" s="3" t="n"/>
      <c r="C158" s="4" t="n"/>
      <c r="D158" s="5">
        <f>IF(A158="","",IF(ISNUMBER(A158),HOUR(A158),"Check time"))</f>
        <v/>
      </c>
    </row>
    <row r="159">
      <c r="A159" s="2" t="n"/>
      <c r="B159" s="3" t="n"/>
      <c r="C159" s="4" t="n"/>
      <c r="D159" s="5">
        <f>IF(A159="","",IF(ISNUMBER(A159),HOUR(A159),"Check time"))</f>
        <v/>
      </c>
    </row>
    <row r="160">
      <c r="A160" s="2" t="n"/>
      <c r="B160" s="3" t="n"/>
      <c r="C160" s="4" t="n"/>
      <c r="D160" s="5">
        <f>IF(A160="","",IF(ISNUMBER(A160),HOUR(A160),"Check time"))</f>
        <v/>
      </c>
    </row>
    <row r="161">
      <c r="A161" s="2" t="n"/>
      <c r="B161" s="3" t="n"/>
      <c r="C161" s="4" t="n"/>
      <c r="D161" s="5">
        <f>IF(A161="","",IF(ISNUMBER(A161),HOUR(A161),"Check time"))</f>
        <v/>
      </c>
    </row>
    <row r="162">
      <c r="A162" s="2" t="n"/>
      <c r="B162" s="3" t="n"/>
      <c r="C162" s="4" t="n"/>
      <c r="D162" s="5">
        <f>IF(A162="","",IF(ISNUMBER(A162),HOUR(A162),"Check time"))</f>
        <v/>
      </c>
    </row>
    <row r="163">
      <c r="A163" s="2" t="n"/>
      <c r="B163" s="3" t="n"/>
      <c r="C163" s="4" t="n"/>
      <c r="D163" s="5">
        <f>IF(A163="","",IF(ISNUMBER(A163),HOUR(A163),"Check time"))</f>
        <v/>
      </c>
    </row>
    <row r="164">
      <c r="A164" s="2" t="n"/>
      <c r="B164" s="3" t="n"/>
      <c r="C164" s="4" t="n"/>
      <c r="D164" s="5">
        <f>IF(A164="","",IF(ISNUMBER(A164),HOUR(A164),"Check time"))</f>
        <v/>
      </c>
    </row>
    <row r="165">
      <c r="A165" s="2" t="n"/>
      <c r="B165" s="3" t="n"/>
      <c r="C165" s="4" t="n"/>
      <c r="D165" s="5">
        <f>IF(A165="","",IF(ISNUMBER(A165),HOUR(A165),"Check time"))</f>
        <v/>
      </c>
    </row>
    <row r="166">
      <c r="A166" s="2" t="n"/>
      <c r="B166" s="3" t="n"/>
      <c r="C166" s="4" t="n"/>
      <c r="D166" s="5">
        <f>IF(A166="","",IF(ISNUMBER(A166),HOUR(A166),"Check time"))</f>
        <v/>
      </c>
    </row>
    <row r="167">
      <c r="A167" s="2" t="n"/>
      <c r="B167" s="3" t="n"/>
      <c r="C167" s="4" t="n"/>
      <c r="D167" s="5">
        <f>IF(A167="","",IF(ISNUMBER(A167),HOUR(A167),"Check time"))</f>
        <v/>
      </c>
    </row>
    <row r="168">
      <c r="A168" s="2" t="n"/>
      <c r="B168" s="3" t="n"/>
      <c r="C168" s="4" t="n"/>
      <c r="D168" s="5">
        <f>IF(A168="","",IF(ISNUMBER(A168),HOUR(A168),"Check time"))</f>
        <v/>
      </c>
    </row>
    <row r="169">
      <c r="A169" s="2" t="n"/>
      <c r="B169" s="3" t="n"/>
      <c r="C169" s="4" t="n"/>
      <c r="D169" s="5">
        <f>IF(A169="","",IF(ISNUMBER(A169),HOUR(A169),"Check time"))</f>
        <v/>
      </c>
    </row>
    <row r="170">
      <c r="A170" s="2" t="n"/>
      <c r="B170" s="3" t="n"/>
      <c r="C170" s="4" t="n"/>
      <c r="D170" s="5">
        <f>IF(A170="","",IF(ISNUMBER(A170),HOUR(A170),"Check time"))</f>
        <v/>
      </c>
    </row>
    <row r="171">
      <c r="A171" s="2" t="n"/>
      <c r="B171" s="3" t="n"/>
      <c r="C171" s="4" t="n"/>
      <c r="D171" s="5">
        <f>IF(A171="","",IF(ISNUMBER(A171),HOUR(A171),"Check time"))</f>
        <v/>
      </c>
    </row>
    <row r="172">
      <c r="A172" s="2" t="n"/>
      <c r="B172" s="3" t="n"/>
      <c r="C172" s="4" t="n"/>
      <c r="D172" s="5">
        <f>IF(A172="","",IF(ISNUMBER(A172),HOUR(A172),"Check time"))</f>
        <v/>
      </c>
    </row>
    <row r="173">
      <c r="A173" s="2" t="n"/>
      <c r="B173" s="3" t="n"/>
      <c r="C173" s="4" t="n"/>
      <c r="D173" s="5">
        <f>IF(A173="","",IF(ISNUMBER(A173),HOUR(A173),"Check time"))</f>
        <v/>
      </c>
    </row>
    <row r="174">
      <c r="A174" s="2" t="n"/>
      <c r="B174" s="3" t="n"/>
      <c r="C174" s="4" t="n"/>
      <c r="D174" s="5">
        <f>IF(A174="","",IF(ISNUMBER(A174),HOUR(A174),"Check time"))</f>
        <v/>
      </c>
    </row>
    <row r="175">
      <c r="A175" s="2" t="n"/>
      <c r="B175" s="3" t="n"/>
      <c r="C175" s="4" t="n"/>
      <c r="D175" s="5">
        <f>IF(A175="","",IF(ISNUMBER(A175),HOUR(A175),"Check time"))</f>
        <v/>
      </c>
    </row>
    <row r="176">
      <c r="A176" s="2" t="n"/>
      <c r="B176" s="3" t="n"/>
      <c r="C176" s="4" t="n"/>
      <c r="D176" s="5">
        <f>IF(A176="","",IF(ISNUMBER(A176),HOUR(A176),"Check time"))</f>
        <v/>
      </c>
    </row>
    <row r="177">
      <c r="A177" s="2" t="n"/>
      <c r="B177" s="3" t="n"/>
      <c r="C177" s="4" t="n"/>
      <c r="D177" s="5">
        <f>IF(A177="","",IF(ISNUMBER(A177),HOUR(A177),"Check time"))</f>
        <v/>
      </c>
    </row>
    <row r="178">
      <c r="A178" s="2" t="n"/>
      <c r="B178" s="3" t="n"/>
      <c r="C178" s="4" t="n"/>
      <c r="D178" s="5">
        <f>IF(A178="","",IF(ISNUMBER(A178),HOUR(A178),"Check time"))</f>
        <v/>
      </c>
    </row>
    <row r="179">
      <c r="A179" s="2" t="n"/>
      <c r="B179" s="3" t="n"/>
      <c r="C179" s="4" t="n"/>
      <c r="D179" s="5">
        <f>IF(A179="","",IF(ISNUMBER(A179),HOUR(A179),"Check time"))</f>
        <v/>
      </c>
    </row>
    <row r="180">
      <c r="A180" s="2" t="n"/>
      <c r="B180" s="3" t="n"/>
      <c r="C180" s="4" t="n"/>
      <c r="D180" s="5">
        <f>IF(A180="","",IF(ISNUMBER(A180),HOUR(A180),"Check time"))</f>
        <v/>
      </c>
    </row>
    <row r="181">
      <c r="A181" s="2" t="n"/>
      <c r="B181" s="3" t="n"/>
      <c r="C181" s="4" t="n"/>
      <c r="D181" s="5">
        <f>IF(A181="","",IF(ISNUMBER(A181),HOUR(A181),"Check time"))</f>
        <v/>
      </c>
    </row>
    <row r="182">
      <c r="A182" s="2" t="n"/>
      <c r="B182" s="3" t="n"/>
      <c r="C182" s="4" t="n"/>
      <c r="D182" s="5">
        <f>IF(A182="","",IF(ISNUMBER(A182),HOUR(A182),"Check time"))</f>
        <v/>
      </c>
    </row>
    <row r="183">
      <c r="A183" s="2" t="n"/>
      <c r="B183" s="3" t="n"/>
      <c r="C183" s="4" t="n"/>
      <c r="D183" s="5">
        <f>IF(A183="","",IF(ISNUMBER(A183),HOUR(A183),"Check time"))</f>
        <v/>
      </c>
    </row>
    <row r="184">
      <c r="A184" s="2" t="n"/>
      <c r="B184" s="3" t="n"/>
      <c r="C184" s="4" t="n"/>
      <c r="D184" s="5">
        <f>IF(A184="","",IF(ISNUMBER(A184),HOUR(A184),"Check time"))</f>
        <v/>
      </c>
    </row>
    <row r="185">
      <c r="A185" s="2" t="n"/>
      <c r="B185" s="3" t="n"/>
      <c r="C185" s="4" t="n"/>
      <c r="D185" s="5">
        <f>IF(A185="","",IF(ISNUMBER(A185),HOUR(A185),"Check time"))</f>
        <v/>
      </c>
    </row>
    <row r="186">
      <c r="A186" s="2" t="n"/>
      <c r="B186" s="3" t="n"/>
      <c r="C186" s="4" t="n"/>
      <c r="D186" s="5">
        <f>IF(A186="","",IF(ISNUMBER(A186),HOUR(A186),"Check time"))</f>
        <v/>
      </c>
    </row>
    <row r="187">
      <c r="A187" s="2" t="n"/>
      <c r="B187" s="3" t="n"/>
      <c r="C187" s="4" t="n"/>
      <c r="D187" s="5">
        <f>IF(A187="","",IF(ISNUMBER(A187),HOUR(A187),"Check time"))</f>
        <v/>
      </c>
    </row>
    <row r="188">
      <c r="A188" s="2" t="n"/>
      <c r="B188" s="3" t="n"/>
      <c r="C188" s="4" t="n"/>
      <c r="D188" s="5">
        <f>IF(A188="","",IF(ISNUMBER(A188),HOUR(A188),"Check time"))</f>
        <v/>
      </c>
    </row>
    <row r="189">
      <c r="A189" s="2" t="n"/>
      <c r="B189" s="3" t="n"/>
      <c r="C189" s="4" t="n"/>
      <c r="D189" s="5">
        <f>IF(A189="","",IF(ISNUMBER(A189),HOUR(A189),"Check time"))</f>
        <v/>
      </c>
    </row>
    <row r="190">
      <c r="A190" s="2" t="n"/>
      <c r="B190" s="3" t="n"/>
      <c r="C190" s="4" t="n"/>
      <c r="D190" s="5">
        <f>IF(A190="","",IF(ISNUMBER(A190),HOUR(A190),"Check time"))</f>
        <v/>
      </c>
    </row>
    <row r="191">
      <c r="A191" s="2" t="n"/>
      <c r="B191" s="3" t="n"/>
      <c r="C191" s="4" t="n"/>
      <c r="D191" s="5">
        <f>IF(A191="","",IF(ISNUMBER(A191),HOUR(A191),"Check time"))</f>
        <v/>
      </c>
    </row>
    <row r="192">
      <c r="A192" s="2" t="n"/>
      <c r="B192" s="3" t="n"/>
      <c r="C192" s="4" t="n"/>
      <c r="D192" s="5">
        <f>IF(A192="","",IF(ISNUMBER(A192),HOUR(A192),"Check time"))</f>
        <v/>
      </c>
    </row>
    <row r="193">
      <c r="A193" s="2" t="n"/>
      <c r="B193" s="3" t="n"/>
      <c r="C193" s="4" t="n"/>
      <c r="D193" s="5">
        <f>IF(A193="","",IF(ISNUMBER(A193),HOUR(A193),"Check time"))</f>
        <v/>
      </c>
    </row>
    <row r="194">
      <c r="A194" s="2" t="n"/>
      <c r="B194" s="3" t="n"/>
      <c r="C194" s="4" t="n"/>
      <c r="D194" s="5">
        <f>IF(A194="","",IF(ISNUMBER(A194),HOUR(A194),"Check time"))</f>
        <v/>
      </c>
    </row>
    <row r="195">
      <c r="A195" s="2" t="n"/>
      <c r="B195" s="3" t="n"/>
      <c r="C195" s="4" t="n"/>
      <c r="D195" s="5">
        <f>IF(A195="","",IF(ISNUMBER(A195),HOUR(A195),"Check time"))</f>
        <v/>
      </c>
    </row>
    <row r="196">
      <c r="A196" s="2" t="n"/>
      <c r="B196" s="3" t="n"/>
      <c r="C196" s="4" t="n"/>
      <c r="D196" s="5">
        <f>IF(A196="","",IF(ISNUMBER(A196),HOUR(A196),"Check time"))</f>
        <v/>
      </c>
    </row>
    <row r="197">
      <c r="A197" s="2" t="n"/>
      <c r="B197" s="3" t="n"/>
      <c r="C197" s="4" t="n"/>
      <c r="D197" s="5">
        <f>IF(A197="","",IF(ISNUMBER(A197),HOUR(A197),"Check time"))</f>
        <v/>
      </c>
    </row>
    <row r="198">
      <c r="A198" s="2" t="n"/>
      <c r="B198" s="3" t="n"/>
      <c r="C198" s="4" t="n"/>
      <c r="D198" s="5">
        <f>IF(A198="","",IF(ISNUMBER(A198),HOUR(A198),"Check time"))</f>
        <v/>
      </c>
    </row>
    <row r="199">
      <c r="A199" s="2" t="n"/>
      <c r="B199" s="3" t="n"/>
      <c r="C199" s="4" t="n"/>
      <c r="D199" s="5">
        <f>IF(A199="","",IF(ISNUMBER(A199),HOUR(A199),"Check time"))</f>
        <v/>
      </c>
    </row>
    <row r="200">
      <c r="A200" s="2" t="n"/>
      <c r="B200" s="3" t="n"/>
      <c r="C200" s="4" t="n"/>
      <c r="D200" s="5">
        <f>IF(A200="","",IF(ISNUMBER(A200),HOUR(A200),"Check time"))</f>
        <v/>
      </c>
    </row>
    <row r="201">
      <c r="A201" s="2" t="n"/>
      <c r="B201" s="3" t="n"/>
      <c r="C201" s="4" t="n"/>
      <c r="D201" s="5">
        <f>IF(A201="","",IF(ISNUMBER(A201),HOUR(A201),"Check time"))</f>
        <v/>
      </c>
    </row>
    <row r="202">
      <c r="A202" s="2" t="n"/>
      <c r="B202" s="3" t="n"/>
      <c r="C202" s="4" t="n"/>
      <c r="D202" s="5">
        <f>IF(A202="","",IF(ISNUMBER(A202),HOUR(A202),"Check time"))</f>
        <v/>
      </c>
    </row>
    <row r="203">
      <c r="A203" s="2" t="n"/>
      <c r="B203" s="3" t="n"/>
      <c r="C203" s="4" t="n"/>
      <c r="D203" s="5">
        <f>IF(A203="","",IF(ISNUMBER(A203),HOUR(A203),"Check time"))</f>
        <v/>
      </c>
    </row>
    <row r="204">
      <c r="A204" s="2" t="n"/>
      <c r="B204" s="3" t="n"/>
      <c r="C204" s="4" t="n"/>
      <c r="D204" s="5">
        <f>IF(A204="","",IF(ISNUMBER(A204),HOUR(A204),"Check time"))</f>
        <v/>
      </c>
    </row>
    <row r="205">
      <c r="A205" s="2" t="n"/>
      <c r="B205" s="3" t="n"/>
      <c r="C205" s="4" t="n"/>
      <c r="D205" s="5">
        <f>IF(A205="","",IF(ISNUMBER(A205),HOUR(A205),"Check time"))</f>
        <v/>
      </c>
    </row>
    <row r="206">
      <c r="A206" s="2" t="n"/>
      <c r="B206" s="3" t="n"/>
      <c r="C206" s="4" t="n"/>
      <c r="D206" s="5">
        <f>IF(A206="","",IF(ISNUMBER(A206),HOUR(A206),"Check time"))</f>
        <v/>
      </c>
    </row>
    <row r="207">
      <c r="A207" s="2" t="n"/>
      <c r="B207" s="3" t="n"/>
      <c r="C207" s="4" t="n"/>
      <c r="D207" s="5">
        <f>IF(A207="","",IF(ISNUMBER(A207),HOUR(A207),"Check time"))</f>
        <v/>
      </c>
    </row>
    <row r="208">
      <c r="A208" s="2" t="n"/>
      <c r="B208" s="3" t="n"/>
      <c r="C208" s="4" t="n"/>
      <c r="D208" s="5">
        <f>IF(A208="","",IF(ISNUMBER(A208),HOUR(A208),"Check time"))</f>
        <v/>
      </c>
    </row>
    <row r="209">
      <c r="A209" s="2" t="n"/>
      <c r="B209" s="3" t="n"/>
      <c r="C209" s="4" t="n"/>
      <c r="D209" s="5">
        <f>IF(A209="","",IF(ISNUMBER(A209),HOUR(A209),"Check time"))</f>
        <v/>
      </c>
    </row>
    <row r="210">
      <c r="A210" s="2" t="n"/>
      <c r="B210" s="3" t="n"/>
      <c r="C210" s="4" t="n"/>
      <c r="D210" s="5">
        <f>IF(A210="","",IF(ISNUMBER(A210),HOUR(A210),"Check time"))</f>
        <v/>
      </c>
    </row>
    <row r="211">
      <c r="A211" s="2" t="n"/>
      <c r="B211" s="3" t="n"/>
      <c r="C211" s="4" t="n"/>
      <c r="D211" s="5">
        <f>IF(A211="","",IF(ISNUMBER(A211),HOUR(A211),"Check time"))</f>
        <v/>
      </c>
    </row>
    <row r="212">
      <c r="A212" s="2" t="n"/>
      <c r="B212" s="3" t="n"/>
      <c r="C212" s="4" t="n"/>
      <c r="D212" s="5">
        <f>IF(A212="","",IF(ISNUMBER(A212),HOUR(A212),"Check time"))</f>
        <v/>
      </c>
    </row>
    <row r="213">
      <c r="A213" s="2" t="n"/>
      <c r="B213" s="3" t="n"/>
      <c r="C213" s="4" t="n"/>
      <c r="D213" s="5">
        <f>IF(A213="","",IF(ISNUMBER(A213),HOUR(A213),"Check time"))</f>
        <v/>
      </c>
    </row>
    <row r="214">
      <c r="A214" s="2" t="n"/>
      <c r="B214" s="3" t="n"/>
      <c r="C214" s="4" t="n"/>
      <c r="D214" s="5">
        <f>IF(A214="","",IF(ISNUMBER(A214),HOUR(A214),"Check time"))</f>
        <v/>
      </c>
    </row>
    <row r="215">
      <c r="A215" s="2" t="n"/>
      <c r="B215" s="3" t="n"/>
      <c r="C215" s="4" t="n"/>
      <c r="D215" s="5">
        <f>IF(A215="","",IF(ISNUMBER(A215),HOUR(A215),"Check time"))</f>
        <v/>
      </c>
    </row>
    <row r="216">
      <c r="A216" s="2" t="n"/>
      <c r="B216" s="3" t="n"/>
      <c r="C216" s="4" t="n"/>
      <c r="D216" s="5">
        <f>IF(A216="","",IF(ISNUMBER(A216),HOUR(A216),"Check time"))</f>
        <v/>
      </c>
    </row>
    <row r="217">
      <c r="A217" s="2" t="n"/>
      <c r="B217" s="3" t="n"/>
      <c r="C217" s="4" t="n"/>
      <c r="D217" s="5">
        <f>IF(A217="","",IF(ISNUMBER(A217),HOUR(A217),"Check time"))</f>
        <v/>
      </c>
    </row>
    <row r="218">
      <c r="A218" s="2" t="n"/>
      <c r="B218" s="3" t="n"/>
      <c r="C218" s="4" t="n"/>
      <c r="D218" s="5">
        <f>IF(A218="","",IF(ISNUMBER(A218),HOUR(A218),"Check time"))</f>
        <v/>
      </c>
    </row>
    <row r="219">
      <c r="A219" s="2" t="n"/>
      <c r="B219" s="3" t="n"/>
      <c r="C219" s="4" t="n"/>
      <c r="D219" s="5">
        <f>IF(A219="","",IF(ISNUMBER(A219),HOUR(A219),"Check time"))</f>
        <v/>
      </c>
    </row>
    <row r="220">
      <c r="A220" s="2" t="n"/>
      <c r="B220" s="3" t="n"/>
      <c r="C220" s="4" t="n"/>
      <c r="D220" s="5">
        <f>IF(A220="","",IF(ISNUMBER(A220),HOUR(A220),"Check time"))</f>
        <v/>
      </c>
    </row>
    <row r="221">
      <c r="A221" s="2" t="n"/>
      <c r="B221" s="3" t="n"/>
      <c r="C221" s="4" t="n"/>
      <c r="D221" s="5">
        <f>IF(A221="","",IF(ISNUMBER(A221),HOUR(A221),"Check time"))</f>
        <v/>
      </c>
    </row>
    <row r="222">
      <c r="A222" s="2" t="n"/>
      <c r="B222" s="3" t="n"/>
      <c r="C222" s="4" t="n"/>
      <c r="D222" s="5">
        <f>IF(A222="","",IF(ISNUMBER(A222),HOUR(A222),"Check time"))</f>
        <v/>
      </c>
    </row>
    <row r="223">
      <c r="A223" s="2" t="n"/>
      <c r="B223" s="3" t="n"/>
      <c r="C223" s="4" t="n"/>
      <c r="D223" s="5">
        <f>IF(A223="","",IF(ISNUMBER(A223),HOUR(A223),"Check time"))</f>
        <v/>
      </c>
    </row>
    <row r="224">
      <c r="A224" s="2" t="n"/>
      <c r="B224" s="3" t="n"/>
      <c r="C224" s="4" t="n"/>
      <c r="D224" s="5">
        <f>IF(A224="","",IF(ISNUMBER(A224),HOUR(A224),"Check time"))</f>
        <v/>
      </c>
    </row>
    <row r="225">
      <c r="A225" s="2" t="n"/>
      <c r="B225" s="3" t="n"/>
      <c r="C225" s="4" t="n"/>
      <c r="D225" s="5">
        <f>IF(A225="","",IF(ISNUMBER(A225),HOUR(A225),"Check time"))</f>
        <v/>
      </c>
    </row>
    <row r="226">
      <c r="A226" s="2" t="n"/>
      <c r="B226" s="3" t="n"/>
      <c r="C226" s="4" t="n"/>
      <c r="D226" s="5">
        <f>IF(A226="","",IF(ISNUMBER(A226),HOUR(A226),"Check time"))</f>
        <v/>
      </c>
    </row>
    <row r="227">
      <c r="A227" s="2" t="n"/>
      <c r="B227" s="3" t="n"/>
      <c r="C227" s="4" t="n"/>
      <c r="D227" s="5">
        <f>IF(A227="","",IF(ISNUMBER(A227),HOUR(A227),"Check time"))</f>
        <v/>
      </c>
    </row>
    <row r="228">
      <c r="A228" s="2" t="n"/>
      <c r="B228" s="3" t="n"/>
      <c r="C228" s="4" t="n"/>
      <c r="D228" s="5">
        <f>IF(A228="","",IF(ISNUMBER(A228),HOUR(A228),"Check time"))</f>
        <v/>
      </c>
    </row>
    <row r="229">
      <c r="A229" s="2" t="n"/>
      <c r="B229" s="3" t="n"/>
      <c r="C229" s="4" t="n"/>
      <c r="D229" s="5">
        <f>IF(A229="","",IF(ISNUMBER(A229),HOUR(A229),"Check time"))</f>
        <v/>
      </c>
    </row>
    <row r="230">
      <c r="A230" s="2" t="n"/>
      <c r="B230" s="3" t="n"/>
      <c r="C230" s="4" t="n"/>
      <c r="D230" s="5">
        <f>IF(A230="","",IF(ISNUMBER(A230),HOUR(A230),"Check time"))</f>
        <v/>
      </c>
    </row>
    <row r="231">
      <c r="A231" s="2" t="n"/>
      <c r="B231" s="3" t="n"/>
      <c r="C231" s="4" t="n"/>
      <c r="D231" s="5">
        <f>IF(A231="","",IF(ISNUMBER(A231),HOUR(A231),"Check time"))</f>
        <v/>
      </c>
    </row>
    <row r="232">
      <c r="A232" s="2" t="n"/>
      <c r="B232" s="3" t="n"/>
      <c r="C232" s="4" t="n"/>
      <c r="D232" s="5">
        <f>IF(A232="","",IF(ISNUMBER(A232),HOUR(A232),"Check time"))</f>
        <v/>
      </c>
    </row>
    <row r="233">
      <c r="A233" s="2" t="n"/>
      <c r="B233" s="3" t="n"/>
      <c r="C233" s="4" t="n"/>
      <c r="D233" s="5">
        <f>IF(A233="","",IF(ISNUMBER(A233),HOUR(A233),"Check time"))</f>
        <v/>
      </c>
    </row>
    <row r="234">
      <c r="A234" s="2" t="n"/>
      <c r="B234" s="3" t="n"/>
      <c r="C234" s="4" t="n"/>
      <c r="D234" s="5">
        <f>IF(A234="","",IF(ISNUMBER(A234),HOUR(A234),"Check time"))</f>
        <v/>
      </c>
    </row>
    <row r="235">
      <c r="A235" s="2" t="n"/>
      <c r="B235" s="3" t="n"/>
      <c r="C235" s="4" t="n"/>
      <c r="D235" s="5">
        <f>IF(A235="","",IF(ISNUMBER(A235),HOUR(A235),"Check time"))</f>
        <v/>
      </c>
    </row>
    <row r="236">
      <c r="A236" s="2" t="n"/>
      <c r="B236" s="3" t="n"/>
      <c r="C236" s="4" t="n"/>
      <c r="D236" s="5">
        <f>IF(A236="","",IF(ISNUMBER(A236),HOUR(A236),"Check time"))</f>
        <v/>
      </c>
    </row>
    <row r="237">
      <c r="A237" s="2" t="n"/>
      <c r="B237" s="3" t="n"/>
      <c r="C237" s="4" t="n"/>
      <c r="D237" s="5">
        <f>IF(A237="","",IF(ISNUMBER(A237),HOUR(A237),"Check time"))</f>
        <v/>
      </c>
    </row>
    <row r="238">
      <c r="A238" s="2" t="n"/>
      <c r="B238" s="3" t="n"/>
      <c r="C238" s="4" t="n"/>
      <c r="D238" s="5">
        <f>IF(A238="","",IF(ISNUMBER(A238),HOUR(A238),"Check time"))</f>
        <v/>
      </c>
    </row>
    <row r="239">
      <c r="A239" s="2" t="n"/>
      <c r="B239" s="3" t="n"/>
      <c r="C239" s="4" t="n"/>
      <c r="D239" s="5">
        <f>IF(A239="","",IF(ISNUMBER(A239),HOUR(A239),"Check time"))</f>
        <v/>
      </c>
    </row>
    <row r="240">
      <c r="A240" s="2" t="n"/>
      <c r="B240" s="3" t="n"/>
      <c r="C240" s="4" t="n"/>
      <c r="D240" s="5">
        <f>IF(A240="","",IF(ISNUMBER(A240),HOUR(A240),"Check time"))</f>
        <v/>
      </c>
    </row>
    <row r="241">
      <c r="A241" s="2" t="n"/>
      <c r="B241" s="3" t="n"/>
      <c r="C241" s="4" t="n"/>
      <c r="D241" s="5">
        <f>IF(A241="","",IF(ISNUMBER(A241),HOUR(A241),"Check time"))</f>
        <v/>
      </c>
    </row>
    <row r="242">
      <c r="A242" s="2" t="n"/>
      <c r="B242" s="3" t="n"/>
      <c r="C242" s="4" t="n"/>
      <c r="D242" s="5">
        <f>IF(A242="","",IF(ISNUMBER(A242),HOUR(A242),"Check time"))</f>
        <v/>
      </c>
    </row>
    <row r="243">
      <c r="A243" s="2" t="n"/>
      <c r="B243" s="3" t="n"/>
      <c r="C243" s="4" t="n"/>
      <c r="D243" s="5">
        <f>IF(A243="","",IF(ISNUMBER(A243),HOUR(A243),"Check time"))</f>
        <v/>
      </c>
    </row>
    <row r="244">
      <c r="A244" s="2" t="n"/>
      <c r="B244" s="3" t="n"/>
      <c r="C244" s="4" t="n"/>
      <c r="D244" s="5">
        <f>IF(A244="","",IF(ISNUMBER(A244),HOUR(A244),"Check time"))</f>
        <v/>
      </c>
    </row>
    <row r="245">
      <c r="A245" s="2" t="n"/>
      <c r="B245" s="3" t="n"/>
      <c r="C245" s="4" t="n"/>
      <c r="D245" s="5">
        <f>IF(A245="","",IF(ISNUMBER(A245),HOUR(A245),"Check time"))</f>
        <v/>
      </c>
    </row>
    <row r="246">
      <c r="A246" s="2" t="n"/>
      <c r="B246" s="3" t="n"/>
      <c r="C246" s="4" t="n"/>
      <c r="D246" s="5">
        <f>IF(A246="","",IF(ISNUMBER(A246),HOUR(A246),"Check time"))</f>
        <v/>
      </c>
    </row>
    <row r="247">
      <c r="A247" s="2" t="n"/>
      <c r="B247" s="3" t="n"/>
      <c r="C247" s="4" t="n"/>
      <c r="D247" s="5">
        <f>IF(A247="","",IF(ISNUMBER(A247),HOUR(A247),"Check time"))</f>
        <v/>
      </c>
    </row>
    <row r="248">
      <c r="A248" s="2" t="n"/>
      <c r="B248" s="3" t="n"/>
      <c r="C248" s="4" t="n"/>
      <c r="D248" s="5">
        <f>IF(A248="","",IF(ISNUMBER(A248),HOUR(A248),"Check time"))</f>
        <v/>
      </c>
    </row>
    <row r="249">
      <c r="A249" s="2" t="n"/>
      <c r="B249" s="3" t="n"/>
      <c r="C249" s="4" t="n"/>
      <c r="D249" s="5">
        <f>IF(A249="","",IF(ISNUMBER(A249),HOUR(A249),"Check time"))</f>
        <v/>
      </c>
    </row>
    <row r="250">
      <c r="A250" s="2" t="n"/>
      <c r="B250" s="3" t="n"/>
      <c r="C250" s="4" t="n"/>
      <c r="D250" s="5">
        <f>IF(A250="","",IF(ISNUMBER(A250),HOUR(A250),"Check time"))</f>
        <v/>
      </c>
    </row>
    <row r="251">
      <c r="A251" s="2" t="n"/>
      <c r="B251" s="3" t="n"/>
      <c r="C251" s="4" t="n"/>
      <c r="D251" s="5">
        <f>IF(A251="","",IF(ISNUMBER(A251),HOUR(A251),"Check time"))</f>
        <v/>
      </c>
    </row>
    <row r="252">
      <c r="A252" s="2" t="n"/>
      <c r="B252" s="3" t="n"/>
      <c r="C252" s="4" t="n"/>
      <c r="D252" s="5">
        <f>IF(A252="","",IF(ISNUMBER(A252),HOUR(A252),"Check time"))</f>
        <v/>
      </c>
    </row>
    <row r="253">
      <c r="A253" s="2" t="n"/>
      <c r="B253" s="3" t="n"/>
      <c r="C253" s="4" t="n"/>
      <c r="D253" s="5">
        <f>IF(A253="","",IF(ISNUMBER(A253),HOUR(A253),"Check time"))</f>
        <v/>
      </c>
    </row>
    <row r="254">
      <c r="A254" s="2" t="n"/>
      <c r="B254" s="3" t="n"/>
      <c r="C254" s="4" t="n"/>
      <c r="D254" s="5">
        <f>IF(A254="","",IF(ISNUMBER(A254),HOUR(A254),"Check time"))</f>
        <v/>
      </c>
    </row>
    <row r="255">
      <c r="A255" s="2" t="n"/>
      <c r="B255" s="3" t="n"/>
      <c r="C255" s="4" t="n"/>
      <c r="D255" s="5">
        <f>IF(A255="","",IF(ISNUMBER(A255),HOUR(A255),"Check time"))</f>
        <v/>
      </c>
    </row>
    <row r="256">
      <c r="A256" s="2" t="n"/>
      <c r="B256" s="3" t="n"/>
      <c r="C256" s="4" t="n"/>
      <c r="D256" s="5">
        <f>IF(A256="","",IF(ISNUMBER(A256),HOUR(A256),"Check time"))</f>
        <v/>
      </c>
    </row>
    <row r="257">
      <c r="A257" s="2" t="n"/>
      <c r="B257" s="3" t="n"/>
      <c r="C257" s="4" t="n"/>
      <c r="D257" s="5">
        <f>IF(A257="","",IF(ISNUMBER(A257),HOUR(A257),"Check time"))</f>
        <v/>
      </c>
    </row>
    <row r="258">
      <c r="A258" s="2" t="n"/>
      <c r="B258" s="3" t="n"/>
      <c r="C258" s="4" t="n"/>
      <c r="D258" s="5">
        <f>IF(A258="","",IF(ISNUMBER(A258),HOUR(A258),"Check time"))</f>
        <v/>
      </c>
    </row>
    <row r="259">
      <c r="A259" s="2" t="n"/>
      <c r="B259" s="3" t="n"/>
      <c r="C259" s="4" t="n"/>
      <c r="D259" s="5">
        <f>IF(A259="","",IF(ISNUMBER(A259),HOUR(A259),"Check time"))</f>
        <v/>
      </c>
    </row>
    <row r="260">
      <c r="A260" s="2" t="n"/>
      <c r="B260" s="3" t="n"/>
      <c r="C260" s="4" t="n"/>
      <c r="D260" s="5">
        <f>IF(A260="","",IF(ISNUMBER(A260),HOUR(A260),"Check time"))</f>
        <v/>
      </c>
    </row>
    <row r="261">
      <c r="A261" s="2" t="n"/>
      <c r="B261" s="3" t="n"/>
      <c r="C261" s="4" t="n"/>
      <c r="D261" s="5">
        <f>IF(A261="","",IF(ISNUMBER(A261),HOUR(A261),"Check time"))</f>
        <v/>
      </c>
    </row>
    <row r="262">
      <c r="A262" s="2" t="n"/>
      <c r="B262" s="3" t="n"/>
      <c r="C262" s="4" t="n"/>
      <c r="D262" s="5">
        <f>IF(A262="","",IF(ISNUMBER(A262),HOUR(A262),"Check time"))</f>
        <v/>
      </c>
    </row>
    <row r="263">
      <c r="A263" s="2" t="n"/>
      <c r="B263" s="3" t="n"/>
      <c r="C263" s="4" t="n"/>
      <c r="D263" s="5">
        <f>IF(A263="","",IF(ISNUMBER(A263),HOUR(A263),"Check time"))</f>
        <v/>
      </c>
    </row>
    <row r="264">
      <c r="A264" s="2" t="n"/>
      <c r="B264" s="3" t="n"/>
      <c r="C264" s="4" t="n"/>
      <c r="D264" s="5">
        <f>IF(A264="","",IF(ISNUMBER(A264),HOUR(A264),"Check time"))</f>
        <v/>
      </c>
    </row>
    <row r="265">
      <c r="A265" s="2" t="n"/>
      <c r="B265" s="3" t="n"/>
      <c r="C265" s="4" t="n"/>
      <c r="D265" s="5">
        <f>IF(A265="","",IF(ISNUMBER(A265),HOUR(A265),"Check time"))</f>
        <v/>
      </c>
    </row>
    <row r="266">
      <c r="A266" s="2" t="n"/>
      <c r="B266" s="3" t="n"/>
      <c r="C266" s="4" t="n"/>
      <c r="D266" s="5">
        <f>IF(A266="","",IF(ISNUMBER(A266),HOUR(A266),"Check time"))</f>
        <v/>
      </c>
    </row>
    <row r="267">
      <c r="A267" s="2" t="n"/>
      <c r="B267" s="3" t="n"/>
      <c r="C267" s="4" t="n"/>
      <c r="D267" s="5">
        <f>IF(A267="","",IF(ISNUMBER(A267),HOUR(A267),"Check time"))</f>
        <v/>
      </c>
    </row>
    <row r="268">
      <c r="A268" s="2" t="n"/>
      <c r="B268" s="3" t="n"/>
      <c r="C268" s="4" t="n"/>
      <c r="D268" s="5">
        <f>IF(A268="","",IF(ISNUMBER(A268),HOUR(A268),"Check time"))</f>
        <v/>
      </c>
    </row>
    <row r="269">
      <c r="A269" s="2" t="n"/>
      <c r="B269" s="3" t="n"/>
      <c r="C269" s="4" t="n"/>
      <c r="D269" s="5">
        <f>IF(A269="","",IF(ISNUMBER(A269),HOUR(A269),"Check time"))</f>
        <v/>
      </c>
    </row>
    <row r="270">
      <c r="A270" s="2" t="n"/>
      <c r="B270" s="3" t="n"/>
      <c r="C270" s="4" t="n"/>
      <c r="D270" s="5">
        <f>IF(A270="","",IF(ISNUMBER(A270),HOUR(A270),"Check time"))</f>
        <v/>
      </c>
    </row>
    <row r="271">
      <c r="A271" s="2" t="n"/>
      <c r="B271" s="3" t="n"/>
      <c r="C271" s="4" t="n"/>
      <c r="D271" s="5">
        <f>IF(A271="","",IF(ISNUMBER(A271),HOUR(A271),"Check time"))</f>
        <v/>
      </c>
    </row>
    <row r="272">
      <c r="A272" s="2" t="n"/>
      <c r="B272" s="3" t="n"/>
      <c r="C272" s="4" t="n"/>
      <c r="D272" s="5">
        <f>IF(A272="","",IF(ISNUMBER(A272),HOUR(A272),"Check time"))</f>
        <v/>
      </c>
    </row>
    <row r="273">
      <c r="A273" s="2" t="n"/>
      <c r="B273" s="3" t="n"/>
      <c r="C273" s="4" t="n"/>
      <c r="D273" s="5">
        <f>IF(A273="","",IF(ISNUMBER(A273),HOUR(A273),"Check time"))</f>
        <v/>
      </c>
    </row>
    <row r="274">
      <c r="A274" s="2" t="n"/>
      <c r="B274" s="3" t="n"/>
      <c r="C274" s="4" t="n"/>
      <c r="D274" s="5">
        <f>IF(A274="","",IF(ISNUMBER(A274),HOUR(A274),"Check time"))</f>
        <v/>
      </c>
    </row>
    <row r="275">
      <c r="A275" s="2" t="n"/>
      <c r="B275" s="3" t="n"/>
      <c r="C275" s="4" t="n"/>
      <c r="D275" s="5">
        <f>IF(A275="","",IF(ISNUMBER(A275),HOUR(A275),"Check time"))</f>
        <v/>
      </c>
    </row>
    <row r="276">
      <c r="A276" s="2" t="n"/>
      <c r="B276" s="3" t="n"/>
      <c r="C276" s="4" t="n"/>
      <c r="D276" s="5">
        <f>IF(A276="","",IF(ISNUMBER(A276),HOUR(A276),"Check time"))</f>
        <v/>
      </c>
    </row>
    <row r="277">
      <c r="A277" s="2" t="n"/>
      <c r="B277" s="3" t="n"/>
      <c r="C277" s="4" t="n"/>
      <c r="D277" s="5">
        <f>IF(A277="","",IF(ISNUMBER(A277),HOUR(A277),"Check time"))</f>
        <v/>
      </c>
    </row>
    <row r="278">
      <c r="A278" s="2" t="n"/>
      <c r="B278" s="3" t="n"/>
      <c r="C278" s="4" t="n"/>
      <c r="D278" s="5">
        <f>IF(A278="","",IF(ISNUMBER(A278),HOUR(A278),"Check time"))</f>
        <v/>
      </c>
    </row>
    <row r="279">
      <c r="A279" s="2" t="n"/>
      <c r="B279" s="3" t="n"/>
      <c r="C279" s="4" t="n"/>
      <c r="D279" s="5">
        <f>IF(A279="","",IF(ISNUMBER(A279),HOUR(A279),"Check time"))</f>
        <v/>
      </c>
    </row>
    <row r="280">
      <c r="A280" s="2" t="n"/>
      <c r="B280" s="3" t="n"/>
      <c r="C280" s="4" t="n"/>
      <c r="D280" s="5">
        <f>IF(A280="","",IF(ISNUMBER(A280),HOUR(A280),"Check time"))</f>
        <v/>
      </c>
    </row>
    <row r="281">
      <c r="A281" s="2" t="n"/>
      <c r="B281" s="3" t="n"/>
      <c r="C281" s="4" t="n"/>
      <c r="D281" s="5">
        <f>IF(A281="","",IF(ISNUMBER(A281),HOUR(A281),"Check time"))</f>
        <v/>
      </c>
    </row>
    <row r="282">
      <c r="A282" s="2" t="n"/>
      <c r="B282" s="3" t="n"/>
      <c r="C282" s="4" t="n"/>
      <c r="D282" s="5">
        <f>IF(A282="","",IF(ISNUMBER(A282),HOUR(A282),"Check time"))</f>
        <v/>
      </c>
    </row>
    <row r="283">
      <c r="A283" s="2" t="n"/>
      <c r="B283" s="3" t="n"/>
      <c r="C283" s="4" t="n"/>
      <c r="D283" s="5">
        <f>IF(A283="","",IF(ISNUMBER(A283),HOUR(A283),"Check time"))</f>
        <v/>
      </c>
    </row>
    <row r="284">
      <c r="A284" s="2" t="n"/>
      <c r="B284" s="3" t="n"/>
      <c r="C284" s="4" t="n"/>
      <c r="D284" s="5">
        <f>IF(A284="","",IF(ISNUMBER(A284),HOUR(A284),"Check time"))</f>
        <v/>
      </c>
    </row>
    <row r="285">
      <c r="A285" s="2" t="n"/>
      <c r="B285" s="3" t="n"/>
      <c r="C285" s="4" t="n"/>
      <c r="D285" s="5">
        <f>IF(A285="","",IF(ISNUMBER(A285),HOUR(A285),"Check time"))</f>
        <v/>
      </c>
    </row>
    <row r="286">
      <c r="A286" s="2" t="n"/>
      <c r="B286" s="3" t="n"/>
      <c r="C286" s="4" t="n"/>
      <c r="D286" s="5">
        <f>IF(A286="","",IF(ISNUMBER(A286),HOUR(A286),"Check time"))</f>
        <v/>
      </c>
    </row>
    <row r="287">
      <c r="A287" s="2" t="n"/>
      <c r="B287" s="3" t="n"/>
      <c r="C287" s="4" t="n"/>
      <c r="D287" s="5">
        <f>IF(A287="","",IF(ISNUMBER(A287),HOUR(A287),"Check time"))</f>
        <v/>
      </c>
    </row>
    <row r="288">
      <c r="A288" s="2" t="n"/>
      <c r="B288" s="3" t="n"/>
      <c r="C288" s="4" t="n"/>
      <c r="D288" s="5">
        <f>IF(A288="","",IF(ISNUMBER(A288),HOUR(A288),"Check time"))</f>
        <v/>
      </c>
    </row>
    <row r="289">
      <c r="A289" s="2" t="n"/>
      <c r="B289" s="3" t="n"/>
      <c r="C289" s="4" t="n"/>
      <c r="D289" s="5">
        <f>IF(A289="","",IF(ISNUMBER(A289),HOUR(A289),"Check time"))</f>
        <v/>
      </c>
    </row>
    <row r="290">
      <c r="A290" s="2" t="n"/>
      <c r="B290" s="3" t="n"/>
      <c r="C290" s="4" t="n"/>
      <c r="D290" s="5">
        <f>IF(A290="","",IF(ISNUMBER(A290),HOUR(A290),"Check time"))</f>
        <v/>
      </c>
    </row>
    <row r="291">
      <c r="A291" s="2" t="n"/>
      <c r="B291" s="3" t="n"/>
      <c r="C291" s="4" t="n"/>
      <c r="D291" s="5">
        <f>IF(A291="","",IF(ISNUMBER(A291),HOUR(A291),"Check time"))</f>
        <v/>
      </c>
    </row>
    <row r="292">
      <c r="A292" s="2" t="n"/>
      <c r="B292" s="3" t="n"/>
      <c r="C292" s="4" t="n"/>
      <c r="D292" s="5">
        <f>IF(A292="","",IF(ISNUMBER(A292),HOUR(A292),"Check time"))</f>
        <v/>
      </c>
    </row>
    <row r="293">
      <c r="A293" s="2" t="n"/>
      <c r="B293" s="3" t="n"/>
      <c r="C293" s="4" t="n"/>
      <c r="D293" s="5">
        <f>IF(A293="","",IF(ISNUMBER(A293),HOUR(A293),"Check time"))</f>
        <v/>
      </c>
    </row>
    <row r="294">
      <c r="A294" s="2" t="n"/>
      <c r="B294" s="3" t="n"/>
      <c r="C294" s="4" t="n"/>
      <c r="D294" s="5">
        <f>IF(A294="","",IF(ISNUMBER(A294),HOUR(A294),"Check time"))</f>
        <v/>
      </c>
    </row>
    <row r="295">
      <c r="A295" s="2" t="n"/>
      <c r="B295" s="3" t="n"/>
      <c r="C295" s="4" t="n"/>
      <c r="D295" s="5">
        <f>IF(A295="","",IF(ISNUMBER(A295),HOUR(A295),"Check time"))</f>
        <v/>
      </c>
    </row>
    <row r="296">
      <c r="A296" s="2" t="n"/>
      <c r="B296" s="3" t="n"/>
      <c r="C296" s="4" t="n"/>
      <c r="D296" s="5">
        <f>IF(A296="","",IF(ISNUMBER(A296),HOUR(A296),"Check time"))</f>
        <v/>
      </c>
    </row>
    <row r="297">
      <c r="A297" s="2" t="n"/>
      <c r="B297" s="3" t="n"/>
      <c r="C297" s="4" t="n"/>
      <c r="D297" s="5">
        <f>IF(A297="","",IF(ISNUMBER(A297),HOUR(A297),"Check time"))</f>
        <v/>
      </c>
    </row>
    <row r="298">
      <c r="A298" s="2" t="n"/>
      <c r="B298" s="3" t="n"/>
      <c r="C298" s="4" t="n"/>
      <c r="D298" s="5">
        <f>IF(A298="","",IF(ISNUMBER(A298),HOUR(A298),"Check time"))</f>
        <v/>
      </c>
    </row>
    <row r="299">
      <c r="A299" s="2" t="n"/>
      <c r="B299" s="3" t="n"/>
      <c r="C299" s="4" t="n"/>
      <c r="D299" s="5">
        <f>IF(A299="","",IF(ISNUMBER(A299),HOUR(A299),"Check time"))</f>
        <v/>
      </c>
    </row>
    <row r="300">
      <c r="A300" s="2" t="n"/>
      <c r="B300" s="3" t="n"/>
      <c r="C300" s="4" t="n"/>
      <c r="D300" s="5">
        <f>IF(A300="","",IF(ISNUMBER(A300),HOUR(A300),"Check time"))</f>
        <v/>
      </c>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H15"/>
  <sheetViews>
    <sheetView workbookViewId="0">
      <selection activeCell="A1" sqref="A1"/>
    </sheetView>
  </sheetViews>
  <sheetFormatPr baseColWidth="8" defaultRowHeight="15"/>
  <cols>
    <col width="12" customWidth="1" min="1" max="1"/>
    <col width="16" customWidth="1" min="2" max="2"/>
    <col width="10" customWidth="1" min="3" max="3"/>
    <col width="14" customWidth="1" min="4" max="4"/>
    <col width="12" customWidth="1" min="5" max="5"/>
    <col width="3" customWidth="1" min="6" max="6"/>
    <col width="38" customWidth="1" min="7" max="7"/>
    <col width="16" customWidth="1" min="8" max="8"/>
  </cols>
  <sheetData>
    <row r="1" ht="32" customHeight="1">
      <c r="A1" s="1" t="inlineStr">
        <is>
          <t>Hour (0 to 23)</t>
        </is>
      </c>
      <c r="B1" s="1" t="inlineStr">
        <is>
          <t>Time of day</t>
        </is>
      </c>
      <c r="C1" s="1" t="inlineStr">
        <is>
          <t>Orders</t>
        </is>
      </c>
      <c r="D1" s="1" t="inlineStr">
        <is>
          <t>Sales</t>
        </is>
      </c>
      <c r="E1" s="1" t="inlineStr">
        <is>
          <t>Share of sales</t>
        </is>
      </c>
      <c r="G1" s="6" t="inlineStr">
        <is>
          <t>Busiest hour by sales</t>
        </is>
      </c>
      <c r="H1" s="7">
        <f>IF(MAX(D2:D12)&gt;0,INDEX(B2:B12,MATCH(MAX(D2:D12),D2:D12,0)),"")</f>
        <v/>
      </c>
    </row>
    <row r="2">
      <c r="A2" s="4" t="n">
        <v>8</v>
      </c>
      <c r="B2" s="8">
        <f>IF(ISNUMBER(A2),IFERROR(TEXT(TIME(A2,0,0),"h AM/PM"),""),"")</f>
        <v/>
      </c>
      <c r="C2" s="5">
        <f>COUNTIFS(Orders!$D$2:$D$300,A2)</f>
        <v/>
      </c>
      <c r="D2" s="9">
        <f>SUMIFS(Orders!$B$2:$B$300,Orders!$D$2:$D$300,A2)</f>
        <v/>
      </c>
      <c r="E2" s="10">
        <f>IF($D$15&lt;&gt;0,D2/$D$15,"")</f>
        <v/>
      </c>
      <c r="G2" s="6" t="inlineStr">
        <is>
          <t>Sales in that hour</t>
        </is>
      </c>
      <c r="H2" s="11">
        <f>IF(MAX(D2:D12)&gt;0,MAX(D2:D12),"")</f>
        <v/>
      </c>
    </row>
    <row r="3">
      <c r="A3" s="4" t="n">
        <v>9</v>
      </c>
      <c r="B3" s="8">
        <f>IF(ISNUMBER(A3),IFERROR(TEXT(TIME(A3,0,0),"h AM/PM"),""),"")</f>
        <v/>
      </c>
      <c r="C3" s="5">
        <f>COUNTIFS(Orders!$D$2:$D$300,A3)</f>
        <v/>
      </c>
      <c r="D3" s="9">
        <f>SUMIFS(Orders!$B$2:$B$300,Orders!$D$2:$D$300,A3)</f>
        <v/>
      </c>
      <c r="E3" s="10">
        <f>IF($D$15&lt;&gt;0,D3/$D$15,"")</f>
        <v/>
      </c>
      <c r="G3" s="6" t="inlineStr">
        <is>
          <t>Busiest hour by orders</t>
        </is>
      </c>
      <c r="H3" s="7">
        <f>IF(MAX(C2:C12)&gt;0,INDEX(B2:B12,MATCH(MAX(C2:C12),C2:C12,0)),"")</f>
        <v/>
      </c>
    </row>
    <row r="4">
      <c r="A4" s="4" t="n">
        <v>10</v>
      </c>
      <c r="B4" s="8">
        <f>IF(ISNUMBER(A4),IFERROR(TEXT(TIME(A4,0,0),"h AM/PM"),""),"")</f>
        <v/>
      </c>
      <c r="C4" s="5">
        <f>COUNTIFS(Orders!$D$2:$D$300,A4)</f>
        <v/>
      </c>
      <c r="D4" s="9">
        <f>SUMIFS(Orders!$B$2:$B$300,Orders!$D$2:$D$300,A4)</f>
        <v/>
      </c>
      <c r="E4" s="10">
        <f>IF($D$15&lt;&gt;0,D4/$D$15,"")</f>
        <v/>
      </c>
      <c r="G4" s="6" t="inlineStr">
        <is>
          <t>Orders in that hour</t>
        </is>
      </c>
      <c r="H4" s="12">
        <f>IF(MAX(C2:C12)&gt;0,MAX(C2:C12),"")</f>
        <v/>
      </c>
    </row>
    <row r="5">
      <c r="A5" s="4" t="n">
        <v>11</v>
      </c>
      <c r="B5" s="8">
        <f>IF(ISNUMBER(A5),IFERROR(TEXT(TIME(A5,0,0),"h AM/PM"),""),"")</f>
        <v/>
      </c>
      <c r="C5" s="5">
        <f>COUNTIFS(Orders!$D$2:$D$300,A5)</f>
        <v/>
      </c>
      <c r="D5" s="9">
        <f>SUMIFS(Orders!$B$2:$B$300,Orders!$D$2:$D$300,A5)</f>
        <v/>
      </c>
      <c r="E5" s="10">
        <f>IF($D$15&lt;&gt;0,D5/$D$15,"")</f>
        <v/>
      </c>
      <c r="G5" s="6" t="inlineStr">
        <is>
          <t>Orders with a real date and time</t>
        </is>
      </c>
      <c r="H5" s="12">
        <f>COUNT(Orders!A2:A300)</f>
        <v/>
      </c>
    </row>
    <row r="6">
      <c r="A6" s="4" t="n">
        <v>12</v>
      </c>
      <c r="B6" s="8">
        <f>IF(ISNUMBER(A6),IFERROR(TEXT(TIME(A6,0,0),"h AM/PM"),""),"")</f>
        <v/>
      </c>
      <c r="C6" s="5">
        <f>COUNTIFS(Orders!$D$2:$D$300,A6)</f>
        <v/>
      </c>
      <c r="D6" s="9">
        <f>SUMIFS(Orders!$B$2:$B$300,Orders!$D$2:$D$300,A6)</f>
        <v/>
      </c>
      <c r="E6" s="10">
        <f>IF($D$15&lt;&gt;0,D6/$D$15,"")</f>
        <v/>
      </c>
      <c r="G6" s="6" t="inlineStr">
        <is>
          <t>Orders counted in the table</t>
        </is>
      </c>
      <c r="H6" s="12">
        <f>C15</f>
        <v/>
      </c>
    </row>
    <row r="7">
      <c r="A7" s="4" t="n">
        <v>13</v>
      </c>
      <c r="B7" s="8">
        <f>IF(ISNUMBER(A7),IFERROR(TEXT(TIME(A7,0,0),"h AM/PM"),""),"")</f>
        <v/>
      </c>
      <c r="C7" s="5">
        <f>COUNTIFS(Orders!$D$2:$D$300,A7)</f>
        <v/>
      </c>
      <c r="D7" s="9">
        <f>SUMIFS(Orders!$B$2:$B$300,Orders!$D$2:$D$300,A7)</f>
        <v/>
      </c>
      <c r="E7" s="10">
        <f>IF($D$15&lt;&gt;0,D7/$D$15,"")</f>
        <v/>
      </c>
      <c r="G7" s="6" t="inlineStr">
        <is>
          <t>Check: table = Orders tab</t>
        </is>
      </c>
      <c r="H7" s="7">
        <f>IF(AND(C14=0,C15=COUNTA(Orders!A2:A300),COUNT(Orders!A2:A300)=COUNTA(Orders!A2:A300),ABS(D15-SUM(Orders!B2:B300))&lt;0.005,COUNT(Orders!B2:B300)=COUNTA(Orders!B2:B300)),"OK","CHECK")</f>
        <v/>
      </c>
    </row>
    <row r="8">
      <c r="A8" s="4" t="n">
        <v>14</v>
      </c>
      <c r="B8" s="8">
        <f>IF(ISNUMBER(A8),IFERROR(TEXT(TIME(A8,0,0),"h AM/PM"),""),"")</f>
        <v/>
      </c>
      <c r="C8" s="5">
        <f>COUNTIFS(Orders!$D$2:$D$300,A8)</f>
        <v/>
      </c>
      <c r="D8" s="9">
        <f>SUMIFS(Orders!$B$2:$B$300,Orders!$D$2:$D$300,A8)</f>
        <v/>
      </c>
      <c r="E8" s="10">
        <f>IF($D$15&lt;&gt;0,D8/$D$15,"")</f>
        <v/>
      </c>
    </row>
    <row r="9">
      <c r="A9" s="4" t="n">
        <v>15</v>
      </c>
      <c r="B9" s="8">
        <f>IF(ISNUMBER(A9),IFERROR(TEXT(TIME(A9,0,0),"h AM/PM"),""),"")</f>
        <v/>
      </c>
      <c r="C9" s="5">
        <f>COUNTIFS(Orders!$D$2:$D$300,A9)</f>
        <v/>
      </c>
      <c r="D9" s="9">
        <f>SUMIFS(Orders!$B$2:$B$300,Orders!$D$2:$D$300,A9)</f>
        <v/>
      </c>
      <c r="E9" s="10">
        <f>IF($D$15&lt;&gt;0,D9/$D$15,"")</f>
        <v/>
      </c>
    </row>
    <row r="10">
      <c r="A10" s="4" t="n">
        <v>16</v>
      </c>
      <c r="B10" s="8">
        <f>IF(ISNUMBER(A10),IFERROR(TEXT(TIME(A10,0,0),"h AM/PM"),""),"")</f>
        <v/>
      </c>
      <c r="C10" s="5">
        <f>COUNTIFS(Orders!$D$2:$D$300,A10)</f>
        <v/>
      </c>
      <c r="D10" s="9">
        <f>SUMIFS(Orders!$B$2:$B$300,Orders!$D$2:$D$300,A10)</f>
        <v/>
      </c>
      <c r="E10" s="10">
        <f>IF($D$15&lt;&gt;0,D10/$D$15,"")</f>
        <v/>
      </c>
    </row>
    <row r="11">
      <c r="A11" s="4" t="n">
        <v>17</v>
      </c>
      <c r="B11" s="8">
        <f>IF(ISNUMBER(A11),IFERROR(TEXT(TIME(A11,0,0),"h AM/PM"),""),"")</f>
        <v/>
      </c>
      <c r="C11" s="5">
        <f>COUNTIFS(Orders!$D$2:$D$300,A11)</f>
        <v/>
      </c>
      <c r="D11" s="9">
        <f>SUMIFS(Orders!$B$2:$B$300,Orders!$D$2:$D$300,A11)</f>
        <v/>
      </c>
      <c r="E11" s="10">
        <f>IF($D$15&lt;&gt;0,D11/$D$15,"")</f>
        <v/>
      </c>
    </row>
    <row r="12">
      <c r="A12" s="4" t="n">
        <v>18</v>
      </c>
      <c r="B12" s="8">
        <f>IF(ISNUMBER(A12),IFERROR(TEXT(TIME(A12,0,0),"h AM/PM"),""),"")</f>
        <v/>
      </c>
      <c r="C12" s="5">
        <f>COUNTIFS(Orders!$D$2:$D$300,A12)</f>
        <v/>
      </c>
      <c r="D12" s="9">
        <f>SUMIFS(Orders!$B$2:$B$300,Orders!$D$2:$D$300,A12)</f>
        <v/>
      </c>
      <c r="E12" s="10">
        <f>IF($D$15&lt;&gt;0,D12/$D$15,"")</f>
        <v/>
      </c>
    </row>
    <row r="13">
      <c r="A13" s="8" t="inlineStr">
        <is>
          <t>Outside these hours</t>
        </is>
      </c>
      <c r="B13" s="8" t="n"/>
      <c r="C13" s="5">
        <f>COUNTIFS(Orders!$D$2:$D$300,"&lt;"&amp;MIN(A2:A12))+COUNTIFS(Orders!$D$2:$D$300,"&gt;"&amp;MAX(A2:A12))</f>
        <v/>
      </c>
      <c r="D13" s="9">
        <f>SUMIFS(Orders!$B$2:$B$300,Orders!$D$2:$D$300,"&lt;"&amp;MIN(A2:A12))+SUMIFS(Orders!$B$2:$B$300,Orders!$D$2:$D$300,"&gt;"&amp;MAX(A2:A12))</f>
        <v/>
      </c>
      <c r="E13" s="10">
        <f>IF($D$15&lt;&gt;0,D13/$D$15,"")</f>
        <v/>
      </c>
    </row>
    <row r="14">
      <c r="A14" s="8" t="inlineStr">
        <is>
          <t>Rows with a bad time</t>
        </is>
      </c>
      <c r="B14" s="8" t="n"/>
      <c r="C14" s="5">
        <f>COUNTIF(Orders!$D$2:$D$300,"Check time")</f>
        <v/>
      </c>
      <c r="D14" s="9">
        <f>SUMIFS(Orders!$B$2:$B$300,Orders!$D$2:$D$300,"Check time")</f>
        <v/>
      </c>
      <c r="E14" s="10">
        <f>IF($D$15&lt;&gt;0,D14/$D$15,"")</f>
        <v/>
      </c>
    </row>
    <row r="15">
      <c r="A15" s="13" t="inlineStr">
        <is>
          <t>Total</t>
        </is>
      </c>
      <c r="B15" s="13" t="n"/>
      <c r="C15" s="14">
        <f>SUM(C2:C14)</f>
        <v/>
      </c>
      <c r="D15" s="15">
        <f>SUM(D2:D14)</f>
        <v/>
      </c>
      <c r="E15" s="16">
        <f>IF($D$15&lt;&gt;0,D15/$D$15,"")</f>
        <v/>
      </c>
    </row>
  </sheetData>
  <conditionalFormatting sqref="D2:D12">
    <cfRule type="colorScale" priority="1">
      <colorScale>
        <cfvo type="min"/>
        <cfvo type="max"/>
        <color rgb="00FFFFFF"/>
        <color rgb="0063BE7B"/>
      </colorScale>
    </cfRule>
  </conditionalFormatting>
  <conditionalFormatting sqref="H7">
    <cfRule type="expression" priority="2" dxfId="0">
      <formula>AND(H7&lt;&gt;"OK",H7&lt;&gt;"")</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17" t="inlineStr">
        <is>
          <t>Tidy Tabs: Sales by Hour of the Day From Order Timestamps</t>
        </is>
      </c>
    </row>
    <row r="2">
      <c r="A2" s="18" t="inlineStr"/>
    </row>
    <row r="3">
      <c r="A3" s="18" t="inlineStr">
        <is>
          <t>1. Orders tab: the date and time of each order (A), the amount (B) and an item or note (C). Yellow, rows 2 to 300. Type or paste real date and time values such as 10/10/2026 9:59 AM, not text.</t>
        </is>
      </c>
    </row>
    <row r="4">
      <c r="A4" s="18" t="inlineStr">
        <is>
          <t>2. Hour, D2: =IF(A2="","",IF(ISNUMBER(A2),HOUR(A2),"Check time")). HOUR returns a whole number from 0 to 23, so an order at exactly 10:00:00 AM is hour 10 and 9:59:59 AM is hour 9. A time stored as text shows Check time. A date with no time is hour 0 (midnight).</t>
        </is>
      </c>
    </row>
    <row r="5">
      <c r="A5" s="18" t="inlineStr">
        <is>
          <t>3. By hour tab, A2:A12: the hours you want to list, typed as numbers (8 is 8 AM, 18 is 6 PM). Yellow. Change them if your day is different.</t>
        </is>
      </c>
    </row>
    <row r="6">
      <c r="A6" s="18" t="inlineStr">
        <is>
          <t>4. Orders, C2: =COUNTIFS(Orders!$D$2:$D$300,A2). Sales, D2: =SUMIFS(Orders!$B$2:$B$300,Orders!$D$2:$D$300,A2). Share of sales is the hour's sales divided by the total in D15.</t>
        </is>
      </c>
    </row>
    <row r="7">
      <c r="A7" s="18" t="inlineStr">
        <is>
          <t>5. Row 13 (Outside these hours) counts every order whose hour is below the first or above the last hour in column A, so nothing is lost. Midnight (hour 0) lands here. Row 14 counts rows whose time is not a real time.</t>
        </is>
      </c>
    </row>
    <row r="8">
      <c r="A8" s="18" t="inlineStr">
        <is>
          <t>6. G1:H4 show the busiest hour by sales and by orders among the hours listed (the first one if two tie). The Sales column has a color scale from white to green.</t>
        </is>
      </c>
    </row>
    <row r="9">
      <c r="A9" s="18" t="inlineStr">
        <is>
          <t>7. H7 shows OK when the table holds every order and every dollar on the Orders tab: no bad time, no amount left out of an hour, no text amount. CHECK means look at row 14, an order with an amount but no time, or an amount typed as text.</t>
        </is>
      </c>
    </row>
    <row r="10">
      <c r="A10" s="18" t="inlineStr">
        <is>
          <t>8. Why a helper column: in LibreOffice Calc 24.2 a SUMIFS over a time range built on MOD(A2,1) left out the 10:00:00 row, because MOD of a date and time came back a hair under 10:00 AM. HOUR returns a whole number, so there is no boundary to miss. This was not run in Excel or Google Sheets.</t>
        </is>
      </c>
    </row>
    <row r="11">
      <c r="A11" s="18" t="inlineStr">
        <is>
          <t>9. The file counts and adds up. It gives no staffing or opening-hours advice.</t>
        </is>
      </c>
    </row>
    <row r="12">
      <c r="A12" s="18" t="inlineStr"/>
    </row>
    <row r="13">
      <c r="A13" s="18" t="inlineStr">
        <is>
          <t>Orders and amounts are fictional. Checked in LibreOffice Calc only; not opened in Excel or Google Sheets.</t>
        </is>
      </c>
    </row>
    <row r="14">
      <c r="A14" s="18"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2026-10-21T07:37:13Z</dcterms:created>
  <dcterms:modified xmlns:dcterms="http://purl.org/dc/terms/" xmlns:xsi="http://www.w3.org/2001/XMLSchema-instance" xsi:type="dcterms:W3CDTF">2026-10-21T07:37:13Z</dcterms:modified>
</cp:coreProperties>
</file>