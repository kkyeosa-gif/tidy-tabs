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ales" sheetId="1" state="visible" r:id="rId1"/>
    <sheet xmlns:r="http://schemas.openxmlformats.org/officeDocument/2006/relationships" name="By weekday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'Daily sales'!$1:$1</definedName>
    <definedName name="_xlnm.Print_Titles" localSheetId="1">'By weekday'!$1:$1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&quot;$&quot;#,##0.0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</cols>
  <sheetData>
    <row r="1" ht="30" customHeight="1">
      <c r="A1" s="1" t="inlineStr">
        <is>
          <t>Date</t>
        </is>
      </c>
      <c r="B1" s="1" t="inlineStr">
        <is>
          <t>Sales</t>
        </is>
      </c>
      <c r="C1" s="1" t="inlineStr">
        <is>
          <t>Weekday</t>
        </is>
      </c>
    </row>
    <row r="2">
      <c r="A2" s="2" t="n">
        <v>46266</v>
      </c>
      <c r="B2" s="3" t="n">
        <v>42</v>
      </c>
      <c r="C2" s="4">
        <f>IF(A2="","",TEXT(A2,"ddd"))</f>
        <v/>
      </c>
    </row>
    <row r="3">
      <c r="A3" s="2" t="n">
        <v>46267</v>
      </c>
      <c r="B3" s="3" t="n">
        <v>38.5</v>
      </c>
      <c r="C3" s="4">
        <f>IF(A3="","",TEXT(A3,"ddd"))</f>
        <v/>
      </c>
    </row>
    <row r="4">
      <c r="A4" s="2" t="n">
        <v>46268</v>
      </c>
      <c r="B4" s="3" t="n">
        <v>51.25</v>
      </c>
      <c r="C4" s="4">
        <f>IF(A4="","",TEXT(A4,"ddd"))</f>
        <v/>
      </c>
    </row>
    <row r="5">
      <c r="A5" s="2" t="n">
        <v>46269</v>
      </c>
      <c r="B5" s="3" t="n">
        <v>65</v>
      </c>
      <c r="C5" s="4">
        <f>IF(A5="","",TEXT(A5,"ddd"))</f>
        <v/>
      </c>
    </row>
    <row r="6">
      <c r="A6" s="2" t="n">
        <v>46270</v>
      </c>
      <c r="B6" s="3" t="n">
        <v>148</v>
      </c>
      <c r="C6" s="4">
        <f>IF(A6="","",TEXT(A6,"ddd"))</f>
        <v/>
      </c>
    </row>
    <row r="7">
      <c r="A7" s="2" t="n">
        <v>46271</v>
      </c>
      <c r="B7" s="3" t="n">
        <v>212.5</v>
      </c>
      <c r="C7" s="4">
        <f>IF(A7="","",TEXT(A7,"ddd"))</f>
        <v/>
      </c>
    </row>
    <row r="8">
      <c r="A8" s="2" t="n">
        <v>46272</v>
      </c>
      <c r="B8" s="3" t="n">
        <v>96</v>
      </c>
      <c r="C8" s="4">
        <f>IF(A8="","",TEXT(A8,"ddd"))</f>
        <v/>
      </c>
    </row>
    <row r="9">
      <c r="A9" s="2" t="n">
        <v>46273</v>
      </c>
      <c r="B9" s="3" t="n">
        <v>40</v>
      </c>
      <c r="C9" s="4">
        <f>IF(A9="","",TEXT(A9,"ddd"))</f>
        <v/>
      </c>
    </row>
    <row r="10">
      <c r="A10" s="2" t="n">
        <v>46274</v>
      </c>
      <c r="B10" s="3" t="n">
        <v>35</v>
      </c>
      <c r="C10" s="4">
        <f>IF(A10="","",TEXT(A10,"ddd"))</f>
        <v/>
      </c>
    </row>
    <row r="11">
      <c r="A11" s="2" t="n">
        <v>46275</v>
      </c>
      <c r="B11" s="3" t="n">
        <v>47.5</v>
      </c>
      <c r="C11" s="4">
        <f>IF(A11="","",TEXT(A11,"ddd"))</f>
        <v/>
      </c>
    </row>
    <row r="12">
      <c r="A12" s="2" t="n">
        <v>46276</v>
      </c>
      <c r="B12" s="3" t="n">
        <v>70.25</v>
      </c>
      <c r="C12" s="4">
        <f>IF(A12="","",TEXT(A12,"ddd"))</f>
        <v/>
      </c>
    </row>
    <row r="13">
      <c r="A13" s="2" t="n">
        <v>46277</v>
      </c>
      <c r="B13" s="3" t="n">
        <v>155</v>
      </c>
      <c r="C13" s="4">
        <f>IF(A13="","",TEXT(A13,"ddd"))</f>
        <v/>
      </c>
    </row>
    <row r="14">
      <c r="A14" s="2" t="n">
        <v>46278</v>
      </c>
      <c r="B14" s="3" t="n">
        <v>230</v>
      </c>
      <c r="C14" s="4">
        <f>IF(A14="","",TEXT(A14,"ddd"))</f>
        <v/>
      </c>
    </row>
    <row r="15">
      <c r="A15" s="2" t="n">
        <v>46279</v>
      </c>
      <c r="B15" s="3" t="n">
        <v>88.5</v>
      </c>
      <c r="C15" s="4">
        <f>IF(A15="","",TEXT(A15,"ddd"))</f>
        <v/>
      </c>
    </row>
    <row r="16">
      <c r="A16" s="2" t="n">
        <v>46280</v>
      </c>
      <c r="B16" s="3" t="n">
        <v>44.5</v>
      </c>
      <c r="C16" s="4">
        <f>IF(A16="","",TEXT(A16,"ddd"))</f>
        <v/>
      </c>
    </row>
    <row r="17">
      <c r="A17" s="2" t="n">
        <v>46281</v>
      </c>
      <c r="B17" s="3" t="n">
        <v>41</v>
      </c>
      <c r="C17" s="4">
        <f>IF(A17="","",TEXT(A17,"ddd"))</f>
        <v/>
      </c>
    </row>
    <row r="18">
      <c r="A18" s="2" t="n">
        <v>46282</v>
      </c>
      <c r="B18" s="3" t="n">
        <v>55</v>
      </c>
      <c r="C18" s="4">
        <f>IF(A18="","",TEXT(A18,"ddd"))</f>
        <v/>
      </c>
    </row>
    <row r="19">
      <c r="A19" s="2" t="n">
        <v>46283</v>
      </c>
      <c r="B19" s="3" t="n">
        <v>62</v>
      </c>
      <c r="C19" s="4">
        <f>IF(A19="","",TEXT(A19,"ddd"))</f>
        <v/>
      </c>
    </row>
    <row r="20">
      <c r="A20" s="2" t="n">
        <v>46284</v>
      </c>
      <c r="B20" s="3" t="n">
        <v>162.75</v>
      </c>
      <c r="C20" s="4">
        <f>IF(A20="","",TEXT(A20,"ddd"))</f>
        <v/>
      </c>
    </row>
    <row r="21">
      <c r="A21" s="2" t="n">
        <v>46285</v>
      </c>
      <c r="B21" s="3" t="n">
        <v>248</v>
      </c>
      <c r="C21" s="4">
        <f>IF(A21="","",TEXT(A21,"ddd"))</f>
        <v/>
      </c>
    </row>
    <row r="22">
      <c r="A22" s="2" t="n">
        <v>46286</v>
      </c>
      <c r="B22" s="3" t="n">
        <v>101</v>
      </c>
      <c r="C22" s="4">
        <f>IF(A22="","",TEXT(A22,"ddd"))</f>
        <v/>
      </c>
    </row>
    <row r="23">
      <c r="A23" s="2" t="n">
        <v>46287</v>
      </c>
      <c r="B23" s="3" t="n">
        <v>39</v>
      </c>
      <c r="C23" s="4">
        <f>IF(A23="","",TEXT(A23,"ddd"))</f>
        <v/>
      </c>
    </row>
    <row r="24">
      <c r="A24" s="2" t="n">
        <v>46288</v>
      </c>
      <c r="B24" s="3" t="n">
        <v>36.25</v>
      </c>
      <c r="C24" s="4">
        <f>IF(A24="","",TEXT(A24,"ddd"))</f>
        <v/>
      </c>
    </row>
    <row r="25">
      <c r="A25" s="2" t="n">
        <v>46289</v>
      </c>
      <c r="B25" s="3" t="n">
        <v>49</v>
      </c>
      <c r="C25" s="4">
        <f>IF(A25="","",TEXT(A25,"ddd"))</f>
        <v/>
      </c>
    </row>
    <row r="26">
      <c r="A26" s="2" t="n">
        <v>46290</v>
      </c>
      <c r="B26" s="3" t="n">
        <v>68</v>
      </c>
      <c r="C26" s="4">
        <f>IF(A26="","",TEXT(A26,"ddd"))</f>
        <v/>
      </c>
    </row>
    <row r="27">
      <c r="A27" s="2" t="n">
        <v>46291</v>
      </c>
      <c r="B27" s="3" t="n">
        <v>171</v>
      </c>
      <c r="C27" s="4">
        <f>IF(A27="","",TEXT(A27,"ddd"))</f>
        <v/>
      </c>
    </row>
    <row r="28">
      <c r="A28" s="2" t="n">
        <v>46292</v>
      </c>
      <c r="B28" s="3" t="n">
        <v>226.5</v>
      </c>
      <c r="C28" s="4">
        <f>IF(A28="","",TEXT(A28,"ddd"))</f>
        <v/>
      </c>
    </row>
    <row r="29">
      <c r="A29" s="2" t="n">
        <v>46293</v>
      </c>
      <c r="B29" s="3" t="n">
        <v>93</v>
      </c>
      <c r="C29" s="4">
        <f>IF(A29="","",TEXT(A29,"ddd"))</f>
        <v/>
      </c>
    </row>
    <row r="30">
      <c r="A30" s="2" t="n"/>
      <c r="B30" s="3" t="n"/>
      <c r="C30" s="4">
        <f>IF(A30="","",TEXT(A30,"ddd"))</f>
        <v/>
      </c>
    </row>
    <row r="31">
      <c r="A31" s="2" t="n"/>
      <c r="B31" s="3" t="n"/>
      <c r="C31" s="4">
        <f>IF(A31="","",TEXT(A31,"ddd"))</f>
        <v/>
      </c>
    </row>
    <row r="32">
      <c r="A32" s="2" t="n"/>
      <c r="B32" s="3" t="n"/>
      <c r="C32" s="4">
        <f>IF(A32="","",TEXT(A32,"ddd"))</f>
        <v/>
      </c>
    </row>
    <row r="33">
      <c r="A33" s="2" t="n"/>
      <c r="B33" s="3" t="n"/>
      <c r="C33" s="4">
        <f>IF(A33="","",TEXT(A33,"ddd"))</f>
        <v/>
      </c>
    </row>
    <row r="34">
      <c r="A34" s="2" t="n"/>
      <c r="B34" s="3" t="n"/>
      <c r="C34" s="4">
        <f>IF(A34="","",TEXT(A34,"ddd"))</f>
        <v/>
      </c>
    </row>
    <row r="35">
      <c r="A35" s="2" t="n"/>
      <c r="B35" s="3" t="n"/>
      <c r="C35" s="4">
        <f>IF(A35="","",TEXT(A35,"ddd"))</f>
        <v/>
      </c>
    </row>
    <row r="36">
      <c r="A36" s="2" t="n"/>
      <c r="B36" s="3" t="n"/>
      <c r="C36" s="4">
        <f>IF(A36="","",TEXT(A36,"ddd"))</f>
        <v/>
      </c>
    </row>
    <row r="37">
      <c r="A37" s="2" t="n"/>
      <c r="B37" s="3" t="n"/>
      <c r="C37" s="4">
        <f>IF(A37="","",TEXT(A37,"ddd"))</f>
        <v/>
      </c>
    </row>
    <row r="38">
      <c r="A38" s="2" t="n"/>
      <c r="B38" s="3" t="n"/>
      <c r="C38" s="4">
        <f>IF(A38="","",TEXT(A38,"ddd"))</f>
        <v/>
      </c>
    </row>
    <row r="39">
      <c r="A39" s="2" t="n"/>
      <c r="B39" s="3" t="n"/>
      <c r="C39" s="4">
        <f>IF(A39="","",TEXT(A39,"ddd"))</f>
        <v/>
      </c>
    </row>
    <row r="40">
      <c r="A40" s="2" t="n"/>
      <c r="B40" s="3" t="n"/>
      <c r="C40" s="4">
        <f>IF(A40="","",TEXT(A40,"ddd"))</f>
        <v/>
      </c>
    </row>
    <row r="41">
      <c r="A41" s="2" t="n"/>
      <c r="B41" s="3" t="n"/>
      <c r="C41" s="4">
        <f>IF(A41="","",TEXT(A41,"ddd"))</f>
        <v/>
      </c>
    </row>
    <row r="42">
      <c r="A42" s="2" t="n"/>
      <c r="B42" s="3" t="n"/>
      <c r="C42" s="4">
        <f>IF(A42="","",TEXT(A42,"ddd"))</f>
        <v/>
      </c>
    </row>
    <row r="43">
      <c r="A43" s="2" t="n"/>
      <c r="B43" s="3" t="n"/>
      <c r="C43" s="4">
        <f>IF(A43="","",TEXT(A43,"ddd"))</f>
        <v/>
      </c>
    </row>
    <row r="44">
      <c r="A44" s="2" t="n"/>
      <c r="B44" s="3" t="n"/>
      <c r="C44" s="4">
        <f>IF(A44="","",TEXT(A44,"ddd"))</f>
        <v/>
      </c>
    </row>
    <row r="45">
      <c r="A45" s="2" t="n"/>
      <c r="B45" s="3" t="n"/>
      <c r="C45" s="4">
        <f>IF(A45="","",TEXT(A45,"ddd"))</f>
        <v/>
      </c>
    </row>
    <row r="46">
      <c r="A46" s="2" t="n"/>
      <c r="B46" s="3" t="n"/>
      <c r="C46" s="4">
        <f>IF(A46="","",TEXT(A46,"ddd"))</f>
        <v/>
      </c>
    </row>
    <row r="47">
      <c r="A47" s="2" t="n"/>
      <c r="B47" s="3" t="n"/>
      <c r="C47" s="4">
        <f>IF(A47="","",TEXT(A47,"ddd"))</f>
        <v/>
      </c>
    </row>
    <row r="48">
      <c r="A48" s="2" t="n"/>
      <c r="B48" s="3" t="n"/>
      <c r="C48" s="4">
        <f>IF(A48="","",TEXT(A48,"ddd"))</f>
        <v/>
      </c>
    </row>
    <row r="49">
      <c r="A49" s="2" t="n"/>
      <c r="B49" s="3" t="n"/>
      <c r="C49" s="4">
        <f>IF(A49="","",TEXT(A49,"ddd"))</f>
        <v/>
      </c>
    </row>
    <row r="50">
      <c r="A50" s="2" t="n"/>
      <c r="B50" s="3" t="n"/>
      <c r="C50" s="4">
        <f>IF(A50="","",TEXT(A50,"ddd"))</f>
        <v/>
      </c>
    </row>
    <row r="51">
      <c r="A51" s="2" t="n"/>
      <c r="B51" s="3" t="n"/>
      <c r="C51" s="4">
        <f>IF(A51="","",TEXT(A51,"ddd"))</f>
        <v/>
      </c>
    </row>
    <row r="52">
      <c r="A52" s="2" t="n"/>
      <c r="B52" s="3" t="n"/>
      <c r="C52" s="4">
        <f>IF(A52="","",TEXT(A52,"ddd"))</f>
        <v/>
      </c>
    </row>
    <row r="53">
      <c r="A53" s="2" t="n"/>
      <c r="B53" s="3" t="n"/>
      <c r="C53" s="4">
        <f>IF(A53="","",TEXT(A53,"ddd"))</f>
        <v/>
      </c>
    </row>
    <row r="54">
      <c r="A54" s="2" t="n"/>
      <c r="B54" s="3" t="n"/>
      <c r="C54" s="4">
        <f>IF(A54="","",TEXT(A54,"ddd"))</f>
        <v/>
      </c>
    </row>
    <row r="55">
      <c r="A55" s="2" t="n"/>
      <c r="B55" s="3" t="n"/>
      <c r="C55" s="4">
        <f>IF(A55="","",TEXT(A55,"ddd"))</f>
        <v/>
      </c>
    </row>
    <row r="56">
      <c r="A56" s="2" t="n"/>
      <c r="B56" s="3" t="n"/>
      <c r="C56" s="4">
        <f>IF(A56="","",TEXT(A56,"ddd"))</f>
        <v/>
      </c>
    </row>
    <row r="57">
      <c r="A57" s="2" t="n"/>
      <c r="B57" s="3" t="n"/>
      <c r="C57" s="4">
        <f>IF(A57="","",TEXT(A57,"ddd"))</f>
        <v/>
      </c>
    </row>
    <row r="58">
      <c r="A58" s="2" t="n"/>
      <c r="B58" s="3" t="n"/>
      <c r="C58" s="4">
        <f>IF(A58="","",TEXT(A58,"ddd"))</f>
        <v/>
      </c>
    </row>
    <row r="59">
      <c r="A59" s="2" t="n"/>
      <c r="B59" s="3" t="n"/>
      <c r="C59" s="4">
        <f>IF(A59="","",TEXT(A59,"ddd"))</f>
        <v/>
      </c>
    </row>
    <row r="60">
      <c r="A60" s="2" t="n"/>
      <c r="B60" s="3" t="n"/>
      <c r="C60" s="4">
        <f>IF(A60="","",TEXT(A60,"ddd"))</f>
        <v/>
      </c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5" customWidth="1" min="5" max="5"/>
    <col width="12" customWidth="1" min="6" max="6"/>
  </cols>
  <sheetData>
    <row r="1" ht="30" customHeight="1">
      <c r="A1" s="1" t="inlineStr">
        <is>
          <t>Weekday</t>
        </is>
      </c>
      <c r="B1" s="1" t="inlineStr">
        <is>
          <t>Days counted</t>
        </is>
      </c>
      <c r="C1" s="1" t="inlineStr">
        <is>
          <t>Total sales</t>
        </is>
      </c>
      <c r="D1" s="1" t="inlineStr">
        <is>
          <t>Average per day</t>
        </is>
      </c>
      <c r="E1" s="1" t="inlineStr">
        <is>
          <t>Share of sales</t>
        </is>
      </c>
      <c r="F1" s="1" t="inlineStr">
        <is>
          <t>Best day</t>
        </is>
      </c>
    </row>
    <row r="2">
      <c r="A2" t="inlineStr">
        <is>
          <t>Mon</t>
        </is>
      </c>
      <c r="B2" s="4">
        <f>COUNTIF('Daily sales'!$C$2:$C$200,A2)</f>
        <v/>
      </c>
      <c r="C2" s="5">
        <f>SUMIF('Daily sales'!$C$2:$C$200,A2,'Daily sales'!$B$2:$B$200)</f>
        <v/>
      </c>
      <c r="D2" s="5">
        <f>IF(B2=0,"",C2/B2)</f>
        <v/>
      </c>
      <c r="E2" s="6">
        <f>IF($C$9=0,"",C2/$C$9)</f>
        <v/>
      </c>
      <c r="F2" s="4">
        <f>IF(D2="","",IF(D2=MAX($D$2:$D$8),"Best day",""))</f>
        <v/>
      </c>
    </row>
    <row r="3">
      <c r="A3" t="inlineStr">
        <is>
          <t>Tue</t>
        </is>
      </c>
      <c r="B3" s="4">
        <f>COUNTIF('Daily sales'!$C$2:$C$200,A3)</f>
        <v/>
      </c>
      <c r="C3" s="5">
        <f>SUMIF('Daily sales'!$C$2:$C$200,A3,'Daily sales'!$B$2:$B$200)</f>
        <v/>
      </c>
      <c r="D3" s="5">
        <f>IF(B3=0,"",C3/B3)</f>
        <v/>
      </c>
      <c r="E3" s="6">
        <f>IF($C$9=0,"",C3/$C$9)</f>
        <v/>
      </c>
      <c r="F3" s="4">
        <f>IF(D3="","",IF(D3=MAX($D$2:$D$8),"Best day",""))</f>
        <v/>
      </c>
    </row>
    <row r="4">
      <c r="A4" t="inlineStr">
        <is>
          <t>Wed</t>
        </is>
      </c>
      <c r="B4" s="4">
        <f>COUNTIF('Daily sales'!$C$2:$C$200,A4)</f>
        <v/>
      </c>
      <c r="C4" s="5">
        <f>SUMIF('Daily sales'!$C$2:$C$200,A4,'Daily sales'!$B$2:$B$200)</f>
        <v/>
      </c>
      <c r="D4" s="5">
        <f>IF(B4=0,"",C4/B4)</f>
        <v/>
      </c>
      <c r="E4" s="6">
        <f>IF($C$9=0,"",C4/$C$9)</f>
        <v/>
      </c>
      <c r="F4" s="4">
        <f>IF(D4="","",IF(D4=MAX($D$2:$D$8),"Best day",""))</f>
        <v/>
      </c>
    </row>
    <row r="5">
      <c r="A5" t="inlineStr">
        <is>
          <t>Thu</t>
        </is>
      </c>
      <c r="B5" s="4">
        <f>COUNTIF('Daily sales'!$C$2:$C$200,A5)</f>
        <v/>
      </c>
      <c r="C5" s="5">
        <f>SUMIF('Daily sales'!$C$2:$C$200,A5,'Daily sales'!$B$2:$B$200)</f>
        <v/>
      </c>
      <c r="D5" s="5">
        <f>IF(B5=0,"",C5/B5)</f>
        <v/>
      </c>
      <c r="E5" s="6">
        <f>IF($C$9=0,"",C5/$C$9)</f>
        <v/>
      </c>
      <c r="F5" s="4">
        <f>IF(D5="","",IF(D5=MAX($D$2:$D$8),"Best day",""))</f>
        <v/>
      </c>
    </row>
    <row r="6">
      <c r="A6" t="inlineStr">
        <is>
          <t>Fri</t>
        </is>
      </c>
      <c r="B6" s="4">
        <f>COUNTIF('Daily sales'!$C$2:$C$200,A6)</f>
        <v/>
      </c>
      <c r="C6" s="5">
        <f>SUMIF('Daily sales'!$C$2:$C$200,A6,'Daily sales'!$B$2:$B$200)</f>
        <v/>
      </c>
      <c r="D6" s="5">
        <f>IF(B6=0,"",C6/B6)</f>
        <v/>
      </c>
      <c r="E6" s="6">
        <f>IF($C$9=0,"",C6/$C$9)</f>
        <v/>
      </c>
      <c r="F6" s="4">
        <f>IF(D6="","",IF(D6=MAX($D$2:$D$8),"Best day",""))</f>
        <v/>
      </c>
    </row>
    <row r="7">
      <c r="A7" t="inlineStr">
        <is>
          <t>Sat</t>
        </is>
      </c>
      <c r="B7" s="4">
        <f>COUNTIF('Daily sales'!$C$2:$C$200,A7)</f>
        <v/>
      </c>
      <c r="C7" s="5">
        <f>SUMIF('Daily sales'!$C$2:$C$200,A7,'Daily sales'!$B$2:$B$200)</f>
        <v/>
      </c>
      <c r="D7" s="5">
        <f>IF(B7=0,"",C7/B7)</f>
        <v/>
      </c>
      <c r="E7" s="6">
        <f>IF($C$9=0,"",C7/$C$9)</f>
        <v/>
      </c>
      <c r="F7" s="4">
        <f>IF(D7="","",IF(D7=MAX($D$2:$D$8),"Best day",""))</f>
        <v/>
      </c>
    </row>
    <row r="8">
      <c r="A8" t="inlineStr">
        <is>
          <t>Sun</t>
        </is>
      </c>
      <c r="B8" s="4">
        <f>COUNTIF('Daily sales'!$C$2:$C$200,A8)</f>
        <v/>
      </c>
      <c r="C8" s="5">
        <f>SUMIF('Daily sales'!$C$2:$C$200,A8,'Daily sales'!$B$2:$B$200)</f>
        <v/>
      </c>
      <c r="D8" s="5">
        <f>IF(B8=0,"",C8/B8)</f>
        <v/>
      </c>
      <c r="E8" s="6">
        <f>IF($C$9=0,"",C8/$C$9)</f>
        <v/>
      </c>
      <c r="F8" s="4">
        <f>IF(D8="","",IF(D8=MAX($D$2:$D$8),"Best day",""))</f>
        <v/>
      </c>
    </row>
    <row r="9">
      <c r="A9" s="7" t="inlineStr">
        <is>
          <t>Total</t>
        </is>
      </c>
      <c r="B9">
        <f>SUM(B2:B8)</f>
        <v/>
      </c>
      <c r="C9" s="3">
        <f>SUM(C2:C8)</f>
        <v/>
      </c>
    </row>
    <row r="11">
      <c r="A11" t="inlineStr">
        <is>
          <t>Check: days counted match the Daily sales tab</t>
        </is>
      </c>
      <c r="F11">
        <f>IF(B9=COUNT('Daily sales'!A2:A200),"OK","CHECK")</f>
        <v/>
      </c>
    </row>
    <row r="12">
      <c r="A12" t="inlineStr">
        <is>
          <t>Check: total matches the Daily sales tab</t>
        </is>
      </c>
      <c r="F12">
        <f>IF(ROUND(C9-SUM('Daily sales'!B2:B200),2)=0,"OK","CHECK")</f>
        <v/>
      </c>
    </row>
  </sheetData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Total Sales by Day of the Week</t>
        </is>
      </c>
    </row>
    <row r="2">
      <c r="A2" s="9" t="inlineStr"/>
    </row>
    <row r="3">
      <c r="A3" s="9" t="inlineStr">
        <is>
          <t>1. Daily sales tab: one row per day, with the date in A and that day's sales in B. Column C names the weekday.</t>
        </is>
      </c>
    </row>
    <row r="4">
      <c r="A4" s="9" t="inlineStr">
        <is>
          <t>2. C2: =IF(A2="","",TEXT(A2,"ddd")) turns a date into Mon, Tue and so on. Fill it down as far as your data goes (it is ready to row 60).</t>
        </is>
      </c>
    </row>
    <row r="5">
      <c r="A5" s="9" t="inlineStr">
        <is>
          <t>3. By weekday tab, C2: =SUMIF('Daily sales'!$C$2:$C$200,A2,'Daily sales'!$B$2:$B$200) adds the sales for each weekday. B2 counts the days with COUNTIF.</t>
        </is>
      </c>
    </row>
    <row r="6">
      <c r="A6" s="9" t="inlineStr">
        <is>
          <t>4. D2: =IF(B2=0,"",C2/B2) is the average per day. The short form is =AVERAGEIF('Daily sales'!$C$2:$C$200,"Sat",'Daily sales'!$B$2:$B$200).</t>
        </is>
      </c>
    </row>
    <row r="7">
      <c r="A7" s="9" t="inlineStr">
        <is>
          <t>5. Compare averages, not totals, when some weekdays appear more often in your data. F2 marks the weekday with the highest average.</t>
        </is>
      </c>
    </row>
    <row r="8">
      <c r="A8" s="9" t="inlineStr">
        <is>
          <t>6. Dates should be real dates. A date stored as text may still get a weekday name in column C, but the COUNT of real dates skips it, so check cell F11 shows CHECK. Re-enter it as a date.</t>
        </is>
      </c>
    </row>
    <row r="9">
      <c r="A9" s="9" t="inlineStr">
        <is>
          <t>7. A day with $0.00 sales still counts as a day if it has a row. Days with no row are not counted.</t>
        </is>
      </c>
    </row>
    <row r="10">
      <c r="A10" s="9" t="inlineStr">
        <is>
          <t>8. The weekday names are English (Mon to Sun). They work the same for a US-English file in Excel and Google Sheets.</t>
        </is>
      </c>
    </row>
    <row r="11">
      <c r="A11" s="9" t="inlineStr"/>
    </row>
    <row r="12">
      <c r="A12" s="9" t="inlineStr">
        <is>
          <t>Dates and sales are fictional (28 days from 09/01/2026). Checked in LibreOffice Calc only; not opened in Excel or Google Sheets.</t>
        </is>
      </c>
    </row>
    <row r="13">
      <c r="A13" s="9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2026-10-12T07:29:21Z</dcterms:created>
  <dcterms:modified xmlns:dcterms="http://purl.org/dc/terms/" xmlns:xsi="http://www.w3.org/2001/XMLSchema-instance" xsi:type="dcterms:W3CDTF">2026-10-12T07:29:21Z</dcterms:modified>
</cp:coreProperties>
</file>