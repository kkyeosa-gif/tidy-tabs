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Goal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'Daily sales'!$1:$1</definedName>
    <definedName name="_xlnm.Print_Titles" localSheetId="1">'Goal'!$1:$1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0" fillId="3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" fontId="0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 ht="30" customHeight="1">
      <c r="A1" s="1" t="inlineStr">
        <is>
          <t>Sale date</t>
        </is>
      </c>
      <c r="B1" s="1" t="inlineStr">
        <is>
          <t>Amount</t>
        </is>
      </c>
    </row>
    <row r="2">
      <c r="A2" s="2" t="n">
        <v>46295</v>
      </c>
      <c r="B2" s="3" t="n">
        <v>250</v>
      </c>
    </row>
    <row r="3">
      <c r="A3" s="2" t="n">
        <v>46296</v>
      </c>
      <c r="B3" s="3" t="n">
        <v>310.5</v>
      </c>
    </row>
    <row r="4">
      <c r="A4" s="2" t="n">
        <v>46298</v>
      </c>
      <c r="B4" s="3" t="n">
        <v>185</v>
      </c>
    </row>
    <row r="5">
      <c r="A5" s="2" t="n">
        <v>46299</v>
      </c>
      <c r="B5" s="3" t="n">
        <v>420.25</v>
      </c>
    </row>
    <row r="6">
      <c r="A6" s="2" t="n">
        <v>46300</v>
      </c>
      <c r="B6" s="3" t="n">
        <v>96</v>
      </c>
    </row>
    <row r="7">
      <c r="A7" s="2" t="n">
        <v>46302</v>
      </c>
      <c r="B7" s="3" t="n">
        <v>275.75</v>
      </c>
    </row>
    <row r="8">
      <c r="A8" s="2" t="n">
        <v>46303</v>
      </c>
      <c r="B8" s="3" t="n">
        <v>142.5</v>
      </c>
    </row>
    <row r="9">
      <c r="A9" s="2" t="n">
        <v>46304</v>
      </c>
      <c r="B9" s="3" t="n">
        <v>380</v>
      </c>
    </row>
    <row r="10">
      <c r="A10" s="2" t="n">
        <v>46305</v>
      </c>
      <c r="B10" s="3" t="n">
        <v>210</v>
      </c>
    </row>
    <row r="11">
      <c r="A11" s="2" t="n">
        <v>46306</v>
      </c>
      <c r="B11" s="3" t="n">
        <v>515.25</v>
      </c>
    </row>
    <row r="12">
      <c r="A12" s="2" t="n">
        <v>46307</v>
      </c>
      <c r="B12" s="3" t="n">
        <v>164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4" t="inlineStr">
        <is>
          <t>Monthly sales goal</t>
        </is>
      </c>
      <c r="B1" s="5" t="n">
        <v>8000</v>
      </c>
    </row>
    <row r="2">
      <c r="A2" s="4" t="inlineStr">
        <is>
          <t>As-of date (type a date or use =TODAY())</t>
        </is>
      </c>
      <c r="B2" s="6" t="n">
        <v>46307</v>
      </c>
    </row>
    <row r="3">
      <c r="A3" t="inlineStr">
        <is>
          <t>First day of the month</t>
        </is>
      </c>
      <c r="B3" s="7">
        <f>EOMONTH(B2,-1)+1</f>
        <v/>
      </c>
    </row>
    <row r="4">
      <c r="A4" t="inlineStr">
        <is>
          <t>Sales so far this month</t>
        </is>
      </c>
      <c r="B4" s="8">
        <f>SUMIFS('Daily sales'!$B$2:$B$500,'Daily sales'!$A$2:$A$500,"&gt;="&amp;B3,'Daily sales'!$A$2:$A$500,"&lt;="&amp;B2)</f>
        <v/>
      </c>
    </row>
    <row r="5">
      <c r="A5" t="inlineStr">
        <is>
          <t>Percent of goal reached</t>
        </is>
      </c>
      <c r="B5" s="9">
        <f>B4/B1</f>
        <v/>
      </c>
    </row>
    <row r="6">
      <c r="A6" t="inlineStr">
        <is>
          <t>Still to sell</t>
        </is>
      </c>
      <c r="B6" s="8">
        <f>MAX(0,B1-B4)</f>
        <v/>
      </c>
    </row>
    <row r="7">
      <c r="A7" t="inlineStr">
        <is>
          <t>Days left after the as-of date</t>
        </is>
      </c>
      <c r="B7" s="10">
        <f>EOMONTH(B2,0)-B2</f>
        <v/>
      </c>
    </row>
    <row r="8">
      <c r="A8" t="inlineStr">
        <is>
          <t>Needed per day to reach the goal</t>
        </is>
      </c>
      <c r="B8" s="8">
        <f>IF(B6=0,"",IF(B7=0,"Last day",B6/B7))</f>
        <v/>
      </c>
    </row>
    <row r="9">
      <c r="A9" t="inlineStr">
        <is>
          <t>Average per day so far</t>
        </is>
      </c>
      <c r="B9" s="8">
        <f>B4/DAY(B2)</f>
        <v/>
      </c>
    </row>
    <row r="10">
      <c r="A10" t="inlineStr">
        <is>
          <t>Projected month total at this pace</t>
        </is>
      </c>
      <c r="B10" s="8">
        <f>B9*DAY(EOMONTH(B2,0))</f>
        <v/>
      </c>
    </row>
    <row r="11">
      <c r="A11" t="inlineStr">
        <is>
          <t>On pace?</t>
        </is>
      </c>
      <c r="B11" s="11">
        <f>IF(B10&gt;=B1,"On pace","Behind")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Track Progress to a Monthly Sales Goal</t>
        </is>
      </c>
    </row>
    <row r="2">
      <c r="A2" s="13" t="inlineStr"/>
    </row>
    <row r="3">
      <c r="A3" s="13" t="inlineStr">
        <is>
          <t>1. Daily sales tab: type each sale date (a real date) in A and the amount in B. Order does not matter. Sales from other months are ignored.</t>
        </is>
      </c>
    </row>
    <row r="4">
      <c r="A4" s="13" t="inlineStr">
        <is>
          <t>2. Goal tab: the yellow cells are the monthly goal (B1) and the as-of date (B2). Type the date to see a past or future day, or enter =TODAY() to follow the calendar.</t>
        </is>
      </c>
    </row>
    <row r="5">
      <c r="A5" s="13" t="inlineStr">
        <is>
          <t>3. B3: =EOMONTH(B2,-1)+1 is the first day of the as-of month. B4 adds the sales from that day through the as-of date with SUMIFS.</t>
        </is>
      </c>
    </row>
    <row r="6">
      <c r="A6" s="13" t="inlineStr">
        <is>
          <t>4. B5: =B4/B1 is the share of the goal reached. B6: =MAX(0,B1-B4) is what is still to sell.</t>
        </is>
      </c>
    </row>
    <row r="7">
      <c r="A7" s="13" t="inlineStr">
        <is>
          <t>5. B7: =EOMONTH(B2,0)-B2 counts the days after the as-of date. B8: =IF(B6=0,"",IF(B7=0,"Last day",B6/B7)) is the amount to sell per day from here to reach the goal.</t>
        </is>
      </c>
    </row>
    <row r="8">
      <c r="A8" s="13" t="inlineStr">
        <is>
          <t>6. B9: =B4/DAY(B2) is the average per day so far, counting days with no sales. B10: =B9*DAY(EOMONTH(B2,0)) projects that average over the whole month. B11 compares it with the goal.</t>
        </is>
      </c>
    </row>
    <row r="9">
      <c r="A9" s="13" t="inlineStr">
        <is>
          <t>7. The projection is a straight line, so a busy season, a market weekend or a slow stretch will not match it. Use it as a rough check, not a forecast.</t>
        </is>
      </c>
    </row>
    <row r="10">
      <c r="A10" s="13" t="inlineStr"/>
    </row>
    <row r="11">
      <c r="A11" s="13" t="inlineStr">
        <is>
          <t>Dates and amounts are fictional. Checked in LibreOffice Calc only; not opened in Excel or Google Sheets.</t>
        </is>
      </c>
    </row>
    <row r="12">
      <c r="A12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2026-10-11T07:28:26Z</dcterms:created>
  <dcterms:modified xmlns:dcterms="http://purl.org/dc/terms/" xmlns:xsi="http://www.w3.org/2001/XMLSchema-instance" xsi:type="dcterms:W3CDTF">2026-10-11T07:28:26Z</dcterms:modified>
</cp:coreProperties>
</file>