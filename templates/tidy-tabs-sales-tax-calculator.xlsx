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tax" sheetId="1" state="visible" r:id="rId1"/>
    <sheet xmlns:r="http://schemas.openxmlformats.org/officeDocument/2006/relationships" name="Tax-inclusive totals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4" fontId="0" fillId="3" borderId="0" pivotButton="0" quotePrefix="0" xfId="0"/>
    <xf numFmtId="16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2" customWidth="1" min="4" max="4"/>
    <col width="16" customWidth="1" min="5" max="5"/>
    <col width="10" customWidth="1" min="6" max="6"/>
  </cols>
  <sheetData>
    <row r="1" ht="30" customHeight="1">
      <c r="A1" s="1" t="inlineStr">
        <is>
          <t>Item</t>
        </is>
      </c>
      <c r="B1" s="1" t="inlineStr">
        <is>
          <t>Price before tax</t>
        </is>
      </c>
      <c r="C1" s="1" t="inlineStr">
        <is>
          <t>Sales tax</t>
        </is>
      </c>
      <c r="D1" s="1" t="inlineStr">
        <is>
          <t>Total</t>
        </is>
      </c>
      <c r="E1" s="2" t="inlineStr">
        <is>
          <t>Sales tax rate</t>
        </is>
      </c>
      <c r="F1" s="3" t="n">
        <v>0.0625</v>
      </c>
    </row>
    <row r="2">
      <c r="A2" t="inlineStr">
        <is>
          <t>Ceramic mug</t>
        </is>
      </c>
      <c r="B2" s="4" t="n">
        <v>18</v>
      </c>
      <c r="C2" s="5">
        <f>ROUND(B2*$F$1,2)</f>
        <v/>
      </c>
      <c r="D2" s="5">
        <f>B2+C2</f>
        <v/>
      </c>
    </row>
    <row r="3">
      <c r="A3" t="inlineStr">
        <is>
          <t>Sticker pack</t>
        </is>
      </c>
      <c r="B3" s="4" t="n">
        <v>4.5</v>
      </c>
      <c r="C3" s="5">
        <f>ROUND(B3*$F$1,2)</f>
        <v/>
      </c>
      <c r="D3" s="5">
        <f>B3+C3</f>
        <v/>
      </c>
    </row>
    <row r="4">
      <c r="A4" t="inlineStr">
        <is>
          <t>Canvas tote bag</t>
        </is>
      </c>
      <c r="B4" s="4" t="n">
        <v>24</v>
      </c>
      <c r="C4" s="5">
        <f>ROUND(B4*$F$1,2)</f>
        <v/>
      </c>
      <c r="D4" s="5">
        <f>B4+C4</f>
        <v/>
      </c>
    </row>
    <row r="5">
      <c r="A5" t="inlineStr">
        <is>
          <t>Soy candle, 8 oz</t>
        </is>
      </c>
      <c r="B5" s="4" t="n">
        <v>16</v>
      </c>
      <c r="C5" s="5">
        <f>ROUND(B5*$F$1,2)</f>
        <v/>
      </c>
      <c r="D5" s="5">
        <f>B5+C5</f>
        <v/>
      </c>
    </row>
    <row r="6">
      <c r="A6" t="inlineStr">
        <is>
          <t>Art print, 8 x 10</t>
        </is>
      </c>
      <c r="B6" s="4" t="n">
        <v>12.99</v>
      </c>
      <c r="C6" s="5">
        <f>ROUND(B6*$F$1,2)</f>
        <v/>
      </c>
      <c r="D6" s="5">
        <f>B6+C6</f>
        <v/>
      </c>
    </row>
    <row r="7">
      <c r="A7" t="inlineStr">
        <is>
          <t>Beaded earrings</t>
        </is>
      </c>
      <c r="B7" s="4" t="n">
        <v>32.5</v>
      </c>
      <c r="C7" s="5">
        <f>ROUND(B7*$F$1,2)</f>
        <v/>
      </c>
      <c r="D7" s="5">
        <f>B7+C7</f>
        <v/>
      </c>
    </row>
    <row r="8">
      <c r="A8" s="2" t="inlineStr">
        <is>
          <t>Total</t>
        </is>
      </c>
      <c r="B8" s="6">
        <f>SUM(B2:B7)</f>
        <v/>
      </c>
      <c r="C8" s="6">
        <f>SUM(C2:C7)</f>
        <v/>
      </c>
      <c r="D8" s="6">
        <f>SUM(D2:D7)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0" customWidth="1" min="6" max="6"/>
  </cols>
  <sheetData>
    <row r="1" ht="30" customHeight="1">
      <c r="A1" s="1" t="inlineStr">
        <is>
          <t>Item</t>
        </is>
      </c>
      <c r="B1" s="1" t="inlineStr">
        <is>
          <t>Total paid (tax included)</t>
        </is>
      </c>
      <c r="C1" s="1" t="inlineStr">
        <is>
          <t>Tax inside the total</t>
        </is>
      </c>
      <c r="D1" s="1" t="inlineStr">
        <is>
          <t>Price before tax</t>
        </is>
      </c>
      <c r="E1" s="2" t="inlineStr">
        <is>
          <t>Sales tax rate</t>
        </is>
      </c>
      <c r="F1" s="3">
        <f>'Sales tax'!F1</f>
        <v/>
      </c>
    </row>
    <row r="2">
      <c r="A2" t="inlineStr">
        <is>
          <t>Ceramic mug</t>
        </is>
      </c>
      <c r="B2" s="4" t="n">
        <v>19.13</v>
      </c>
      <c r="C2" s="5">
        <f>ROUND(B2-B2/(1+$F$1),2)</f>
        <v/>
      </c>
      <c r="D2" s="5">
        <f>B2-C2</f>
        <v/>
      </c>
    </row>
    <row r="3">
      <c r="A3" t="inlineStr">
        <is>
          <t>Sticker pack</t>
        </is>
      </c>
      <c r="B3" s="4" t="n">
        <v>4.78</v>
      </c>
      <c r="C3" s="5">
        <f>ROUND(B3-B3/(1+$F$1),2)</f>
        <v/>
      </c>
      <c r="D3" s="5">
        <f>B3-C3</f>
        <v/>
      </c>
    </row>
    <row r="4">
      <c r="A4" t="inlineStr">
        <is>
          <t>Canvas tote bag</t>
        </is>
      </c>
      <c r="B4" s="4" t="n">
        <v>25.5</v>
      </c>
      <c r="C4" s="5">
        <f>ROUND(B4-B4/(1+$F$1),2)</f>
        <v/>
      </c>
      <c r="D4" s="5">
        <f>B4-C4</f>
        <v/>
      </c>
    </row>
    <row r="5">
      <c r="A5" t="inlineStr">
        <is>
          <t>Soy candle, 8 oz</t>
        </is>
      </c>
      <c r="B5" s="4" t="n">
        <v>17</v>
      </c>
      <c r="C5" s="5">
        <f>ROUND(B5-B5/(1+$F$1),2)</f>
        <v/>
      </c>
      <c r="D5" s="5">
        <f>B5-C5</f>
        <v/>
      </c>
    </row>
    <row r="6">
      <c r="A6" t="inlineStr">
        <is>
          <t>Art print, 8 x 10</t>
        </is>
      </c>
      <c r="B6" s="4" t="n">
        <v>13.8</v>
      </c>
      <c r="C6" s="5">
        <f>ROUND(B6-B6/(1+$F$1),2)</f>
        <v/>
      </c>
      <c r="D6" s="5">
        <f>B6-C6</f>
        <v/>
      </c>
    </row>
    <row r="7">
      <c r="A7" t="inlineStr">
        <is>
          <t>Beaded earrings</t>
        </is>
      </c>
      <c r="B7" s="4" t="n">
        <v>34.53</v>
      </c>
      <c r="C7" s="5">
        <f>ROUND(B7-B7/(1+$F$1),2)</f>
        <v/>
      </c>
      <c r="D7" s="5">
        <f>B7-C7</f>
        <v/>
      </c>
    </row>
    <row r="8">
      <c r="A8" t="inlineStr">
        <is>
          <t>Gift set, one price at a booth</t>
        </is>
      </c>
      <c r="B8" s="4" t="n">
        <v>50</v>
      </c>
      <c r="C8" s="5">
        <f>ROUND(B8-B8/(1+$F$1),2)</f>
        <v/>
      </c>
      <c r="D8" s="5">
        <f>B8-C8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Tidy Tabs: Sales Tax Calculator</t>
        </is>
      </c>
    </row>
    <row r="2">
      <c r="A2" t="inlineStr"/>
    </row>
    <row r="3">
      <c r="A3" t="inlineStr">
        <is>
          <t>1. Type your rate in F1 on the Sales tax tab (6.25% is a made-up example). Rates vary by state, county and city, so check your state's revenue department site for the real rate.</t>
        </is>
      </c>
    </row>
    <row r="4">
      <c r="A4" t="inlineStr">
        <is>
          <t>2. Sales tax = ROUND(Price x rate, 2). ROUND to cents because you cannot collect a fraction of a cent.</t>
        </is>
      </c>
    </row>
    <row r="5">
      <c r="A5" t="inlineStr">
        <is>
          <t>3. Total = Price + Sales tax. Row 8 adds up each column.</t>
        </is>
      </c>
    </row>
    <row r="6">
      <c r="A6" t="inlineStr">
        <is>
          <t>4. Tax-inclusive totals tab: type what the customer paid in column B. Tax inside = ROUND(Total - Total / (1 + rate), 2). Price before tax = Total - Tax.</t>
        </is>
      </c>
    </row>
    <row r="7">
      <c r="A7" t="inlineStr">
        <is>
          <t>5. The rate on the second tab follows F1 on the first tab.</t>
        </is>
      </c>
    </row>
    <row r="8">
      <c r="A8" t="inlineStr">
        <is>
          <t>6. Example: $18.00 x 6.25% = $1.125, rounded to $1.13, so the total is $19.13.</t>
        </is>
      </c>
    </row>
    <row r="9">
      <c r="A9" t="inlineStr"/>
    </row>
    <row r="10">
      <c r="A10" t="inlineStr">
        <is>
          <t>Items, prices and the rate are fictional. This sheet only does arithmetic and is not tax advice.</t>
        </is>
      </c>
    </row>
    <row r="11">
      <c r="A11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2026-10-07T07:26:45Z</dcterms:created>
  <dcterms:modified xmlns:dcterms="http://purl.org/dc/terms/" xmlns:xsi="http://www.w3.org/2001/XMLSchema-instance" xsi:type="dcterms:W3CDTF">2026-10-07T07:26:45Z</dcterms:modified>
</cp:coreProperties>
</file>