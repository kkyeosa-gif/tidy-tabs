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'Chart'!$1:$1</definedName>
    <definedName name="_xlnm.Print_Area" localSheetId="0">'Chart'!$A$1:$R$25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2" borderId="0" pivotButton="0" quotePrefix="0" xfId="0"/>
    <xf numFmtId="164" fontId="0" fillId="4" borderId="0" pivotButton="0" quotePrefix="0" xfId="0"/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vs goal (fictional gift shop)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'Chart'!B4</f>
            </strRef>
          </tx>
          <spPr>
            <a:solidFill xmlns:a="http://schemas.openxmlformats.org/drawingml/2006/main">
              <a:srgbClr val="2E5E4E"/>
            </a:solidFill>
            <a:ln xmlns:a="http://schemas.openxmlformats.org/drawingml/2006/main">
              <a:solidFill>
                <a:srgbClr val="2E5E4E"/>
              </a:solidFill>
              <a:prstDash val="solid"/>
            </a:ln>
          </spPr>
          <cat>
            <numRef>
              <f>'Chart'!$A$5:$A$16</f>
            </numRef>
          </cat>
          <val>
            <numRef>
              <f>'Chart'!$B$5:$B$16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'Chart'!C4</f>
            </strRef>
          </tx>
          <spPr>
            <a:ln xmlns:a="http://schemas.openxmlformats.org/drawingml/2006/main" w="28575">
              <a:solidFill>
                <a:srgbClr val="C0392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'Chart'!$C$5:$C$16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(US dollars)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7020000" cy="41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3" customWidth="1" min="5" max="5"/>
  </cols>
  <sheetData>
    <row r="1">
      <c r="A1" s="1" t="inlineStr">
        <is>
          <t>Monthly goal</t>
        </is>
      </c>
      <c r="B1" s="2" t="n">
        <v>4000</v>
      </c>
      <c r="C1" s="3" t="inlineStr">
        <is>
          <t>Gift shop sales by month (fictional). Type the goal once in B1.</t>
        </is>
      </c>
    </row>
    <row r="4" ht="24" customHeight="1">
      <c r="A4" s="4" t="inlineStr">
        <is>
          <t>Month</t>
        </is>
      </c>
      <c r="B4" s="4" t="inlineStr">
        <is>
          <t>Sales</t>
        </is>
      </c>
      <c r="C4" s="4" t="inlineStr">
        <is>
          <t>Goal</t>
        </is>
      </c>
      <c r="D4" s="4" t="inlineStr">
        <is>
          <t>Difference</t>
        </is>
      </c>
    </row>
    <row r="5">
      <c r="A5" s="5" t="inlineStr">
        <is>
          <t>Jan</t>
        </is>
      </c>
      <c r="B5" s="2" t="n">
        <v>3184.5</v>
      </c>
      <c r="C5" s="6">
        <f>$B$1</f>
        <v/>
      </c>
      <c r="D5" s="6">
        <f>IF(AND(ISNUMBER(B5),ISNUMBER(C5)),B5-C5,"")</f>
        <v/>
      </c>
    </row>
    <row r="6">
      <c r="A6" s="5" t="inlineStr">
        <is>
          <t>Feb</t>
        </is>
      </c>
      <c r="B6" s="2" t="n">
        <v>2860</v>
      </c>
      <c r="C6" s="6">
        <f>$B$1</f>
        <v/>
      </c>
      <c r="D6" s="6">
        <f>IF(AND(ISNUMBER(B6),ISNUMBER(C6)),B6-C6,"")</f>
        <v/>
      </c>
    </row>
    <row r="7">
      <c r="A7" s="5" t="inlineStr">
        <is>
          <t>Mar</t>
        </is>
      </c>
      <c r="B7" s="2" t="n">
        <v>3642.25</v>
      </c>
      <c r="C7" s="6">
        <f>$B$1</f>
        <v/>
      </c>
      <c r="D7" s="6">
        <f>IF(AND(ISNUMBER(B7),ISNUMBER(C7)),B7-C7,"")</f>
        <v/>
      </c>
    </row>
    <row r="8">
      <c r="A8" s="5" t="inlineStr">
        <is>
          <t>Apr</t>
        </is>
      </c>
      <c r="B8" s="2" t="n">
        <v>4118</v>
      </c>
      <c r="C8" s="6">
        <f>$B$1</f>
        <v/>
      </c>
      <c r="D8" s="6">
        <f>IF(AND(ISNUMBER(B8),ISNUMBER(C8)),B8-C8,"")</f>
        <v/>
      </c>
    </row>
    <row r="9">
      <c r="A9" s="5" t="inlineStr">
        <is>
          <t>May</t>
        </is>
      </c>
      <c r="B9" s="2" t="n">
        <v>4655.75</v>
      </c>
      <c r="C9" s="6">
        <f>$B$1</f>
        <v/>
      </c>
      <c r="D9" s="6">
        <f>IF(AND(ISNUMBER(B9),ISNUMBER(C9)),B9-C9,"")</f>
        <v/>
      </c>
    </row>
    <row r="10">
      <c r="A10" s="5" t="inlineStr">
        <is>
          <t>Jun</t>
        </is>
      </c>
      <c r="B10" s="2" t="n">
        <v>4290</v>
      </c>
      <c r="C10" s="6">
        <f>$B$1</f>
        <v/>
      </c>
      <c r="D10" s="6">
        <f>IF(AND(ISNUMBER(B10),ISNUMBER(C10)),B10-C10,"")</f>
        <v/>
      </c>
    </row>
    <row r="11">
      <c r="A11" s="5" t="inlineStr">
        <is>
          <t>Jul</t>
        </is>
      </c>
      <c r="B11" s="2" t="n">
        <v>3915.5</v>
      </c>
      <c r="C11" s="6">
        <f>$B$1</f>
        <v/>
      </c>
      <c r="D11" s="6">
        <f>IF(AND(ISNUMBER(B11),ISNUMBER(C11)),B11-C11,"")</f>
        <v/>
      </c>
    </row>
    <row r="12">
      <c r="A12" s="5" t="inlineStr">
        <is>
          <t>Aug</t>
        </is>
      </c>
      <c r="B12" s="2" t="n">
        <v>4430.25</v>
      </c>
      <c r="C12" s="6">
        <f>$B$1</f>
        <v/>
      </c>
      <c r="D12" s="6">
        <f>IF(AND(ISNUMBER(B12),ISNUMBER(C12)),B12-C12,"")</f>
        <v/>
      </c>
    </row>
    <row r="13">
      <c r="A13" s="5" t="inlineStr">
        <is>
          <t>Sep</t>
        </is>
      </c>
      <c r="B13" s="2" t="n">
        <v>3748</v>
      </c>
      <c r="C13" s="6">
        <f>$B$1</f>
        <v/>
      </c>
      <c r="D13" s="6">
        <f>IF(AND(ISNUMBER(B13),ISNUMBER(C13)),B13-C13,"")</f>
        <v/>
      </c>
    </row>
    <row r="14">
      <c r="A14" s="5" t="inlineStr">
        <is>
          <t>Oct</t>
        </is>
      </c>
      <c r="B14" s="2" t="n">
        <v>4902.5</v>
      </c>
      <c r="C14" s="6">
        <f>$B$1</f>
        <v/>
      </c>
      <c r="D14" s="6">
        <f>IF(AND(ISNUMBER(B14),ISNUMBER(C14)),B14-C14,"")</f>
        <v/>
      </c>
    </row>
    <row r="15">
      <c r="A15" s="5" t="inlineStr">
        <is>
          <t>Nov</t>
        </is>
      </c>
      <c r="B15" s="2" t="n">
        <v>5811</v>
      </c>
      <c r="C15" s="6">
        <f>$B$1</f>
        <v/>
      </c>
      <c r="D15" s="6">
        <f>IF(AND(ISNUMBER(B15),ISNUMBER(C15)),B15-C15,"")</f>
        <v/>
      </c>
    </row>
    <row r="16">
      <c r="A16" s="5" t="inlineStr">
        <is>
          <t>Dec</t>
        </is>
      </c>
      <c r="B16" s="2" t="n">
        <v>7236.25</v>
      </c>
      <c r="C16" s="6">
        <f>$B$1</f>
        <v/>
      </c>
      <c r="D16" s="6">
        <f>IF(AND(ISNUMBER(B16),ISNUMBER(C16)),B16-C16,"")</f>
        <v/>
      </c>
    </row>
    <row r="18">
      <c r="A18" s="1" t="inlineStr">
        <is>
          <t>Months at or above goal</t>
        </is>
      </c>
      <c r="D18" s="7">
        <f>COUNTIF(D5:D16,"&gt;=0")</f>
        <v/>
      </c>
    </row>
    <row r="19">
      <c r="A19" s="1" t="inlineStr">
        <is>
          <t>Months with sales entered</t>
        </is>
      </c>
      <c r="D19" s="7">
        <f>COUNT(B5:B16)</f>
        <v/>
      </c>
    </row>
    <row r="20">
      <c r="A20" s="1" t="inlineStr">
        <is>
          <t>Best month</t>
        </is>
      </c>
      <c r="D20" s="8">
        <f>IFERROR(INDEX(A5:A16,MATCH(MAX(B5:B16),B5:B16,0)),"")</f>
        <v/>
      </c>
    </row>
    <row r="21">
      <c r="A21" s="1" t="inlineStr">
        <is>
          <t>Best month sales</t>
        </is>
      </c>
      <c r="D21" s="9">
        <f>IF(COUNT(B5:B16)=0,"",MAX(B5:B16))</f>
        <v/>
      </c>
    </row>
    <row r="22">
      <c r="A22" s="1" t="inlineStr">
        <is>
          <t>Total sales</t>
        </is>
      </c>
      <c r="D22" s="9">
        <f>SUM(B5:B16)</f>
        <v/>
      </c>
    </row>
    <row r="23">
      <c r="A23" s="1" t="inlineStr">
        <is>
          <t>Goal for the months entered</t>
        </is>
      </c>
      <c r="D23" s="9">
        <f>SUMPRODUCT(--ISNUMBER(B5:B16),C5:C16)</f>
        <v/>
      </c>
    </row>
    <row r="24">
      <c r="A24" s="1" t="inlineStr">
        <is>
          <t>Total sales minus goal</t>
        </is>
      </c>
      <c r="D24" s="9">
        <f>D22-D23</f>
        <v/>
      </c>
    </row>
    <row r="25">
      <c r="A25" s="1" t="inlineStr">
        <is>
          <t>Check: goal is a number, sales are numbers</t>
        </is>
      </c>
      <c r="D25" s="8">
        <f>IF(AND(ISNUMBER(B1),COUNT(B5:B16)=COUNTA(B5:B16),SUMPRODUCT((A5:A16="")*(B5:B16&lt;&gt;""))=0),"OK","CHECK")</f>
        <v/>
      </c>
    </row>
  </sheetData>
  <conditionalFormatting sqref="D25">
    <cfRule type="expression" priority="1" dxfId="0">
      <formula>AND(D25&lt;&gt;"OK",D25&lt;&gt;"")</formula>
    </cfRule>
  </conditionalFormatting>
  <pageMargins left="0.75" right="0.75" top="1" bottom="1" header="0.5" footer="0.5"/>
  <pageSetup orientation="landscape" paperSize="1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Monthly Sales Chart With a Goal Line</t>
        </is>
      </c>
    </row>
    <row r="2">
      <c r="A2" s="11" t="inlineStr"/>
    </row>
    <row r="3">
      <c r="A3" s="11" t="inlineStr">
        <is>
          <t>1. Chart tab: type the monthly goal in B1 and each month's sales in B5:B16. Yellow. The months in A5:A16 are typed text. The sample is 12 fictional gift shop months, some under and some over the $4,000.00 goal.</t>
        </is>
      </c>
    </row>
    <row r="4">
      <c r="A4" s="11" t="inlineStr">
        <is>
          <t>2. Goal, C5: =$B$1, the same in every row, so one cell sets the whole line. Difference, D5: =IF(AND(ISNUMBER(B5),ISNUMBER(C5)),B5-C5,"") is sales minus goal; a month with no sales entered stays blank.</t>
        </is>
      </c>
    </row>
    <row r="5">
      <c r="A5" s="11" t="inlineStr">
        <is>
          <t>3. The chart is a real chart object, not cell shading. Sales (B4:B16) is a clustered column series. Goal (C4:C16) is a line series on the same axis, with the months in A5:A16 as the labels.</t>
        </is>
      </c>
    </row>
    <row r="6">
      <c r="A6" s="11" t="inlineStr">
        <is>
          <t>4. Change B1 and the Goal column and the line move. Clear a Sales cell and that month has no column (a gap, not a zero); the Goal line still crosses it.</t>
        </is>
      </c>
    </row>
    <row r="7">
      <c r="A7" s="11" t="inlineStr">
        <is>
          <t>5. Summary, A18:D25: months at or above goal (difference of 0 or more), best month, total sales, the goal for the months that have sales, and the difference. D25 shows OK when the goal is a number and every sales cell is a number on a row with a month name.</t>
        </is>
      </c>
    </row>
    <row r="8">
      <c r="A8" s="11" t="inlineStr">
        <is>
          <t>6. To build your own: select the month, Sales and Goal columns, insert a column chart, then change the Goal series to a line. Excel: Insert &gt; Chart, then Change Series Chart Type. Google Sheets: Insert &gt; Chart, then Customize &gt; Series &gt; Format. After importing this file, check that both series came across.</t>
        </is>
      </c>
    </row>
    <row r="9">
      <c r="A9" s="11" t="inlineStr">
        <is>
          <t>7. The file sets the paper to US Letter, landscape, one page wide.</t>
        </is>
      </c>
    </row>
    <row r="10">
      <c r="A10" s="11" t="inlineStr"/>
    </row>
    <row r="11">
      <c r="A11" s="11" t="inlineStr">
        <is>
          <t>Sales are fictional. Checked in LibreOffice Calc only (the chart was seen in its PDF export); not opened in Excel or Google Sheets. This sheet does not suggest a goal.</t>
        </is>
      </c>
    </row>
    <row r="12">
      <c r="A12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2026-10-25T07:33:43Z</dcterms:created>
  <dcterms:modified xmlns:dcterms="http://purl.org/dc/terms/" xmlns:xsi="http://www.w3.org/2001/XMLSchema-instance" xsi:type="dcterms:W3CDTF">2026-10-25T07:33:43Z</dcterms:modified>
</cp:coreProperties>
</file>