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ipe" sheetId="1" state="visible" r:id="rId1"/>
    <sheet xmlns:r="http://schemas.openxmlformats.org/officeDocument/2006/relationships" name="How to use" sheetId="2" state="visible" r:id="rId2"/>
  </sheets>
  <definedNames>
    <definedName name="_xlnm.Print_Titles" localSheetId="0">'Recipe'!$5:$5</definedName>
  </definedNames>
  <calcPr calcId="124519" fullCalcOnLoad="1"/>
</workbook>
</file>

<file path=xl/styles.xml><?xml version="1.0" encoding="utf-8"?>
<styleSheet xmlns="http://schemas.openxmlformats.org/spreadsheetml/2006/main">
  <numFmts count="2">
    <numFmt numFmtId="164" formatCode="0.00&quot;x&quot;"/>
    <numFmt numFmtId="165" formatCode="0.##"/>
  </numFmts>
  <fonts count="4">
    <font>
      <name val="Calibri"/>
      <family val="2"/>
      <color theme="1"/>
      <sz val="11"/>
      <scheme val="minor"/>
    </font>
    <font>
      <b val="1"/>
    </font>
    <font>
      <b val="1"/>
      <color rgb="00FFFFFF"/>
    </font>
    <font>
      <b val="1"/>
      <sz val="13"/>
    </font>
  </fonts>
  <fills count="5">
    <fill>
      <patternFill/>
    </fill>
    <fill>
      <patternFill patternType="gray125"/>
    </fill>
    <fill>
      <patternFill patternType="solid">
        <fgColor rgb="00FFF2CC"/>
      </patternFill>
    </fill>
    <fill>
      <patternFill patternType="solid">
        <fgColor rgb="00EDEDED"/>
      </patternFill>
    </fill>
    <fill>
      <patternFill patternType="solid">
        <fgColor rgb="002E5E4E"/>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2" borderId="0" applyAlignment="1" pivotButton="0" quotePrefix="0" xfId="0">
      <alignment horizontal="right"/>
    </xf>
    <xf numFmtId="164" fontId="0" fillId="3" borderId="0" applyAlignment="1" pivotButton="0" quotePrefix="0" xfId="0">
      <alignment horizontal="right"/>
    </xf>
    <xf numFmtId="0" fontId="0" fillId="3" borderId="0" applyAlignment="1" pivotButton="0" quotePrefix="0" xfId="0">
      <alignment horizontal="right"/>
    </xf>
    <xf numFmtId="0" fontId="2" fillId="4" borderId="0" applyAlignment="1" pivotButton="0" quotePrefix="0" xfId="0">
      <alignment vertical="center" wrapText="1"/>
    </xf>
    <xf numFmtId="0" fontId="0" fillId="2" borderId="0" pivotButton="0" quotePrefix="0" xfId="0"/>
    <xf numFmtId="165" fontId="0" fillId="2" borderId="0" pivotButton="0" quotePrefix="0" xfId="0"/>
    <xf numFmtId="2" fontId="0" fillId="3"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0"/>
  <sheetViews>
    <sheetView workbookViewId="0">
      <pane ySplit="5" topLeftCell="A6" activePane="bottomLeft" state="frozen"/>
      <selection pane="bottomLeft" activeCell="A1" sqref="A1"/>
    </sheetView>
  </sheetViews>
  <sheetFormatPr baseColWidth="8" defaultRowHeight="15"/>
  <cols>
    <col width="30" customWidth="1" min="1" max="1"/>
    <col width="14" customWidth="1" min="2" max="2"/>
    <col width="18" customWidth="1" min="3" max="3"/>
    <col width="14" customWidth="1" min="4" max="4"/>
    <col width="18" customWidth="1" min="5" max="5"/>
  </cols>
  <sheetData>
    <row r="1">
      <c r="A1" s="1" t="inlineStr">
        <is>
          <t>Base batch yield (jars)</t>
        </is>
      </c>
      <c r="C1" s="2" t="n">
        <v>12</v>
      </c>
    </row>
    <row r="2">
      <c r="A2" s="1" t="inlineStr">
        <is>
          <t>Target yield (jars)</t>
        </is>
      </c>
      <c r="C2" s="2" t="n">
        <v>30</v>
      </c>
    </row>
    <row r="3">
      <c r="A3" s="1" t="inlineStr">
        <is>
          <t>Scale factor</t>
        </is>
      </c>
      <c r="C3" s="3">
        <f>IF(AND(ISNUMBER(C1),C1&gt;0),IF(ISNUMBER(C2),C2/C1,0),"")</f>
        <v/>
      </c>
    </row>
    <row r="4">
      <c r="A4" s="1" t="inlineStr">
        <is>
          <t>Check</t>
        </is>
      </c>
      <c r="C4" s="4">
        <f>IF(C3="","Check base yield",IF(C3=0,"Check target yield",IF(SUMPRODUCT((A6:A30&lt;&gt;"")*(1-ISNUMBER(B6:B30)))&gt;0,"Check quantities","OK")))</f>
        <v/>
      </c>
    </row>
    <row r="5">
      <c r="A5" s="5" t="inlineStr">
        <is>
          <t>Ingredient</t>
        </is>
      </c>
      <c r="B5" s="5" t="inlineStr">
        <is>
          <t>Base quantity</t>
        </is>
      </c>
      <c r="C5" s="5" t="inlineStr">
        <is>
          <t>Unit</t>
        </is>
      </c>
      <c r="D5" s="5" t="inlineStr">
        <is>
          <t>Scaled quantity</t>
        </is>
      </c>
      <c r="E5" s="5" t="inlineStr">
        <is>
          <t>Buy whole units</t>
        </is>
      </c>
    </row>
    <row r="6">
      <c r="A6" s="6" t="inlineStr">
        <is>
          <t>Strawberries</t>
        </is>
      </c>
      <c r="B6" s="7" t="n">
        <v>64</v>
      </c>
      <c r="C6" s="6" t="inlineStr">
        <is>
          <t>oz</t>
        </is>
      </c>
      <c r="D6" s="8">
        <f>IF(OR(C$3="",NOT(ISNUMBER(B6))),"",ROUND(B6*$C$3,2))</f>
        <v/>
      </c>
      <c r="E6" s="8">
        <f>IF(D6="","",IF(C6="each",ROUNDUP(ROUND(B6*$C$3,6),0),ROUND(B6*$C$3,2)))</f>
        <v/>
      </c>
    </row>
    <row r="7">
      <c r="A7" s="6" t="inlineStr">
        <is>
          <t>Granulated sugar</t>
        </is>
      </c>
      <c r="B7" s="7" t="n">
        <v>6</v>
      </c>
      <c r="C7" s="6" t="inlineStr">
        <is>
          <t>cup</t>
        </is>
      </c>
      <c r="D7" s="8">
        <f>IF(OR(C$3="",NOT(ISNUMBER(B7))),"",ROUND(B7*$C$3,2))</f>
        <v/>
      </c>
      <c r="E7" s="8">
        <f>IF(D7="","",IF(C7="each",ROUNDUP(ROUND(B7*$C$3,6),0),ROUND(B7*$C$3,2)))</f>
        <v/>
      </c>
    </row>
    <row r="8">
      <c r="A8" s="6" t="inlineStr">
        <is>
          <t>Lemon juice</t>
        </is>
      </c>
      <c r="B8" s="7" t="n">
        <v>0.25</v>
      </c>
      <c r="C8" s="6" t="inlineStr">
        <is>
          <t>cup</t>
        </is>
      </c>
      <c r="D8" s="8">
        <f>IF(OR(C$3="",NOT(ISNUMBER(B8))),"",ROUND(B8*$C$3,2))</f>
        <v/>
      </c>
      <c r="E8" s="8">
        <f>IF(D8="","",IF(C8="each",ROUNDUP(ROUND(B8*$C$3,6),0),ROUND(B8*$C$3,2)))</f>
        <v/>
      </c>
    </row>
    <row r="9">
      <c r="A9" s="6" t="inlineStr">
        <is>
          <t>Powdered pectin</t>
        </is>
      </c>
      <c r="B9" s="7" t="n">
        <v>4</v>
      </c>
      <c r="C9" s="6" t="inlineStr">
        <is>
          <t>tsp</t>
        </is>
      </c>
      <c r="D9" s="8">
        <f>IF(OR(C$3="",NOT(ISNUMBER(B9))),"",ROUND(B9*$C$3,2))</f>
        <v/>
      </c>
      <c r="E9" s="8">
        <f>IF(D9="","",IF(C9="each",ROUNDUP(ROUND(B9*$C$3,6),0),ROUND(B9*$C$3,2)))</f>
        <v/>
      </c>
    </row>
    <row r="10">
      <c r="A10" s="6" t="inlineStr">
        <is>
          <t>Lemons</t>
        </is>
      </c>
      <c r="B10" s="7" t="n">
        <v>3</v>
      </c>
      <c r="C10" s="6" t="inlineStr">
        <is>
          <t>each</t>
        </is>
      </c>
      <c r="D10" s="8">
        <f>IF(OR(C$3="",NOT(ISNUMBER(B10))),"",ROUND(B10*$C$3,2))</f>
        <v/>
      </c>
      <c r="E10" s="8">
        <f>IF(D10="","",IF(C10="each",ROUNDUP(ROUND(B10*$C$3,6),0),ROUND(B10*$C$3,2)))</f>
        <v/>
      </c>
    </row>
    <row r="11">
      <c r="A11" s="6" t="inlineStr">
        <is>
          <t>Vanilla extract</t>
        </is>
      </c>
      <c r="B11" s="7" t="n">
        <v>1.5</v>
      </c>
      <c r="C11" s="6" t="inlineStr">
        <is>
          <t>tsp</t>
        </is>
      </c>
      <c r="D11" s="8">
        <f>IF(OR(C$3="",NOT(ISNUMBER(B11))),"",ROUND(B11*$C$3,2))</f>
        <v/>
      </c>
      <c r="E11" s="8">
        <f>IF(D11="","",IF(C11="each",ROUNDUP(ROUND(B11*$C$3,6),0),ROUND(B11*$C$3,2)))</f>
        <v/>
      </c>
    </row>
    <row r="12">
      <c r="A12" s="6" t="inlineStr">
        <is>
          <t>Salt</t>
        </is>
      </c>
      <c r="B12" s="7" t="n">
        <v>0.25</v>
      </c>
      <c r="C12" s="6" t="inlineStr">
        <is>
          <t>tsp</t>
        </is>
      </c>
      <c r="D12" s="8">
        <f>IF(OR(C$3="",NOT(ISNUMBER(B12))),"",ROUND(B12*$C$3,2))</f>
        <v/>
      </c>
      <c r="E12" s="8">
        <f>IF(D12="","",IF(C12="each",ROUNDUP(ROUND(B12*$C$3,6),0),ROUND(B12*$C$3,2)))</f>
        <v/>
      </c>
    </row>
    <row r="13">
      <c r="A13" s="6" t="inlineStr">
        <is>
          <t>Jar lids</t>
        </is>
      </c>
      <c r="B13" s="7" t="n">
        <v>12</v>
      </c>
      <c r="C13" s="6" t="inlineStr">
        <is>
          <t>each</t>
        </is>
      </c>
      <c r="D13" s="8">
        <f>IF(OR(C$3="",NOT(ISNUMBER(B13))),"",ROUND(B13*$C$3,2))</f>
        <v/>
      </c>
      <c r="E13" s="8">
        <f>IF(D13="","",IF(C13="each",ROUNDUP(ROUND(B13*$C$3,6),0),ROUND(B13*$C$3,2)))</f>
        <v/>
      </c>
    </row>
    <row r="14">
      <c r="A14" s="6" t="n"/>
      <c r="B14" s="7" t="n"/>
      <c r="C14" s="6" t="n"/>
      <c r="D14" s="8">
        <f>IF(OR(C$3="",NOT(ISNUMBER(B14))),"",ROUND(B14*$C$3,2))</f>
        <v/>
      </c>
      <c r="E14" s="8">
        <f>IF(D14="","",IF(C14="each",ROUNDUP(ROUND(B14*$C$3,6),0),ROUND(B14*$C$3,2)))</f>
        <v/>
      </c>
    </row>
    <row r="15">
      <c r="A15" s="6" t="n"/>
      <c r="B15" s="7" t="n"/>
      <c r="C15" s="6" t="n"/>
      <c r="D15" s="8">
        <f>IF(OR(C$3="",NOT(ISNUMBER(B15))),"",ROUND(B15*$C$3,2))</f>
        <v/>
      </c>
      <c r="E15" s="8">
        <f>IF(D15="","",IF(C15="each",ROUNDUP(ROUND(B15*$C$3,6),0),ROUND(B15*$C$3,2)))</f>
        <v/>
      </c>
    </row>
    <row r="16">
      <c r="A16" s="6" t="n"/>
      <c r="B16" s="7" t="n"/>
      <c r="C16" s="6" t="n"/>
      <c r="D16" s="8">
        <f>IF(OR(C$3="",NOT(ISNUMBER(B16))),"",ROUND(B16*$C$3,2))</f>
        <v/>
      </c>
      <c r="E16" s="8">
        <f>IF(D16="","",IF(C16="each",ROUNDUP(ROUND(B16*$C$3,6),0),ROUND(B16*$C$3,2)))</f>
        <v/>
      </c>
    </row>
    <row r="17">
      <c r="A17" s="6" t="n"/>
      <c r="B17" s="7" t="n"/>
      <c r="C17" s="6" t="n"/>
      <c r="D17" s="8">
        <f>IF(OR(C$3="",NOT(ISNUMBER(B17))),"",ROUND(B17*$C$3,2))</f>
        <v/>
      </c>
      <c r="E17" s="8">
        <f>IF(D17="","",IF(C17="each",ROUNDUP(ROUND(B17*$C$3,6),0),ROUND(B17*$C$3,2)))</f>
        <v/>
      </c>
    </row>
    <row r="18">
      <c r="A18" s="6" t="n"/>
      <c r="B18" s="7" t="n"/>
      <c r="C18" s="6" t="n"/>
      <c r="D18" s="8">
        <f>IF(OR(C$3="",NOT(ISNUMBER(B18))),"",ROUND(B18*$C$3,2))</f>
        <v/>
      </c>
      <c r="E18" s="8">
        <f>IF(D18="","",IF(C18="each",ROUNDUP(ROUND(B18*$C$3,6),0),ROUND(B18*$C$3,2)))</f>
        <v/>
      </c>
    </row>
    <row r="19">
      <c r="A19" s="6" t="n"/>
      <c r="B19" s="7" t="n"/>
      <c r="C19" s="6" t="n"/>
      <c r="D19" s="8">
        <f>IF(OR(C$3="",NOT(ISNUMBER(B19))),"",ROUND(B19*$C$3,2))</f>
        <v/>
      </c>
      <c r="E19" s="8">
        <f>IF(D19="","",IF(C19="each",ROUNDUP(ROUND(B19*$C$3,6),0),ROUND(B19*$C$3,2)))</f>
        <v/>
      </c>
    </row>
    <row r="20">
      <c r="A20" s="6" t="n"/>
      <c r="B20" s="7" t="n"/>
      <c r="C20" s="6" t="n"/>
      <c r="D20" s="8">
        <f>IF(OR(C$3="",NOT(ISNUMBER(B20))),"",ROUND(B20*$C$3,2))</f>
        <v/>
      </c>
      <c r="E20" s="8">
        <f>IF(D20="","",IF(C20="each",ROUNDUP(ROUND(B20*$C$3,6),0),ROUND(B20*$C$3,2)))</f>
        <v/>
      </c>
    </row>
    <row r="21">
      <c r="A21" s="6" t="n"/>
      <c r="B21" s="7" t="n"/>
      <c r="C21" s="6" t="n"/>
      <c r="D21" s="8">
        <f>IF(OR(C$3="",NOT(ISNUMBER(B21))),"",ROUND(B21*$C$3,2))</f>
        <v/>
      </c>
      <c r="E21" s="8">
        <f>IF(D21="","",IF(C21="each",ROUNDUP(ROUND(B21*$C$3,6),0),ROUND(B21*$C$3,2)))</f>
        <v/>
      </c>
    </row>
    <row r="22">
      <c r="A22" s="6" t="n"/>
      <c r="B22" s="7" t="n"/>
      <c r="C22" s="6" t="n"/>
      <c r="D22" s="8">
        <f>IF(OR(C$3="",NOT(ISNUMBER(B22))),"",ROUND(B22*$C$3,2))</f>
        <v/>
      </c>
      <c r="E22" s="8">
        <f>IF(D22="","",IF(C22="each",ROUNDUP(ROUND(B22*$C$3,6),0),ROUND(B22*$C$3,2)))</f>
        <v/>
      </c>
    </row>
    <row r="23">
      <c r="A23" s="6" t="n"/>
      <c r="B23" s="7" t="n"/>
      <c r="C23" s="6" t="n"/>
      <c r="D23" s="8">
        <f>IF(OR(C$3="",NOT(ISNUMBER(B23))),"",ROUND(B23*$C$3,2))</f>
        <v/>
      </c>
      <c r="E23" s="8">
        <f>IF(D23="","",IF(C23="each",ROUNDUP(ROUND(B23*$C$3,6),0),ROUND(B23*$C$3,2)))</f>
        <v/>
      </c>
    </row>
    <row r="24">
      <c r="A24" s="6" t="n"/>
      <c r="B24" s="7" t="n"/>
      <c r="C24" s="6" t="n"/>
      <c r="D24" s="8">
        <f>IF(OR(C$3="",NOT(ISNUMBER(B24))),"",ROUND(B24*$C$3,2))</f>
        <v/>
      </c>
      <c r="E24" s="8">
        <f>IF(D24="","",IF(C24="each",ROUNDUP(ROUND(B24*$C$3,6),0),ROUND(B24*$C$3,2)))</f>
        <v/>
      </c>
    </row>
    <row r="25">
      <c r="A25" s="6" t="n"/>
      <c r="B25" s="7" t="n"/>
      <c r="C25" s="6" t="n"/>
      <c r="D25" s="8">
        <f>IF(OR(C$3="",NOT(ISNUMBER(B25))),"",ROUND(B25*$C$3,2))</f>
        <v/>
      </c>
      <c r="E25" s="8">
        <f>IF(D25="","",IF(C25="each",ROUNDUP(ROUND(B25*$C$3,6),0),ROUND(B25*$C$3,2)))</f>
        <v/>
      </c>
    </row>
    <row r="26">
      <c r="A26" s="6" t="n"/>
      <c r="B26" s="7" t="n"/>
      <c r="C26" s="6" t="n"/>
      <c r="D26" s="8">
        <f>IF(OR(C$3="",NOT(ISNUMBER(B26))),"",ROUND(B26*$C$3,2))</f>
        <v/>
      </c>
      <c r="E26" s="8">
        <f>IF(D26="","",IF(C26="each",ROUNDUP(ROUND(B26*$C$3,6),0),ROUND(B26*$C$3,2)))</f>
        <v/>
      </c>
    </row>
    <row r="27">
      <c r="A27" s="6" t="n"/>
      <c r="B27" s="7" t="n"/>
      <c r="C27" s="6" t="n"/>
      <c r="D27" s="8">
        <f>IF(OR(C$3="",NOT(ISNUMBER(B27))),"",ROUND(B27*$C$3,2))</f>
        <v/>
      </c>
      <c r="E27" s="8">
        <f>IF(D27="","",IF(C27="each",ROUNDUP(ROUND(B27*$C$3,6),0),ROUND(B27*$C$3,2)))</f>
        <v/>
      </c>
    </row>
    <row r="28">
      <c r="A28" s="6" t="n"/>
      <c r="B28" s="7" t="n"/>
      <c r="C28" s="6" t="n"/>
      <c r="D28" s="8">
        <f>IF(OR(C$3="",NOT(ISNUMBER(B28))),"",ROUND(B28*$C$3,2))</f>
        <v/>
      </c>
      <c r="E28" s="8">
        <f>IF(D28="","",IF(C28="each",ROUNDUP(ROUND(B28*$C$3,6),0),ROUND(B28*$C$3,2)))</f>
        <v/>
      </c>
    </row>
    <row r="29">
      <c r="A29" s="6" t="n"/>
      <c r="B29" s="7" t="n"/>
      <c r="C29" s="6" t="n"/>
      <c r="D29" s="8">
        <f>IF(OR(C$3="",NOT(ISNUMBER(B29))),"",ROUND(B29*$C$3,2))</f>
        <v/>
      </c>
      <c r="E29" s="8">
        <f>IF(D29="","",IF(C29="each",ROUNDUP(ROUND(B29*$C$3,6),0),ROUND(B29*$C$3,2)))</f>
        <v/>
      </c>
    </row>
    <row r="30">
      <c r="A30" s="6" t="n"/>
      <c r="B30" s="7" t="n"/>
      <c r="C30" s="6" t="n"/>
      <c r="D30" s="8">
        <f>IF(OR(C$3="",NOT(ISNUMBER(B30))),"",ROUND(B30*$C$3,2))</f>
        <v/>
      </c>
      <c r="E30" s="8">
        <f>IF(D30="","",IF(C30="each",ROUNDUP(ROUND(B30*$C$3,6),0),ROUND(B30*$C$3,2)))</f>
        <v/>
      </c>
    </row>
  </sheetData>
  <conditionalFormatting sqref="C4">
    <cfRule type="expression" priority="1" dxfId="0">
      <formula>C4&lt;&gt;"OK"</formula>
    </cfRule>
  </conditionalFormatting>
  <dataValidations count="1">
    <dataValidation sqref="C6:C30" showDropDown="0" showInputMessage="0" showErrorMessage="0" allowBlank="1" type="list">
      <formula1>"oz,cup,tsp,each"</formula1>
    </dataValidation>
  </dataValidations>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00" customWidth="1" min="1" max="1"/>
  </cols>
  <sheetData>
    <row r="1">
      <c r="A1" s="9" t="inlineStr">
        <is>
          <t>Tidy Tabs: Scale a Recipe or Batch Up or Down</t>
        </is>
      </c>
    </row>
    <row r="2">
      <c r="A2" s="10" t="inlineStr"/>
    </row>
    <row r="3">
      <c r="A3" s="10" t="inlineStr">
        <is>
          <t>1. Recipe tab: type how many jars (or loaves, bars, candles) the recipe makes in C1 and how many you want in C2 (yellow).</t>
        </is>
      </c>
    </row>
    <row r="4">
      <c r="A4" s="10" t="inlineStr">
        <is>
          <t>2. C3: =C2/C1 is the scale factor, shown as a multiplier. 30 jars from a 12 jar recipe is 2.50x.</t>
        </is>
      </c>
    </row>
    <row r="5">
      <c r="A5" s="10" t="inlineStr">
        <is>
          <t>3. Type each ingredient, its base quantity and its unit in A to C. Write fractions as decimals: 1/3 cup is 0.33 and 1/4 cup is 0.25.</t>
        </is>
      </c>
    </row>
    <row r="6">
      <c r="A6" s="10" t="inlineStr">
        <is>
          <t>4. D6: =ROUND(B6*$C$3,2). The $ signs lock the factor to C3, so the formula can be copied down and still points at the same cell. B6 has no $ and moves to B7, B8 and so on.</t>
        </is>
      </c>
    </row>
    <row r="7">
      <c r="A7" s="10" t="inlineStr">
        <is>
          <t>5. E6 is for things you cannot buy in parts. When the unit is each, it rounds up to a whole number with ROUNDUP (3 lemons times 2.5 is 7.5, so 8). Other units are rounded to 2 decimals like D.</t>
        </is>
      </c>
    </row>
    <row r="8">
      <c r="A8" s="10" t="inlineStr">
        <is>
          <t>6. If C2 is blank or 0 the factor is 0 and every quantity becomes 0: C4 says Check target yield. If C1 is 0 or blank, C3 stays empty and C4 says Check base yield. A quantity typed as text is left out and C4 says Check quantities.</t>
        </is>
      </c>
    </row>
    <row r="9">
      <c r="A9" s="10" t="inlineStr">
        <is>
          <t>7. Rows 6 to 30 have formulas ready; copy the formula cells down for more.</t>
        </is>
      </c>
    </row>
    <row r="10">
      <c r="A10" s="10" t="inlineStr"/>
    </row>
    <row r="11">
      <c r="A11" s="10" t="inlineStr">
        <is>
          <t>The jam recipe and quantities are fictional. Cooking times, baking chemistry, set points and food safety can change at larger sizes, and this sheet does not cover them. Checked in LibreOffice Calc only; not opened in Excel or Google Sheets.</t>
        </is>
      </c>
    </row>
    <row r="12">
      <c r="A12" s="10"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2026-10-16T07:33:09Z</dcterms:created>
  <dcterms:modified xmlns:dcterms="http://purl.org/dc/terms/" xmlns:xsi="http://www.w3.org/2001/XMLSchema-instance" xsi:type="dcterms:W3CDTF">2026-10-16T07:33:09Z</dcterms:modified>
</cp:coreProperties>
</file>