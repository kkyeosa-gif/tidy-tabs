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How to use" sheetId="2" state="visible" r:id="rId2"/>
  </sheets>
  <definedNames>
    <definedName name="_xlnm.Print_Titles" localSheetId="0">'Products'!$1:$1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9" fontId="0" fillId="3" borderId="0" pivotButton="0" quotePrefix="0" xfId="0"/>
    <xf numFmtId="1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3" customWidth="1" min="5" max="5"/>
    <col width="14" customWidth="1" min="6" max="6"/>
    <col width="4" customWidth="1" min="7" max="7"/>
    <col width="30" customWidth="1" min="8" max="8"/>
    <col width="12" customWidth="1" min="9" max="9"/>
  </cols>
  <sheetData>
    <row r="1" ht="30" customHeight="1">
      <c r="A1" s="1" t="inlineStr">
        <is>
          <t>Product</t>
        </is>
      </c>
      <c r="B1" s="1" t="inlineStr">
        <is>
          <t>Units received</t>
        </is>
      </c>
      <c r="C1" s="1" t="inlineStr">
        <is>
          <t>Units sold</t>
        </is>
      </c>
      <c r="D1" s="1" t="inlineStr">
        <is>
          <t>Units left</t>
        </is>
      </c>
      <c r="E1" s="1" t="inlineStr">
        <is>
          <t>Sell through</t>
        </is>
      </c>
      <c r="F1" s="1" t="inlineStr">
        <is>
          <t>Status</t>
        </is>
      </c>
      <c r="H1" s="2" t="inlineStr">
        <is>
          <t>Settings and totals</t>
        </is>
      </c>
    </row>
    <row r="2">
      <c r="A2" s="3" t="inlineStr">
        <is>
          <t>Lavender soy candle, 8 oz</t>
        </is>
      </c>
      <c r="B2" s="3" t="n">
        <v>48</v>
      </c>
      <c r="C2" s="3" t="n">
        <v>41</v>
      </c>
      <c r="D2" s="4">
        <f>IF(OR(B2="",C2=""),"",B2-C2)</f>
        <v/>
      </c>
      <c r="E2" s="5">
        <f>IF(OR(NOT(ISNUMBER(B2)),NOT(ISNUMBER(C2))),"",IF(B2&lt;=0,"",C2/B2))</f>
        <v/>
      </c>
      <c r="F2" s="4">
        <f>IF(E2="","",IF(E2&gt;1,"Check counts",IF(E2&gt;=$I$2,"Strong",IF(E2&lt;$I$3,"Slow","OK"))))</f>
        <v/>
      </c>
      <c r="H2" t="inlineStr">
        <is>
          <t>Strong at or above</t>
        </is>
      </c>
      <c r="I2" s="6" t="n">
        <v>0.7</v>
      </c>
    </row>
    <row r="3">
      <c r="A3" s="3" t="inlineStr">
        <is>
          <t>Cedar soy candle, 8 oz</t>
        </is>
      </c>
      <c r="B3" s="3" t="n">
        <v>48</v>
      </c>
      <c r="C3" s="3" t="n">
        <v>30</v>
      </c>
      <c r="D3" s="4">
        <f>IF(OR(B3="",C3=""),"",B3-C3)</f>
        <v/>
      </c>
      <c r="E3" s="5">
        <f>IF(OR(NOT(ISNUMBER(B3)),NOT(ISNUMBER(C3))),"",IF(B3&lt;=0,"",C3/B3))</f>
        <v/>
      </c>
      <c r="F3" s="4">
        <f>IF(E3="","",IF(E3&gt;1,"Check counts",IF(E3&gt;=$I$2,"Strong",IF(E3&lt;$I$3,"Slow","OK"))))</f>
        <v/>
      </c>
      <c r="H3" t="inlineStr">
        <is>
          <t>Slow below</t>
        </is>
      </c>
      <c r="I3" s="6" t="n">
        <v>0.4</v>
      </c>
    </row>
    <row r="4">
      <c r="A4" s="3" t="inlineStr">
        <is>
          <t>Oatmeal goat milk soap</t>
        </is>
      </c>
      <c r="B4" s="3" t="n">
        <v>120</v>
      </c>
      <c r="C4" s="3" t="n">
        <v>96</v>
      </c>
      <c r="D4" s="4">
        <f>IF(OR(B4="",C4=""),"",B4-C4)</f>
        <v/>
      </c>
      <c r="E4" s="5">
        <f>IF(OR(NOT(ISNUMBER(B4)),NOT(ISNUMBER(C4))),"",IF(B4&lt;=0,"",C4/B4))</f>
        <v/>
      </c>
      <c r="F4" s="4">
        <f>IF(E4="","",IF(E4&gt;1,"Check counts",IF(E4&gt;=$I$2,"Strong",IF(E4&lt;$I$3,"Slow","OK"))))</f>
        <v/>
      </c>
    </row>
    <row r="5">
      <c r="A5" s="3" t="inlineStr">
        <is>
          <t>Charcoal soap bar</t>
        </is>
      </c>
      <c r="B5" s="3" t="n">
        <v>60</v>
      </c>
      <c r="C5" s="3" t="n">
        <v>21</v>
      </c>
      <c r="D5" s="4">
        <f>IF(OR(B5="",C5=""),"",B5-C5)</f>
        <v/>
      </c>
      <c r="E5" s="5">
        <f>IF(OR(NOT(ISNUMBER(B5)),NOT(ISNUMBER(C5))),"",IF(B5&lt;=0,"",C5/B5))</f>
        <v/>
      </c>
      <c r="F5" s="4">
        <f>IF(E5="","",IF(E5&gt;1,"Check counts",IF(E5&gt;=$I$2,"Strong",IF(E5&lt;$I$3,"Slow","OK"))))</f>
        <v/>
      </c>
      <c r="H5" t="inlineStr">
        <is>
          <t>Units received</t>
        </is>
      </c>
      <c r="I5" s="7">
        <f>SUM(B2:B30)</f>
        <v/>
      </c>
    </row>
    <row r="6">
      <c r="A6" s="3" t="inlineStr">
        <is>
          <t>Brass hoop earrings</t>
        </is>
      </c>
      <c r="B6" s="3" t="n">
        <v>30</v>
      </c>
      <c r="C6" s="3" t="n">
        <v>12</v>
      </c>
      <c r="D6" s="4">
        <f>IF(OR(B6="",C6=""),"",B6-C6)</f>
        <v/>
      </c>
      <c r="E6" s="5">
        <f>IF(OR(NOT(ISNUMBER(B6)),NOT(ISNUMBER(C6))),"",IF(B6&lt;=0,"",C6/B6))</f>
        <v/>
      </c>
      <c r="F6" s="4">
        <f>IF(E6="","",IF(E6&gt;1,"Check counts",IF(E6&gt;=$I$2,"Strong",IF(E6&lt;$I$3,"Slow","OK"))))</f>
        <v/>
      </c>
      <c r="H6" t="inlineStr">
        <is>
          <t>Units sold</t>
        </is>
      </c>
      <c r="I6" s="7">
        <f>SUM(C2:C30)</f>
        <v/>
      </c>
    </row>
    <row r="7">
      <c r="A7" s="3" t="inlineStr">
        <is>
          <t>Letterpress birthday card</t>
        </is>
      </c>
      <c r="B7" s="3" t="n">
        <v>100</v>
      </c>
      <c r="C7" s="3" t="n">
        <v>78</v>
      </c>
      <c r="D7" s="4">
        <f>IF(OR(B7="",C7=""),"",B7-C7)</f>
        <v/>
      </c>
      <c r="E7" s="5">
        <f>IF(OR(NOT(ISNUMBER(B7)),NOT(ISNUMBER(C7))),"",IF(B7&lt;=0,"",C7/B7))</f>
        <v/>
      </c>
      <c r="F7" s="4">
        <f>IF(E7="","",IF(E7&gt;1,"Check counts",IF(E7&gt;=$I$2,"Strong",IF(E7&lt;$I$3,"Slow","OK"))))</f>
        <v/>
      </c>
      <c r="H7" t="inlineStr">
        <is>
          <t>Overall sell through</t>
        </is>
      </c>
      <c r="I7" s="5">
        <f>IF(I5=0,"",I6/I5)</f>
        <v/>
      </c>
    </row>
    <row r="8">
      <c r="A8" s="3" t="inlineStr">
        <is>
          <t>Linen tote bag</t>
        </is>
      </c>
      <c r="B8" s="3" t="n">
        <v>25</v>
      </c>
      <c r="C8" s="3" t="n">
        <v>25</v>
      </c>
      <c r="D8" s="4">
        <f>IF(OR(B8="",C8=""),"",B8-C8)</f>
        <v/>
      </c>
      <c r="E8" s="5">
        <f>IF(OR(NOT(ISNUMBER(B8)),NOT(ISNUMBER(C8))),"",IF(B8&lt;=0,"",C8/B8))</f>
        <v/>
      </c>
      <c r="F8" s="4">
        <f>IF(E8="","",IF(E8&gt;1,"Check counts",IF(E8&gt;=$I$2,"Strong",IF(E8&lt;$I$3,"Slow","OK"))))</f>
        <v/>
      </c>
      <c r="H8" t="inlineStr">
        <is>
          <t>Products marked Slow</t>
        </is>
      </c>
      <c r="I8" s="7">
        <f>COUNTIF(F2:F30,"Slow")</f>
        <v/>
      </c>
    </row>
    <row r="9">
      <c r="A9" s="3" t="inlineStr">
        <is>
          <t>Gift tag set</t>
        </is>
      </c>
      <c r="B9" s="3" t="n">
        <v>80</v>
      </c>
      <c r="C9" s="3" t="n">
        <v>18</v>
      </c>
      <c r="D9" s="4">
        <f>IF(OR(B9="",C9=""),"",B9-C9)</f>
        <v/>
      </c>
      <c r="E9" s="5">
        <f>IF(OR(NOT(ISNUMBER(B9)),NOT(ISNUMBER(C9))),"",IF(B9&lt;=0,"",C9/B9))</f>
        <v/>
      </c>
      <c r="F9" s="4">
        <f>IF(E9="","",IF(E9&gt;1,"Check counts",IF(E9&gt;=$I$2,"Strong",IF(E9&lt;$I$3,"Slow","OK"))))</f>
        <v/>
      </c>
      <c r="H9" t="inlineStr">
        <is>
          <t>Units left on those</t>
        </is>
      </c>
      <c r="I9" s="7">
        <f>SUMIF(F2:F30,"Slow",D2:D30)</f>
        <v/>
      </c>
    </row>
    <row r="10">
      <c r="A10" s="3" t="n"/>
      <c r="B10" s="3" t="n"/>
      <c r="C10" s="3" t="n"/>
      <c r="D10" s="4">
        <f>IF(OR(B10="",C10=""),"",B10-C10)</f>
        <v/>
      </c>
      <c r="E10" s="5">
        <f>IF(OR(NOT(ISNUMBER(B10)),NOT(ISNUMBER(C10))),"",IF(B10&lt;=0,"",C10/B10))</f>
        <v/>
      </c>
      <c r="F10" s="4">
        <f>IF(E10="","",IF(E10&gt;1,"Check counts",IF(E10&gt;=$I$2,"Strong",IF(E10&lt;$I$3,"Slow","OK"))))</f>
        <v/>
      </c>
    </row>
    <row r="11">
      <c r="A11" s="3" t="n"/>
      <c r="B11" s="3" t="n"/>
      <c r="C11" s="3" t="n"/>
      <c r="D11" s="4">
        <f>IF(OR(B11="",C11=""),"",B11-C11)</f>
        <v/>
      </c>
      <c r="E11" s="5">
        <f>IF(OR(NOT(ISNUMBER(B11)),NOT(ISNUMBER(C11))),"",IF(B11&lt;=0,"",C11/B11))</f>
        <v/>
      </c>
      <c r="F11" s="4">
        <f>IF(E11="","",IF(E11&gt;1,"Check counts",IF(E11&gt;=$I$2,"Strong",IF(E11&lt;$I$3,"Slow","OK"))))</f>
        <v/>
      </c>
    </row>
    <row r="12">
      <c r="A12" s="3" t="n"/>
      <c r="B12" s="3" t="n"/>
      <c r="C12" s="3" t="n"/>
      <c r="D12" s="4">
        <f>IF(OR(B12="",C12=""),"",B12-C12)</f>
        <v/>
      </c>
      <c r="E12" s="5">
        <f>IF(OR(NOT(ISNUMBER(B12)),NOT(ISNUMBER(C12))),"",IF(B12&lt;=0,"",C12/B12))</f>
        <v/>
      </c>
      <c r="F12" s="4">
        <f>IF(E12="","",IF(E12&gt;1,"Check counts",IF(E12&gt;=$I$2,"Strong",IF(E12&lt;$I$3,"Slow","OK"))))</f>
        <v/>
      </c>
    </row>
    <row r="13">
      <c r="A13" s="3" t="n"/>
      <c r="B13" s="3" t="n"/>
      <c r="C13" s="3" t="n"/>
      <c r="D13" s="4">
        <f>IF(OR(B13="",C13=""),"",B13-C13)</f>
        <v/>
      </c>
      <c r="E13" s="5">
        <f>IF(OR(NOT(ISNUMBER(B13)),NOT(ISNUMBER(C13))),"",IF(B13&lt;=0,"",C13/B13))</f>
        <v/>
      </c>
      <c r="F13" s="4">
        <f>IF(E13="","",IF(E13&gt;1,"Check counts",IF(E13&gt;=$I$2,"Strong",IF(E13&lt;$I$3,"Slow","OK"))))</f>
        <v/>
      </c>
    </row>
    <row r="14">
      <c r="A14" s="3" t="n"/>
      <c r="B14" s="3" t="n"/>
      <c r="C14" s="3" t="n"/>
      <c r="D14" s="4">
        <f>IF(OR(B14="",C14=""),"",B14-C14)</f>
        <v/>
      </c>
      <c r="E14" s="5">
        <f>IF(OR(NOT(ISNUMBER(B14)),NOT(ISNUMBER(C14))),"",IF(B14&lt;=0,"",C14/B14))</f>
        <v/>
      </c>
      <c r="F14" s="4">
        <f>IF(E14="","",IF(E14&gt;1,"Check counts",IF(E14&gt;=$I$2,"Strong",IF(E14&lt;$I$3,"Slow","OK"))))</f>
        <v/>
      </c>
    </row>
    <row r="15">
      <c r="A15" s="3" t="n"/>
      <c r="B15" s="3" t="n"/>
      <c r="C15" s="3" t="n"/>
      <c r="D15" s="4">
        <f>IF(OR(B15="",C15=""),"",B15-C15)</f>
        <v/>
      </c>
      <c r="E15" s="5">
        <f>IF(OR(NOT(ISNUMBER(B15)),NOT(ISNUMBER(C15))),"",IF(B15&lt;=0,"",C15/B15))</f>
        <v/>
      </c>
      <c r="F15" s="4">
        <f>IF(E15="","",IF(E15&gt;1,"Check counts",IF(E15&gt;=$I$2,"Strong",IF(E15&lt;$I$3,"Slow","OK"))))</f>
        <v/>
      </c>
    </row>
    <row r="16">
      <c r="A16" s="3" t="n"/>
      <c r="B16" s="3" t="n"/>
      <c r="C16" s="3" t="n"/>
      <c r="D16" s="4">
        <f>IF(OR(B16="",C16=""),"",B16-C16)</f>
        <v/>
      </c>
      <c r="E16" s="5">
        <f>IF(OR(NOT(ISNUMBER(B16)),NOT(ISNUMBER(C16))),"",IF(B16&lt;=0,"",C16/B16))</f>
        <v/>
      </c>
      <c r="F16" s="4">
        <f>IF(E16="","",IF(E16&gt;1,"Check counts",IF(E16&gt;=$I$2,"Strong",IF(E16&lt;$I$3,"Slow","OK"))))</f>
        <v/>
      </c>
    </row>
    <row r="17">
      <c r="A17" s="3" t="n"/>
      <c r="B17" s="3" t="n"/>
      <c r="C17" s="3" t="n"/>
      <c r="D17" s="4">
        <f>IF(OR(B17="",C17=""),"",B17-C17)</f>
        <v/>
      </c>
      <c r="E17" s="5">
        <f>IF(OR(NOT(ISNUMBER(B17)),NOT(ISNUMBER(C17))),"",IF(B17&lt;=0,"",C17/B17))</f>
        <v/>
      </c>
      <c r="F17" s="4">
        <f>IF(E17="","",IF(E17&gt;1,"Check counts",IF(E17&gt;=$I$2,"Strong",IF(E17&lt;$I$3,"Slow","OK"))))</f>
        <v/>
      </c>
    </row>
    <row r="18">
      <c r="A18" s="3" t="n"/>
      <c r="B18" s="3" t="n"/>
      <c r="C18" s="3" t="n"/>
      <c r="D18" s="4">
        <f>IF(OR(B18="",C18=""),"",B18-C18)</f>
        <v/>
      </c>
      <c r="E18" s="5">
        <f>IF(OR(NOT(ISNUMBER(B18)),NOT(ISNUMBER(C18))),"",IF(B18&lt;=0,"",C18/B18))</f>
        <v/>
      </c>
      <c r="F18" s="4">
        <f>IF(E18="","",IF(E18&gt;1,"Check counts",IF(E18&gt;=$I$2,"Strong",IF(E18&lt;$I$3,"Slow","OK"))))</f>
        <v/>
      </c>
    </row>
    <row r="19">
      <c r="A19" s="3" t="n"/>
      <c r="B19" s="3" t="n"/>
      <c r="C19" s="3" t="n"/>
      <c r="D19" s="4">
        <f>IF(OR(B19="",C19=""),"",B19-C19)</f>
        <v/>
      </c>
      <c r="E19" s="5">
        <f>IF(OR(NOT(ISNUMBER(B19)),NOT(ISNUMBER(C19))),"",IF(B19&lt;=0,"",C19/B19))</f>
        <v/>
      </c>
      <c r="F19" s="4">
        <f>IF(E19="","",IF(E19&gt;1,"Check counts",IF(E19&gt;=$I$2,"Strong",IF(E19&lt;$I$3,"Slow","OK"))))</f>
        <v/>
      </c>
    </row>
    <row r="20">
      <c r="A20" s="3" t="n"/>
      <c r="B20" s="3" t="n"/>
      <c r="C20" s="3" t="n"/>
      <c r="D20" s="4">
        <f>IF(OR(B20="",C20=""),"",B20-C20)</f>
        <v/>
      </c>
      <c r="E20" s="5">
        <f>IF(OR(NOT(ISNUMBER(B20)),NOT(ISNUMBER(C20))),"",IF(B20&lt;=0,"",C20/B20))</f>
        <v/>
      </c>
      <c r="F20" s="4">
        <f>IF(E20="","",IF(E20&gt;1,"Check counts",IF(E20&gt;=$I$2,"Strong",IF(E20&lt;$I$3,"Slow","OK"))))</f>
        <v/>
      </c>
    </row>
    <row r="21">
      <c r="A21" s="3" t="n"/>
      <c r="B21" s="3" t="n"/>
      <c r="C21" s="3" t="n"/>
      <c r="D21" s="4">
        <f>IF(OR(B21="",C21=""),"",B21-C21)</f>
        <v/>
      </c>
      <c r="E21" s="5">
        <f>IF(OR(NOT(ISNUMBER(B21)),NOT(ISNUMBER(C21))),"",IF(B21&lt;=0,"",C21/B21))</f>
        <v/>
      </c>
      <c r="F21" s="4">
        <f>IF(E21="","",IF(E21&gt;1,"Check counts",IF(E21&gt;=$I$2,"Strong",IF(E21&lt;$I$3,"Slow","OK"))))</f>
        <v/>
      </c>
    </row>
    <row r="22">
      <c r="A22" s="3" t="n"/>
      <c r="B22" s="3" t="n"/>
      <c r="C22" s="3" t="n"/>
      <c r="D22" s="4">
        <f>IF(OR(B22="",C22=""),"",B22-C22)</f>
        <v/>
      </c>
      <c r="E22" s="5">
        <f>IF(OR(NOT(ISNUMBER(B22)),NOT(ISNUMBER(C22))),"",IF(B22&lt;=0,"",C22/B22))</f>
        <v/>
      </c>
      <c r="F22" s="4">
        <f>IF(E22="","",IF(E22&gt;1,"Check counts",IF(E22&gt;=$I$2,"Strong",IF(E22&lt;$I$3,"Slow","OK"))))</f>
        <v/>
      </c>
    </row>
    <row r="23">
      <c r="A23" s="3" t="n"/>
      <c r="B23" s="3" t="n"/>
      <c r="C23" s="3" t="n"/>
      <c r="D23" s="4">
        <f>IF(OR(B23="",C23=""),"",B23-C23)</f>
        <v/>
      </c>
      <c r="E23" s="5">
        <f>IF(OR(NOT(ISNUMBER(B23)),NOT(ISNUMBER(C23))),"",IF(B23&lt;=0,"",C23/B23))</f>
        <v/>
      </c>
      <c r="F23" s="4">
        <f>IF(E23="","",IF(E23&gt;1,"Check counts",IF(E23&gt;=$I$2,"Strong",IF(E23&lt;$I$3,"Slow","OK"))))</f>
        <v/>
      </c>
    </row>
    <row r="24">
      <c r="A24" s="3" t="n"/>
      <c r="B24" s="3" t="n"/>
      <c r="C24" s="3" t="n"/>
      <c r="D24" s="4">
        <f>IF(OR(B24="",C24=""),"",B24-C24)</f>
        <v/>
      </c>
      <c r="E24" s="5">
        <f>IF(OR(NOT(ISNUMBER(B24)),NOT(ISNUMBER(C24))),"",IF(B24&lt;=0,"",C24/B24))</f>
        <v/>
      </c>
      <c r="F24" s="4">
        <f>IF(E24="","",IF(E24&gt;1,"Check counts",IF(E24&gt;=$I$2,"Strong",IF(E24&lt;$I$3,"Slow","OK"))))</f>
        <v/>
      </c>
    </row>
    <row r="25">
      <c r="A25" s="3" t="n"/>
      <c r="B25" s="3" t="n"/>
      <c r="C25" s="3" t="n"/>
      <c r="D25" s="4">
        <f>IF(OR(B25="",C25=""),"",B25-C25)</f>
        <v/>
      </c>
      <c r="E25" s="5">
        <f>IF(OR(NOT(ISNUMBER(B25)),NOT(ISNUMBER(C25))),"",IF(B25&lt;=0,"",C25/B25))</f>
        <v/>
      </c>
      <c r="F25" s="4">
        <f>IF(E25="","",IF(E25&gt;1,"Check counts",IF(E25&gt;=$I$2,"Strong",IF(E25&lt;$I$3,"Slow","OK"))))</f>
        <v/>
      </c>
    </row>
    <row r="26">
      <c r="A26" s="3" t="n"/>
      <c r="B26" s="3" t="n"/>
      <c r="C26" s="3" t="n"/>
      <c r="D26" s="4">
        <f>IF(OR(B26="",C26=""),"",B26-C26)</f>
        <v/>
      </c>
      <c r="E26" s="5">
        <f>IF(OR(NOT(ISNUMBER(B26)),NOT(ISNUMBER(C26))),"",IF(B26&lt;=0,"",C26/B26))</f>
        <v/>
      </c>
      <c r="F26" s="4">
        <f>IF(E26="","",IF(E26&gt;1,"Check counts",IF(E26&gt;=$I$2,"Strong",IF(E26&lt;$I$3,"Slow","OK"))))</f>
        <v/>
      </c>
    </row>
    <row r="27">
      <c r="A27" s="3" t="n"/>
      <c r="B27" s="3" t="n"/>
      <c r="C27" s="3" t="n"/>
      <c r="D27" s="4">
        <f>IF(OR(B27="",C27=""),"",B27-C27)</f>
        <v/>
      </c>
      <c r="E27" s="5">
        <f>IF(OR(NOT(ISNUMBER(B27)),NOT(ISNUMBER(C27))),"",IF(B27&lt;=0,"",C27/B27))</f>
        <v/>
      </c>
      <c r="F27" s="4">
        <f>IF(E27="","",IF(E27&gt;1,"Check counts",IF(E27&gt;=$I$2,"Strong",IF(E27&lt;$I$3,"Slow","OK"))))</f>
        <v/>
      </c>
    </row>
    <row r="28">
      <c r="A28" s="3" t="n"/>
      <c r="B28" s="3" t="n"/>
      <c r="C28" s="3" t="n"/>
      <c r="D28" s="4">
        <f>IF(OR(B28="",C28=""),"",B28-C28)</f>
        <v/>
      </c>
      <c r="E28" s="5">
        <f>IF(OR(NOT(ISNUMBER(B28)),NOT(ISNUMBER(C28))),"",IF(B28&lt;=0,"",C28/B28))</f>
        <v/>
      </c>
      <c r="F28" s="4">
        <f>IF(E28="","",IF(E28&gt;1,"Check counts",IF(E28&gt;=$I$2,"Strong",IF(E28&lt;$I$3,"Slow","OK"))))</f>
        <v/>
      </c>
    </row>
    <row r="29">
      <c r="A29" s="3" t="n"/>
      <c r="B29" s="3" t="n"/>
      <c r="C29" s="3" t="n"/>
      <c r="D29" s="4">
        <f>IF(OR(B29="",C29=""),"",B29-C29)</f>
        <v/>
      </c>
      <c r="E29" s="5">
        <f>IF(OR(NOT(ISNUMBER(B29)),NOT(ISNUMBER(C29))),"",IF(B29&lt;=0,"",C29/B29))</f>
        <v/>
      </c>
      <c r="F29" s="4">
        <f>IF(E29="","",IF(E29&gt;1,"Check counts",IF(E29&gt;=$I$2,"Strong",IF(E29&lt;$I$3,"Slow","OK"))))</f>
        <v/>
      </c>
    </row>
    <row r="30">
      <c r="A30" s="3" t="n"/>
      <c r="B30" s="3" t="n"/>
      <c r="C30" s="3" t="n"/>
      <c r="D30" s="4">
        <f>IF(OR(B30="",C30=""),"",B30-C30)</f>
        <v/>
      </c>
      <c r="E30" s="5">
        <f>IF(OR(NOT(ISNUMBER(B30)),NOT(ISNUMBER(C30))),"",IF(B30&lt;=0,"",C30/B30))</f>
        <v/>
      </c>
      <c r="F30" s="4">
        <f>IF(E30="","",IF(E30&gt;1,"Check counts",IF(E30&gt;=$I$2,"Strong",IF(E30&lt;$I$3,"Slow","OK"))))</f>
        <v/>
      </c>
    </row>
  </sheetData>
  <conditionalFormatting sqref="F2:F30">
    <cfRule type="expression" priority="1" dxfId="0">
      <formula>F2="Slow"</formula>
    </cfRule>
    <cfRule type="expression" priority="2" dxfId="1">
      <formula>F2="Strong"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Calculate Sell Through Rate</t>
        </is>
      </c>
    </row>
    <row r="2">
      <c r="A2" s="9" t="inlineStr"/>
    </row>
    <row r="3">
      <c r="A3" s="9" t="inlineStr">
        <is>
          <t>1. Products tab: type the product, the units you received or made (B) and the units sold so far (C). Rows 2 to 30 have formulas ready.</t>
        </is>
      </c>
    </row>
    <row r="4">
      <c r="A4" s="9" t="inlineStr">
        <is>
          <t>2. D2: =B2-C2 is the units left.</t>
        </is>
      </c>
    </row>
    <row r="5">
      <c r="A5" s="9" t="inlineStr">
        <is>
          <t>3. E2: =C2/B2 is the sell through rate: units sold divided by units received. 41 of 48 candles sold is 85.4%. Format the cell as a percent.</t>
        </is>
      </c>
    </row>
    <row r="6">
      <c r="A6" s="9" t="inlineStr">
        <is>
          <t>4. E2 stays blank when units received is 0 or blank, so there is no divide by zero error.</t>
        </is>
      </c>
    </row>
    <row r="7">
      <c r="A7" s="9" t="inlineStr">
        <is>
          <t>5. I2 and I3 are your own cutoffs (yellow). F2 shows Strong at or above I2, Slow below I3, otherwise OK. The 70% and 40% are examples, not industry rules.</t>
        </is>
      </c>
    </row>
    <row r="8">
      <c r="A8" s="9" t="inlineStr">
        <is>
          <t>6. If units sold is more than units received, F2 shows Check counts. Fix a typo or add the missing stock.</t>
        </is>
      </c>
    </row>
    <row r="9">
      <c r="A9" s="9" t="inlineStr">
        <is>
          <t>7. I7 is the overall rate: total sold divided by total received, not the average of the row percents.</t>
        </is>
      </c>
    </row>
    <row r="10">
      <c r="A10" s="9" t="inlineStr">
        <is>
          <t>8. Compare products over the same time period. This sheet counts units, not dollars.</t>
        </is>
      </c>
    </row>
    <row r="11">
      <c r="A11" s="9" t="inlineStr"/>
    </row>
    <row r="12">
      <c r="A12" s="9" t="inlineStr">
        <is>
          <t>Products and counts are fictional. Checked in LibreOffice Calc only; not opened in Excel or Google Sheets.</t>
        </is>
      </c>
    </row>
    <row r="13">
      <c r="A13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2026-10-14T07:27:16Z</dcterms:created>
  <dcterms:modified xsi:type="dcterms:W3CDTF">2026-10-14T07:27:16Z</dcterms:modified>
</cp:coreProperties>
</file>