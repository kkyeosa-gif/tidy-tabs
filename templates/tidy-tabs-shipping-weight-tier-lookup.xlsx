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Unsorted table demo" sheetId="2" state="visible" r:id="rId2"/>
    <sheet xmlns:r="http://schemas.openxmlformats.org/officeDocument/2006/relationships"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2" fontId="0" fillId="0" borderId="0" pivotButton="0" quotePrefix="0" xfId="0"/>
    <xf numFmtId="164" fontId="0" fillId="3" borderId="0" pivotButton="0" quotePrefix="0" xfId="0"/>
    <xf numFmtId="164" fontId="0" fillId="0" borderId="0" pivotButton="0" quotePrefix="0" xfId="0"/>
    <xf numFmtId="164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8" customWidth="1" min="4" max="4"/>
    <col width="22" customWidth="1" min="5" max="5"/>
    <col width="4" customWidth="1" min="6" max="6"/>
    <col width="11" customWidth="1" min="7" max="7"/>
    <col width="10" customWidth="1" min="8" max="8"/>
  </cols>
  <sheetData>
    <row r="1" ht="30" customHeight="1">
      <c r="A1" s="1" t="inlineStr">
        <is>
          <t>Order #</t>
        </is>
      </c>
      <c r="B1" s="1" t="inlineStr">
        <is>
          <t>Weight (oz)</t>
        </is>
      </c>
      <c r="C1" s="1" t="inlineStr">
        <is>
          <t>Rate (VLOOKUP)</t>
        </is>
      </c>
      <c r="D1" s="1" t="inlineStr">
        <is>
          <t>Rate (INDEX/MATCH)</t>
        </is>
      </c>
      <c r="E1" s="1" t="inlineStr">
        <is>
          <t>VLOOKUP without IFERROR</t>
        </is>
      </c>
      <c r="F1" s="1" t="inlineStr"/>
      <c r="G1" s="1" t="inlineStr">
        <is>
          <t>From (oz)</t>
        </is>
      </c>
      <c r="H1" s="1" t="inlineStr">
        <is>
          <t>Rate</t>
        </is>
      </c>
    </row>
    <row r="2">
      <c r="A2" t="inlineStr">
        <is>
          <t>2101</t>
        </is>
      </c>
      <c r="B2" s="2" t="n">
        <v>2.5</v>
      </c>
      <c r="C2" s="3">
        <f>IFERROR(VLOOKUP(B2,$G$2:$H$7,2,TRUE),"Below minimum")</f>
        <v/>
      </c>
      <c r="D2" s="3">
        <f>IFERROR(INDEX($H$2:$H$7,MATCH(B2,$G$2:$G$7,1)),"Below minimum")</f>
        <v/>
      </c>
      <c r="E2" s="3">
        <f>VLOOKUP(B2,$G$2:$H$7,2,TRUE)</f>
        <v/>
      </c>
      <c r="G2" t="n">
        <v>1</v>
      </c>
      <c r="H2" s="4" t="n">
        <v>4.5</v>
      </c>
    </row>
    <row r="3">
      <c r="A3" t="inlineStr">
        <is>
          <t>2102</t>
        </is>
      </c>
      <c r="B3" s="2" t="n">
        <v>3.99</v>
      </c>
      <c r="C3" s="3">
        <f>IFERROR(VLOOKUP(B3,$G$2:$H$7,2,TRUE),"Below minimum")</f>
        <v/>
      </c>
      <c r="D3" s="3">
        <f>IFERROR(INDEX($H$2:$H$7,MATCH(B3,$G$2:$G$7,1)),"Below minimum")</f>
        <v/>
      </c>
      <c r="E3" s="3">
        <f>VLOOKUP(B3,$G$2:$H$7,2,TRUE)</f>
        <v/>
      </c>
      <c r="G3" t="n">
        <v>4</v>
      </c>
      <c r="H3" s="4" t="n">
        <v>5.75</v>
      </c>
    </row>
    <row r="4">
      <c r="A4" t="inlineStr">
        <is>
          <t>2103</t>
        </is>
      </c>
      <c r="B4" s="2" t="n">
        <v>4</v>
      </c>
      <c r="C4" s="3">
        <f>IFERROR(VLOOKUP(B4,$G$2:$H$7,2,TRUE),"Below minimum")</f>
        <v/>
      </c>
      <c r="D4" s="3">
        <f>IFERROR(INDEX($H$2:$H$7,MATCH(B4,$G$2:$G$7,1)),"Below minimum")</f>
        <v/>
      </c>
      <c r="E4" s="3">
        <f>VLOOKUP(B4,$G$2:$H$7,2,TRUE)</f>
        <v/>
      </c>
      <c r="G4" t="n">
        <v>8</v>
      </c>
      <c r="H4" s="4" t="n">
        <v>7.25</v>
      </c>
    </row>
    <row r="5">
      <c r="A5" t="inlineStr">
        <is>
          <t>2104</t>
        </is>
      </c>
      <c r="B5" s="2" t="n">
        <v>4.01</v>
      </c>
      <c r="C5" s="3">
        <f>IFERROR(VLOOKUP(B5,$G$2:$H$7,2,TRUE),"Below minimum")</f>
        <v/>
      </c>
      <c r="D5" s="3">
        <f>IFERROR(INDEX($H$2:$H$7,MATCH(B5,$G$2:$G$7,1)),"Below minimum")</f>
        <v/>
      </c>
      <c r="E5" s="3">
        <f>VLOOKUP(B5,$G$2:$H$7,2,TRUE)</f>
        <v/>
      </c>
      <c r="G5" t="n">
        <v>16</v>
      </c>
      <c r="H5" s="4" t="n">
        <v>9.800000000000001</v>
      </c>
    </row>
    <row r="6">
      <c r="A6" t="inlineStr">
        <is>
          <t>2105</t>
        </is>
      </c>
      <c r="B6" s="2" t="n">
        <v>7.9</v>
      </c>
      <c r="C6" s="3">
        <f>IFERROR(VLOOKUP(B6,$G$2:$H$7,2,TRUE),"Below minimum")</f>
        <v/>
      </c>
      <c r="D6" s="3">
        <f>IFERROR(INDEX($H$2:$H$7,MATCH(B6,$G$2:$G$7,1)),"Below minimum")</f>
        <v/>
      </c>
      <c r="E6" s="3">
        <f>VLOOKUP(B6,$G$2:$H$7,2,TRUE)</f>
        <v/>
      </c>
      <c r="G6" t="n">
        <v>32</v>
      </c>
      <c r="H6" s="4" t="n">
        <v>13.4</v>
      </c>
    </row>
    <row r="7">
      <c r="A7" t="inlineStr">
        <is>
          <t>2106</t>
        </is>
      </c>
      <c r="B7" s="2" t="n">
        <v>8</v>
      </c>
      <c r="C7" s="3">
        <f>IFERROR(VLOOKUP(B7,$G$2:$H$7,2,TRUE),"Below minimum")</f>
        <v/>
      </c>
      <c r="D7" s="3">
        <f>IFERROR(INDEX($H$2:$H$7,MATCH(B7,$G$2:$G$7,1)),"Below minimum")</f>
        <v/>
      </c>
      <c r="E7" s="3">
        <f>VLOOKUP(B7,$G$2:$H$7,2,TRUE)</f>
        <v/>
      </c>
      <c r="G7" t="n">
        <v>64</v>
      </c>
      <c r="H7" s="4" t="n">
        <v>18.9</v>
      </c>
    </row>
    <row r="8">
      <c r="A8" t="inlineStr">
        <is>
          <t>2107</t>
        </is>
      </c>
      <c r="B8" s="2" t="n">
        <v>12.5</v>
      </c>
      <c r="C8" s="3">
        <f>IFERROR(VLOOKUP(B8,$G$2:$H$7,2,TRUE),"Below minimum")</f>
        <v/>
      </c>
      <c r="D8" s="3">
        <f>IFERROR(INDEX($H$2:$H$7,MATCH(B8,$G$2:$G$7,1)),"Below minimum")</f>
        <v/>
      </c>
      <c r="E8" s="3">
        <f>VLOOKUP(B8,$G$2:$H$7,2,TRUE)</f>
        <v/>
      </c>
    </row>
    <row r="9">
      <c r="A9" t="inlineStr">
        <is>
          <t>2108</t>
        </is>
      </c>
      <c r="B9" s="2" t="n">
        <v>16</v>
      </c>
      <c r="C9" s="3">
        <f>IFERROR(VLOOKUP(B9,$G$2:$H$7,2,TRUE),"Below minimum")</f>
        <v/>
      </c>
      <c r="D9" s="3">
        <f>IFERROR(INDEX($H$2:$H$7,MATCH(B9,$G$2:$G$7,1)),"Below minimum")</f>
        <v/>
      </c>
      <c r="E9" s="3">
        <f>VLOOKUP(B9,$G$2:$H$7,2,TRUE)</f>
        <v/>
      </c>
    </row>
    <row r="10">
      <c r="A10" t="inlineStr">
        <is>
          <t>2109</t>
        </is>
      </c>
      <c r="B10" s="2" t="n">
        <v>20</v>
      </c>
      <c r="C10" s="3">
        <f>IFERROR(VLOOKUP(B10,$G$2:$H$7,2,TRUE),"Below minimum")</f>
        <v/>
      </c>
      <c r="D10" s="3">
        <f>IFERROR(INDEX($H$2:$H$7,MATCH(B10,$G$2:$G$7,1)),"Below minimum")</f>
        <v/>
      </c>
      <c r="E10" s="3">
        <f>VLOOKUP(B10,$G$2:$H$7,2,TRUE)</f>
        <v/>
      </c>
    </row>
    <row r="11">
      <c r="A11" t="inlineStr">
        <is>
          <t>2110</t>
        </is>
      </c>
      <c r="B11" s="2" t="n">
        <v>40</v>
      </c>
      <c r="C11" s="3">
        <f>IFERROR(VLOOKUP(B11,$G$2:$H$7,2,TRUE),"Below minimum")</f>
        <v/>
      </c>
      <c r="D11" s="3">
        <f>IFERROR(INDEX($H$2:$H$7,MATCH(B11,$G$2:$G$7,1)),"Below minimum")</f>
        <v/>
      </c>
      <c r="E11" s="3">
        <f>VLOOKUP(B11,$G$2:$H$7,2,TRUE)</f>
        <v/>
      </c>
    </row>
    <row r="12">
      <c r="A12" t="inlineStr">
        <is>
          <t>2111</t>
        </is>
      </c>
      <c r="B12" s="2" t="n">
        <v>64</v>
      </c>
      <c r="C12" s="3">
        <f>IFERROR(VLOOKUP(B12,$G$2:$H$7,2,TRUE),"Below minimum")</f>
        <v/>
      </c>
      <c r="D12" s="3">
        <f>IFERROR(INDEX($H$2:$H$7,MATCH(B12,$G$2:$G$7,1)),"Below minimum")</f>
        <v/>
      </c>
      <c r="E12" s="3">
        <f>VLOOKUP(B12,$G$2:$H$7,2,TRUE)</f>
        <v/>
      </c>
    </row>
    <row r="13">
      <c r="A13" t="inlineStr">
        <is>
          <t>2112</t>
        </is>
      </c>
      <c r="B13" s="2" t="n">
        <v>0.5</v>
      </c>
      <c r="C13" s="3">
        <f>IFERROR(VLOOKUP(B13,$G$2:$H$7,2,TRUE),"Below minimum")</f>
        <v/>
      </c>
      <c r="D13" s="3">
        <f>IFERROR(INDEX($H$2:$H$7,MATCH(B13,$G$2:$G$7,1)),"Below minimum")</f>
        <v/>
      </c>
      <c r="E13" s="3">
        <f>VLOOKUP(B13,$G$2:$H$7,2,TRUE)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" customWidth="1" min="4" max="4"/>
    <col width="11" customWidth="1" min="5" max="5"/>
    <col width="10" customWidth="1" min="6" max="6"/>
  </cols>
  <sheetData>
    <row r="1" ht="30" customHeight="1">
      <c r="A1" s="1" t="inlineStr">
        <is>
          <t>Weight (oz)</t>
        </is>
      </c>
      <c r="B1" s="1" t="inlineStr">
        <is>
          <t>VLOOKUP result</t>
        </is>
      </c>
      <c r="C1" s="1" t="inlineStr">
        <is>
          <t>Correct rate (sorted table)</t>
        </is>
      </c>
      <c r="D1" s="1" t="inlineStr"/>
      <c r="E1" s="1" t="inlineStr">
        <is>
          <t>From (oz)</t>
        </is>
      </c>
      <c r="F1" s="1" t="inlineStr">
        <is>
          <t>Rate</t>
        </is>
      </c>
    </row>
    <row r="2">
      <c r="A2" t="n">
        <v>5</v>
      </c>
      <c r="B2" s="5">
        <f>VLOOKUP(A2,$E$2:$F$7,2,TRUE)</f>
        <v/>
      </c>
      <c r="C2" s="4">
        <f>VLOOKUP(A2,Orders!$G$2:$H$7,2,TRUE)</f>
        <v/>
      </c>
      <c r="E2" t="n">
        <v>1</v>
      </c>
      <c r="F2" s="4" t="n">
        <v>4.5</v>
      </c>
    </row>
    <row r="3">
      <c r="A3" t="n">
        <v>10</v>
      </c>
      <c r="B3" s="5">
        <f>VLOOKUP(A3,$E$2:$F$7,2,TRUE)</f>
        <v/>
      </c>
      <c r="C3" s="4">
        <f>VLOOKUP(A3,Orders!$G$2:$H$7,2,TRUE)</f>
        <v/>
      </c>
      <c r="E3" t="n">
        <v>8</v>
      </c>
      <c r="F3" s="4" t="n">
        <v>7.25</v>
      </c>
    </row>
    <row r="4">
      <c r="E4" t="n">
        <v>4</v>
      </c>
      <c r="F4" s="4" t="n">
        <v>5.75</v>
      </c>
    </row>
    <row r="5">
      <c r="E5" t="n">
        <v>16</v>
      </c>
      <c r="F5" s="4" t="n">
        <v>9.800000000000001</v>
      </c>
    </row>
    <row r="6">
      <c r="E6" t="n">
        <v>32</v>
      </c>
      <c r="F6" s="4" t="n">
        <v>13.4</v>
      </c>
    </row>
    <row r="7">
      <c r="E7" t="n">
        <v>64</v>
      </c>
      <c r="F7" s="4" t="n">
        <v>18.9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Tidy Tabs: Shipping Cost by Weight Tier (approximate match lookup)</t>
        </is>
      </c>
    </row>
    <row r="2">
      <c r="A2" t="inlineStr"/>
    </row>
    <row r="3">
      <c r="A3" t="inlineStr">
        <is>
          <t>1. Rate table in G:H, Orders tab. From (oz) is the smallest weight in each band. A package at or above that weight and below the next row uses that rate.</t>
        </is>
      </c>
    </row>
    <row r="4">
      <c r="A4" t="inlineStr">
        <is>
          <t>2. Rate (VLOOKUP) = IFERROR(VLOOKUP(B2,$G$2:$H$7,2,TRUE),"Below minimum"). TRUE (or leaving it out) means approximate match: the largest From value that is less than or equal to the weight.</t>
        </is>
      </c>
    </row>
    <row r="5">
      <c r="A5" t="inlineStr">
        <is>
          <t>3. Rate (INDEX/MATCH) does the same with MATCH(...,1). Both columns agree.</t>
        </is>
      </c>
    </row>
    <row r="6">
      <c r="A6" t="inlineStr">
        <is>
          <t>4. The From column must be sorted smallest to largest. Approximate match skips through the list instead of checking every row, so an unsorted table can return a wrong rate with no error. See the Unsorted table demo tab: in LibreOffice 5 oz happens to come out right ($5.75) but 10 oz returns $5.75 instead of $7.25. Other apps can pick differently on an unsorted table.</t>
        </is>
      </c>
    </row>
    <row r="7">
      <c r="A7" t="inlineStr">
        <is>
          <t>5. A weight under the first band (0.50 oz here) has no band, so VLOOKUP returns #N/A. Column E shows it; IFERROR in column C turns it into text. IFERROR also hides other errors, so test the table first.</t>
        </is>
      </c>
    </row>
    <row r="8">
      <c r="A8" t="inlineStr">
        <is>
          <t>6. Exactly 4 oz is in the 4 oz band ($5.75). 3.99 oz is in the 1 oz band ($4.50). 4.01 oz is in the 4 oz band.</t>
        </is>
      </c>
    </row>
    <row r="9">
      <c r="A9" t="inlineStr"/>
    </row>
    <row r="10">
      <c r="A10" t="inlineStr">
        <is>
          <t>Rates and weight bands are made up for this sample, not a carrier's rates. Use your own.</t>
        </is>
      </c>
    </row>
    <row r="11">
      <c r="A11" t="inlineStr">
        <is>
          <t>Google Sheets: File &gt; Import &gt; Upload this 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2026-10-06T07:27:23Z</dcterms:created>
  <dcterms:modified xmlns:dcterms="http://purl.org/dc/terms/" xmlns:xsi="http://www.w3.org/2001/XMLSchema-instance" xsi:type="dcterms:W3CDTF">2026-10-06T07:27:23Z</dcterms:modified>
</cp:coreProperties>
</file>