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How to use" sheetId="2" state="visible" r:id="rId2"/>
  </sheets>
  <definedNames>
    <definedName name="_xlnm.Print_Titles" localSheetId="0">'Plan'!$1:$1</definedName>
    <definedName name="_xlnm.Print_Area" localSheetId="0">'Plan'!$A$1:$AG$23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"/>
    <numFmt numFmtId="167" formatCode="ddd"/>
  </numFmts>
  <fonts count="6">
    <font>
      <name val="Calibri"/>
      <family val="2"/>
      <color theme="1"/>
      <sz val="11"/>
      <scheme val="minor"/>
    </font>
    <font>
      <b val="1"/>
    </font>
    <font>
      <i val="1"/>
    </font>
    <font>
      <b val="1"/>
      <color rgb="00FFFFFF"/>
    </font>
    <font>
      <sz val="8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165" fontId="0" fillId="2" borderId="0" pivotButton="0" quotePrefix="0" xfId="0"/>
    <xf numFmtId="0" fontId="2" fillId="0" borderId="0" pivotButton="0" quotePrefix="0" xfId="0"/>
    <xf numFmtId="167" fontId="4" fillId="0" borderId="0" applyAlignment="1" pivotButton="0" quotePrefix="0" xfId="0">
      <alignment horizontal="center"/>
    </xf>
    <xf numFmtId="0" fontId="3" fillId="3" borderId="0" applyAlignment="1" pivotButton="0" quotePrefix="0" xfId="0">
      <alignment vertical="center" wrapText="1"/>
    </xf>
    <xf numFmtId="166" fontId="3" fillId="3" borderId="0" applyAlignment="1" pivotButton="0" quotePrefix="0" xfId="0">
      <alignment horizontal="center" vertical="center" textRotation="90"/>
    </xf>
    <xf numFmtId="1" fontId="0" fillId="4" borderId="0" applyAlignment="1" pivotButton="0" quotePrefix="0" xfId="0">
      <alignment horizontal="right"/>
    </xf>
    <xf numFmtId="0" fontId="0" fillId="2" borderId="0" pivotButton="0" quotePrefix="0" xfId="0"/>
    <xf numFmtId="0" fontId="0" fillId="4" borderId="0" applyAlignment="1" pivotButton="0" quotePrefix="0" xfId="0">
      <alignment horizontal="right"/>
    </xf>
    <xf numFmtId="165" fontId="0" fillId="4" borderId="0" applyAlignment="1" pivotButton="0" quotePrefix="0" xfId="0">
      <alignment horizontal="right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2E5E4E"/>
          <bgColor rgb="002E5E4E"/>
        </patternFill>
      </fill>
    </dxf>
    <dxf>
      <fill>
        <patternFill patternType="solid">
          <fgColor rgb="00E7E6E6"/>
          <bgColor rgb="00E7E6E6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7" customWidth="1" min="4" max="4"/>
    <col width="10" customWidth="1" min="5" max="5"/>
    <col width="3.3" customWidth="1" min="6" max="6"/>
    <col width="3.3" customWidth="1" min="7" max="7"/>
    <col width="3.3" customWidth="1" min="8" max="8"/>
    <col width="3.3" customWidth="1" min="9" max="9"/>
    <col width="3.3" customWidth="1" min="10" max="10"/>
    <col width="3.3" customWidth="1" min="11" max="11"/>
    <col width="3.3" customWidth="1" min="12" max="12"/>
    <col width="3.3" customWidth="1" min="13" max="13"/>
    <col width="3.3" customWidth="1" min="14" max="14"/>
    <col width="3.3" customWidth="1" min="15" max="15"/>
    <col width="3.3" customWidth="1" min="16" max="16"/>
    <col width="3.3" customWidth="1" min="17" max="17"/>
    <col width="3.3" customWidth="1" min="18" max="18"/>
    <col width="3.3" customWidth="1" min="19" max="19"/>
    <col width="3.3" customWidth="1" min="20" max="20"/>
    <col width="3.3" customWidth="1" min="21" max="21"/>
    <col width="3.3" customWidth="1" min="22" max="22"/>
    <col width="3.3" customWidth="1" min="23" max="23"/>
    <col width="3.3" customWidth="1" min="24" max="24"/>
    <col width="3.3" customWidth="1" min="25" max="25"/>
    <col width="3.3" customWidth="1" min="26" max="26"/>
    <col width="3.3" customWidth="1" min="27" max="27"/>
    <col width="3.3" customWidth="1" min="28" max="28"/>
    <col width="3.3" customWidth="1" min="29" max="29"/>
    <col width="3.3" customWidth="1" min="30" max="30"/>
    <col width="3.3" customWidth="1" min="31" max="31"/>
    <col width="3.3" customWidth="1" min="32" max="32"/>
    <col width="3.3" customWidth="1" min="33" max="33"/>
    <col width="3" customWidth="1" min="34" max="34"/>
    <col width="40" customWidth="1" min="35" max="35"/>
    <col width="14" customWidth="1" min="36" max="36"/>
  </cols>
  <sheetData>
    <row r="1">
      <c r="A1" s="1" t="inlineStr">
        <is>
          <t>Chart starts on</t>
        </is>
      </c>
      <c r="B1" s="2" t="n">
        <v>46328</v>
      </c>
      <c r="C1" s="3" t="inlineStr">
        <is>
          <t>Fall market booth prep (fictional). Type dates as MM/DD/YYYY.</t>
        </is>
      </c>
    </row>
    <row r="2">
      <c r="F2" s="4">
        <f>IF(ISNUMBER(F3),F3,"")</f>
        <v/>
      </c>
      <c r="G2" s="4">
        <f>IF(ISNUMBER(G3),G3,"")</f>
        <v/>
      </c>
      <c r="H2" s="4">
        <f>IF(ISNUMBER(H3),H3,"")</f>
        <v/>
      </c>
      <c r="I2" s="4">
        <f>IF(ISNUMBER(I3),I3,"")</f>
        <v/>
      </c>
      <c r="J2" s="4">
        <f>IF(ISNUMBER(J3),J3,"")</f>
        <v/>
      </c>
      <c r="K2" s="4">
        <f>IF(ISNUMBER(K3),K3,"")</f>
        <v/>
      </c>
      <c r="L2" s="4">
        <f>IF(ISNUMBER(L3),L3,"")</f>
        <v/>
      </c>
      <c r="M2" s="4">
        <f>IF(ISNUMBER(M3),M3,"")</f>
        <v/>
      </c>
      <c r="N2" s="4">
        <f>IF(ISNUMBER(N3),N3,"")</f>
        <v/>
      </c>
      <c r="O2" s="4">
        <f>IF(ISNUMBER(O3),O3,"")</f>
        <v/>
      </c>
      <c r="P2" s="4">
        <f>IF(ISNUMBER(P3),P3,"")</f>
        <v/>
      </c>
      <c r="Q2" s="4">
        <f>IF(ISNUMBER(Q3),Q3,"")</f>
        <v/>
      </c>
      <c r="R2" s="4">
        <f>IF(ISNUMBER(R3),R3,"")</f>
        <v/>
      </c>
      <c r="S2" s="4">
        <f>IF(ISNUMBER(S3),S3,"")</f>
        <v/>
      </c>
      <c r="T2" s="4">
        <f>IF(ISNUMBER(T3),T3,"")</f>
        <v/>
      </c>
      <c r="U2" s="4">
        <f>IF(ISNUMBER(U3),U3,"")</f>
        <v/>
      </c>
      <c r="V2" s="4">
        <f>IF(ISNUMBER(V3),V3,"")</f>
        <v/>
      </c>
      <c r="W2" s="4">
        <f>IF(ISNUMBER(W3),W3,"")</f>
        <v/>
      </c>
      <c r="X2" s="4">
        <f>IF(ISNUMBER(X3),X3,"")</f>
        <v/>
      </c>
      <c r="Y2" s="4">
        <f>IF(ISNUMBER(Y3),Y3,"")</f>
        <v/>
      </c>
      <c r="Z2" s="4">
        <f>IF(ISNUMBER(Z3),Z3,"")</f>
        <v/>
      </c>
      <c r="AA2" s="4">
        <f>IF(ISNUMBER(AA3),AA3,"")</f>
        <v/>
      </c>
      <c r="AB2" s="4">
        <f>IF(ISNUMBER(AB3),AB3,"")</f>
        <v/>
      </c>
      <c r="AC2" s="4">
        <f>IF(ISNUMBER(AC3),AC3,"")</f>
        <v/>
      </c>
      <c r="AD2" s="4">
        <f>IF(ISNUMBER(AD3),AD3,"")</f>
        <v/>
      </c>
      <c r="AE2" s="4">
        <f>IF(ISNUMBER(AE3),AE3,"")</f>
        <v/>
      </c>
      <c r="AF2" s="4">
        <f>IF(ISNUMBER(AF3),AF3,"")</f>
        <v/>
      </c>
      <c r="AG2" s="4">
        <f>IF(ISNUMBER(AG3),AG3,"")</f>
        <v/>
      </c>
    </row>
    <row r="3" ht="60" customHeight="1">
      <c r="A3" s="5" t="inlineStr">
        <is>
          <t>Task</t>
        </is>
      </c>
      <c r="B3" s="5" t="inlineStr">
        <is>
          <t>Start</t>
        </is>
      </c>
      <c r="C3" s="5" t="inlineStr">
        <is>
          <t>End</t>
        </is>
      </c>
      <c r="D3" s="5" t="inlineStr">
        <is>
          <t>Days</t>
        </is>
      </c>
      <c r="E3" s="5" t="inlineStr">
        <is>
          <t>Workdays</t>
        </is>
      </c>
      <c r="F3" s="6">
        <f>IF(ISNUMBER($B$1),$B$1,"")</f>
        <v/>
      </c>
      <c r="G3" s="6">
        <f>IF(ISNUMBER(F3),F3+1,"")</f>
        <v/>
      </c>
      <c r="H3" s="6">
        <f>IF(ISNUMBER(G3),G3+1,"")</f>
        <v/>
      </c>
      <c r="I3" s="6">
        <f>IF(ISNUMBER(H3),H3+1,"")</f>
        <v/>
      </c>
      <c r="J3" s="6">
        <f>IF(ISNUMBER(I3),I3+1,"")</f>
        <v/>
      </c>
      <c r="K3" s="6">
        <f>IF(ISNUMBER(J3),J3+1,"")</f>
        <v/>
      </c>
      <c r="L3" s="6">
        <f>IF(ISNUMBER(K3),K3+1,"")</f>
        <v/>
      </c>
      <c r="M3" s="6">
        <f>IF(ISNUMBER(L3),L3+1,"")</f>
        <v/>
      </c>
      <c r="N3" s="6">
        <f>IF(ISNUMBER(M3),M3+1,"")</f>
        <v/>
      </c>
      <c r="O3" s="6">
        <f>IF(ISNUMBER(N3),N3+1,"")</f>
        <v/>
      </c>
      <c r="P3" s="6">
        <f>IF(ISNUMBER(O3),O3+1,"")</f>
        <v/>
      </c>
      <c r="Q3" s="6">
        <f>IF(ISNUMBER(P3),P3+1,"")</f>
        <v/>
      </c>
      <c r="R3" s="6">
        <f>IF(ISNUMBER(Q3),Q3+1,"")</f>
        <v/>
      </c>
      <c r="S3" s="6">
        <f>IF(ISNUMBER(R3),R3+1,"")</f>
        <v/>
      </c>
      <c r="T3" s="6">
        <f>IF(ISNUMBER(S3),S3+1,"")</f>
        <v/>
      </c>
      <c r="U3" s="6">
        <f>IF(ISNUMBER(T3),T3+1,"")</f>
        <v/>
      </c>
      <c r="V3" s="6">
        <f>IF(ISNUMBER(U3),U3+1,"")</f>
        <v/>
      </c>
      <c r="W3" s="6">
        <f>IF(ISNUMBER(V3),V3+1,"")</f>
        <v/>
      </c>
      <c r="X3" s="6">
        <f>IF(ISNUMBER(W3),W3+1,"")</f>
        <v/>
      </c>
      <c r="Y3" s="6">
        <f>IF(ISNUMBER(X3),X3+1,"")</f>
        <v/>
      </c>
      <c r="Z3" s="6">
        <f>IF(ISNUMBER(Y3),Y3+1,"")</f>
        <v/>
      </c>
      <c r="AA3" s="6">
        <f>IF(ISNUMBER(Z3),Z3+1,"")</f>
        <v/>
      </c>
      <c r="AB3" s="6">
        <f>IF(ISNUMBER(AA3),AA3+1,"")</f>
        <v/>
      </c>
      <c r="AC3" s="6">
        <f>IF(ISNUMBER(AB3),AB3+1,"")</f>
        <v/>
      </c>
      <c r="AD3" s="6">
        <f>IF(ISNUMBER(AC3),AC3+1,"")</f>
        <v/>
      </c>
      <c r="AE3" s="6">
        <f>IF(ISNUMBER(AD3),AD3+1,"")</f>
        <v/>
      </c>
      <c r="AF3" s="6">
        <f>IF(ISNUMBER(AE3),AE3+1,"")</f>
        <v/>
      </c>
      <c r="AG3" s="6">
        <f>IF(ISNUMBER(AF3),AF3+1,"")</f>
        <v/>
      </c>
      <c r="AI3" s="1" t="inlineStr">
        <is>
          <t>Tasks listed</t>
        </is>
      </c>
      <c r="AJ3" s="7">
        <f>COUNTA(A4:A23)</f>
        <v/>
      </c>
    </row>
    <row r="4">
      <c r="A4" s="8" t="inlineStr">
        <is>
          <t>Pick market and pay booth fee</t>
        </is>
      </c>
      <c r="B4" s="2" t="n">
        <v>46328</v>
      </c>
      <c r="C4" s="2" t="n">
        <v>46329</v>
      </c>
      <c r="D4" s="9">
        <f>IF(AND(B4="",C4=""),"",IF(AND(ISNUMBER(B4),ISNUMBER(C4),C4&gt;=B4),C4-B4+1,"Check dates"))</f>
        <v/>
      </c>
      <c r="E4" s="9">
        <f>IF(ISNUMBER(D4),NETWORKDAYS(B4,C4),"")</f>
        <v/>
      </c>
      <c r="AI4" s="1" t="inlineStr">
        <is>
          <t>Last day in the chart</t>
        </is>
      </c>
      <c r="AJ4" s="10">
        <f>AG3</f>
        <v/>
      </c>
    </row>
    <row r="5">
      <c r="A5" s="8" t="inlineStr">
        <is>
          <t>Order tote bags and mugs</t>
        </is>
      </c>
      <c r="B5" s="2" t="n">
        <v>46328</v>
      </c>
      <c r="C5" s="2" t="n">
        <v>46332</v>
      </c>
      <c r="D5" s="9">
        <f>IF(AND(B5="",C5=""),"",IF(AND(ISNUMBER(B5),ISNUMBER(C5),C5&gt;=B5),C5-B5+1,"Check dates"))</f>
        <v/>
      </c>
      <c r="E5" s="9">
        <f>IF(ISNUMBER(D5),NETWORKDAYS(B5,C5),"")</f>
        <v/>
      </c>
      <c r="AI5" s="1" t="inlineStr">
        <is>
          <t>Tasks that run past the chart</t>
        </is>
      </c>
      <c r="AJ5" s="7">
        <f>IF(ISNUMBER(AG3),COUNTIF(C4:C23,"&gt;"&amp;AG3),"")</f>
        <v/>
      </c>
    </row>
    <row r="6">
      <c r="A6" s="8" t="inlineStr">
        <is>
          <t>Print signs and price tags</t>
        </is>
      </c>
      <c r="B6" s="2" t="n">
        <v>46331</v>
      </c>
      <c r="C6" s="2" t="n">
        <v>46335</v>
      </c>
      <c r="D6" s="9">
        <f>IF(AND(B6="",C6=""),"",IF(AND(ISNUMBER(B6),ISNUMBER(C6),C6&gt;=B6),C6-B6+1,"Check dates"))</f>
        <v/>
      </c>
      <c r="E6" s="9">
        <f>IF(ISNUMBER(D6),NETWORKDAYS(B6,C6),"")</f>
        <v/>
      </c>
      <c r="AI6" s="1" t="inlineStr">
        <is>
          <t>Check: every task has a name and valid dates</t>
        </is>
      </c>
      <c r="AJ6" s="9">
        <f>IF(AND(COUNTA(A4:A23)=COUNT(B4:B23),COUNT(B4:B23)=COUNT(C4:C23),COUNTIF(D4:D23,"Check dates")=0,COUNTA(B4:C23)=2*COUNT(B4:B23),ISNUMBER(B1)),"OK","CHECK")</f>
        <v/>
      </c>
    </row>
    <row r="7">
      <c r="A7" s="8" t="inlineStr">
        <is>
          <t>Build display shelves</t>
        </is>
      </c>
      <c r="B7" s="2" t="n">
        <v>46335</v>
      </c>
      <c r="C7" s="2" t="n">
        <v>46339</v>
      </c>
      <c r="D7" s="9">
        <f>IF(AND(B7="",C7=""),"",IF(AND(ISNUMBER(B7),ISNUMBER(C7),C7&gt;=B7),C7-B7+1,"Check dates"))</f>
        <v/>
      </c>
      <c r="E7" s="9">
        <f>IF(ISNUMBER(D7),NETWORKDAYS(B7,C7),"")</f>
        <v/>
      </c>
    </row>
    <row r="8">
      <c r="A8" s="8" t="inlineStr">
        <is>
          <t>Pack inventory and cash box</t>
        </is>
      </c>
      <c r="B8" s="2" t="n">
        <v>46342</v>
      </c>
      <c r="C8" s="2" t="n">
        <v>46344</v>
      </c>
      <c r="D8" s="9">
        <f>IF(AND(B8="",C8=""),"",IF(AND(ISNUMBER(B8),ISNUMBER(C8),C8&gt;=B8),C8-B8+1,"Check dates"))</f>
        <v/>
      </c>
      <c r="E8" s="9">
        <f>IF(ISNUMBER(D8),NETWORKDAYS(B8,C8),"")</f>
        <v/>
      </c>
    </row>
    <row r="9">
      <c r="A9" s="8" t="inlineStr">
        <is>
          <t>Test tent setup in driveway</t>
        </is>
      </c>
      <c r="B9" s="2" t="n">
        <v>46343</v>
      </c>
      <c r="C9" s="2" t="n">
        <v>46343</v>
      </c>
      <c r="D9" s="9">
        <f>IF(AND(B9="",C9=""),"",IF(AND(ISNUMBER(B9),ISNUMBER(C9),C9&gt;=B9),C9-B9+1,"Check dates"))</f>
        <v/>
      </c>
      <c r="E9" s="9">
        <f>IF(ISNUMBER(D9),NETWORKDAYS(B9,C9),"")</f>
        <v/>
      </c>
    </row>
    <row r="10">
      <c r="A10" s="8" t="inlineStr">
        <is>
          <t>Market day</t>
        </is>
      </c>
      <c r="B10" s="2" t="n">
        <v>46347</v>
      </c>
      <c r="C10" s="2" t="n">
        <v>46348</v>
      </c>
      <c r="D10" s="9">
        <f>IF(AND(B10="",C10=""),"",IF(AND(ISNUMBER(B10),ISNUMBER(C10),C10&gt;=B10),C10-B10+1,"Check dates"))</f>
        <v/>
      </c>
      <c r="E10" s="9">
        <f>IF(ISNUMBER(D10),NETWORKDAYS(B10,C10),"")</f>
        <v/>
      </c>
    </row>
    <row r="11">
      <c r="A11" s="8" t="inlineStr">
        <is>
          <t>Count sales and restock</t>
        </is>
      </c>
      <c r="B11" s="2" t="n">
        <v>46349</v>
      </c>
      <c r="C11" s="2" t="n">
        <v>46353</v>
      </c>
      <c r="D11" s="9">
        <f>IF(AND(B11="",C11=""),"",IF(AND(ISNUMBER(B11),ISNUMBER(C11),C11&gt;=B11),C11-B11+1,"Check dates"))</f>
        <v/>
      </c>
      <c r="E11" s="9">
        <f>IF(ISNUMBER(D11),NETWORKDAYS(B11,C11),"")</f>
        <v/>
      </c>
    </row>
    <row r="12">
      <c r="A12" s="8" t="n"/>
      <c r="B12" s="2" t="n"/>
      <c r="C12" s="2" t="n"/>
      <c r="D12" s="9">
        <f>IF(AND(B12="",C12=""),"",IF(AND(ISNUMBER(B12),ISNUMBER(C12),C12&gt;=B12),C12-B12+1,"Check dates"))</f>
        <v/>
      </c>
      <c r="E12" s="9">
        <f>IF(ISNUMBER(D12),NETWORKDAYS(B12,C12),"")</f>
        <v/>
      </c>
    </row>
    <row r="13">
      <c r="A13" s="8" t="n"/>
      <c r="B13" s="2" t="n"/>
      <c r="C13" s="2" t="n"/>
      <c r="D13" s="9">
        <f>IF(AND(B13="",C13=""),"",IF(AND(ISNUMBER(B13),ISNUMBER(C13),C13&gt;=B13),C13-B13+1,"Check dates"))</f>
        <v/>
      </c>
      <c r="E13" s="9">
        <f>IF(ISNUMBER(D13),NETWORKDAYS(B13,C13),"")</f>
        <v/>
      </c>
    </row>
    <row r="14">
      <c r="A14" s="8" t="n"/>
      <c r="B14" s="2" t="n"/>
      <c r="C14" s="2" t="n"/>
      <c r="D14" s="9">
        <f>IF(AND(B14="",C14=""),"",IF(AND(ISNUMBER(B14),ISNUMBER(C14),C14&gt;=B14),C14-B14+1,"Check dates"))</f>
        <v/>
      </c>
      <c r="E14" s="9">
        <f>IF(ISNUMBER(D14),NETWORKDAYS(B14,C14),"")</f>
        <v/>
      </c>
    </row>
    <row r="15">
      <c r="A15" s="8" t="n"/>
      <c r="B15" s="2" t="n"/>
      <c r="C15" s="2" t="n"/>
      <c r="D15" s="9">
        <f>IF(AND(B15="",C15=""),"",IF(AND(ISNUMBER(B15),ISNUMBER(C15),C15&gt;=B15),C15-B15+1,"Check dates"))</f>
        <v/>
      </c>
      <c r="E15" s="9">
        <f>IF(ISNUMBER(D15),NETWORKDAYS(B15,C15),"")</f>
        <v/>
      </c>
    </row>
    <row r="16">
      <c r="A16" s="8" t="n"/>
      <c r="B16" s="2" t="n"/>
      <c r="C16" s="2" t="n"/>
      <c r="D16" s="9">
        <f>IF(AND(B16="",C16=""),"",IF(AND(ISNUMBER(B16),ISNUMBER(C16),C16&gt;=B16),C16-B16+1,"Check dates"))</f>
        <v/>
      </c>
      <c r="E16" s="9">
        <f>IF(ISNUMBER(D16),NETWORKDAYS(B16,C16),"")</f>
        <v/>
      </c>
    </row>
    <row r="17">
      <c r="A17" s="8" t="n"/>
      <c r="B17" s="2" t="n"/>
      <c r="C17" s="2" t="n"/>
      <c r="D17" s="9">
        <f>IF(AND(B17="",C17=""),"",IF(AND(ISNUMBER(B17),ISNUMBER(C17),C17&gt;=B17),C17-B17+1,"Check dates"))</f>
        <v/>
      </c>
      <c r="E17" s="9">
        <f>IF(ISNUMBER(D17),NETWORKDAYS(B17,C17),"")</f>
        <v/>
      </c>
    </row>
    <row r="18">
      <c r="A18" s="8" t="n"/>
      <c r="B18" s="2" t="n"/>
      <c r="C18" s="2" t="n"/>
      <c r="D18" s="9">
        <f>IF(AND(B18="",C18=""),"",IF(AND(ISNUMBER(B18),ISNUMBER(C18),C18&gt;=B18),C18-B18+1,"Check dates"))</f>
        <v/>
      </c>
      <c r="E18" s="9">
        <f>IF(ISNUMBER(D18),NETWORKDAYS(B18,C18),"")</f>
        <v/>
      </c>
    </row>
    <row r="19">
      <c r="A19" s="8" t="n"/>
      <c r="B19" s="2" t="n"/>
      <c r="C19" s="2" t="n"/>
      <c r="D19" s="9">
        <f>IF(AND(B19="",C19=""),"",IF(AND(ISNUMBER(B19),ISNUMBER(C19),C19&gt;=B19),C19-B19+1,"Check dates"))</f>
        <v/>
      </c>
      <c r="E19" s="9">
        <f>IF(ISNUMBER(D19),NETWORKDAYS(B19,C19),"")</f>
        <v/>
      </c>
    </row>
    <row r="20">
      <c r="A20" s="8" t="n"/>
      <c r="B20" s="2" t="n"/>
      <c r="C20" s="2" t="n"/>
      <c r="D20" s="9">
        <f>IF(AND(B20="",C20=""),"",IF(AND(ISNUMBER(B20),ISNUMBER(C20),C20&gt;=B20),C20-B20+1,"Check dates"))</f>
        <v/>
      </c>
      <c r="E20" s="9">
        <f>IF(ISNUMBER(D20),NETWORKDAYS(B20,C20),"")</f>
        <v/>
      </c>
    </row>
    <row r="21">
      <c r="A21" s="8" t="n"/>
      <c r="B21" s="2" t="n"/>
      <c r="C21" s="2" t="n"/>
      <c r="D21" s="9">
        <f>IF(AND(B21="",C21=""),"",IF(AND(ISNUMBER(B21),ISNUMBER(C21),C21&gt;=B21),C21-B21+1,"Check dates"))</f>
        <v/>
      </c>
      <c r="E21" s="9">
        <f>IF(ISNUMBER(D21),NETWORKDAYS(B21,C21),"")</f>
        <v/>
      </c>
    </row>
    <row r="22">
      <c r="A22" s="8" t="n"/>
      <c r="B22" s="2" t="n"/>
      <c r="C22" s="2" t="n"/>
      <c r="D22" s="9">
        <f>IF(AND(B22="",C22=""),"",IF(AND(ISNUMBER(B22),ISNUMBER(C22),C22&gt;=B22),C22-B22+1,"Check dates"))</f>
        <v/>
      </c>
      <c r="E22" s="9">
        <f>IF(ISNUMBER(D22),NETWORKDAYS(B22,C22),"")</f>
        <v/>
      </c>
    </row>
    <row r="23">
      <c r="A23" s="8" t="n"/>
      <c r="B23" s="2" t="n"/>
      <c r="C23" s="2" t="n"/>
      <c r="D23" s="9">
        <f>IF(AND(B23="",C23=""),"",IF(AND(ISNUMBER(B23),ISNUMBER(C23),C23&gt;=B23),C23-B23+1,"Check dates"))</f>
        <v/>
      </c>
      <c r="E23" s="9">
        <f>IF(ISNUMBER(D23),NETWORKDAYS(B23,C23),"")</f>
        <v/>
      </c>
    </row>
  </sheetData>
  <conditionalFormatting sqref="F4:AG23">
    <cfRule type="expression" priority="1" dxfId="0" stopIfTrue="1">
      <formula>AND(ISNUMBER($B4),ISNUMBER($C4),F$3&gt;=$B4,F$3&lt;=$C4)</formula>
    </cfRule>
    <cfRule type="expression" priority="2" dxfId="1">
      <formula>WEEKDAY(F$3,2)&gt;5</formula>
    </cfRule>
  </conditionalFormatting>
  <conditionalFormatting sqref="D4:D23">
    <cfRule type="expression" priority="3" dxfId="2">
      <formula>D4="Check dates"</formula>
    </cfRule>
  </conditionalFormatting>
  <conditionalFormatting sqref="AJ6">
    <cfRule type="expression" priority="4" dxfId="2">
      <formula>AND(AJ6&lt;&gt;"OK",AJ6&lt;&gt;"")</formula>
    </cfRule>
  </conditionalFormatting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Tidy Tabs: Simple Gantt Chart With One Conditional Formatting Rule</t>
        </is>
      </c>
    </row>
    <row r="2">
      <c r="A2" s="12" t="inlineStr"/>
    </row>
    <row r="3">
      <c r="A3" s="12" t="inlineStr">
        <is>
          <t>1. Plan tab: type the first day of the chart in B1, then each task (A), its start date (B) and end date (C). Yellow. Rows 4 to 23 are used. The sample is eight fictional tasks for a fall market booth.</t>
        </is>
      </c>
    </row>
    <row r="4">
      <c r="A4" s="12" t="inlineStr">
        <is>
          <t>2. The 28 date columns start in F3 (=$B$1, left blank if B1 is not a date) and each next one adds a day: G3 is =F3+1. Row 2 shows the weekday name from the date above it, in the format ddd.</t>
        </is>
      </c>
    </row>
    <row r="5">
      <c r="A5" s="12" t="inlineStr">
        <is>
          <t>3. Days, D4: =C4-B4+1 counts both the start and end day. Workdays, E4: =NETWORKDAYS(B4,C4) skips Saturday and Sunday. It does not know about holidays.</t>
        </is>
      </c>
    </row>
    <row r="6">
      <c r="A6" s="12" t="inlineStr">
        <is>
          <t>4. The bars are one conditional formatting rule applied to F4:AG23 with this formula: =AND(ISNUMBER($B4),ISNUMBER($C4),F$3&gt;=$B4,F$3&lt;=$C4). $B4 locks the column and F$3 locks the row, so one rule works for every cell. Weekend cells get a light gray fill from a second rule: =WEEKDAY(F$3,2)&gt;5.</t>
        </is>
      </c>
    </row>
    <row r="7">
      <c r="A7" s="12" t="inlineStr">
        <is>
          <t>5. To make your own: select the grid, then Excel: Home &gt; Conditional Formatting &gt; New Rule &gt; Use a formula to determine which cells to format; Google Sheets: Format &gt; Conditional formatting &gt; Custom formula is. Paste the formula for the first cell of your selection.</t>
        </is>
      </c>
    </row>
    <row r="8">
      <c r="A8" s="12" t="inlineStr">
        <is>
          <t>6. If an end date is before its start date, or a date is typed as text, D shows Check dates and no bar is drawn. The check cell AJ6 shows OK when every task has a name and two valid dates.</t>
        </is>
      </c>
    </row>
    <row r="9">
      <c r="A9" s="12" t="inlineStr">
        <is>
          <t>7. A task that runs past the 28th day is cut off at the edge of the chart; AJ5 counts them. Change B1 to move the chart.</t>
        </is>
      </c>
    </row>
    <row r="10">
      <c r="A10" s="12" t="inlineStr">
        <is>
          <t>8. There is no today line. TODAY() is not used, so the file never changes by itself.</t>
        </is>
      </c>
    </row>
    <row r="11">
      <c r="A11" s="12" t="inlineStr"/>
    </row>
    <row r="12">
      <c r="A12" s="12" t="inlineStr">
        <is>
          <t>Project and dates are fictional. Checked in LibreOffice Calc only; not opened in Excel or Google Sheets.</t>
        </is>
      </c>
    </row>
    <row r="13">
      <c r="A13" s="12" t="inlineStr">
        <is>
          <t>Google Sheets: File &gt; Import &gt; Upload this .xlsx (check that the conditional formatting came across).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2026-10-24T07:32:28Z</dcterms:created>
  <dcterms:modified xsi:type="dcterms:W3CDTF">2026-10-24T07:32:28Z</dcterms:modified>
</cp:coreProperties>
</file>