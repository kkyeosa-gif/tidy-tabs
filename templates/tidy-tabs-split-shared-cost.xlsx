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 sheetId="1" state="visible" r:id="rId1"/>
    <sheet xmlns:r="http://schemas.openxmlformats.org/officeDocument/2006/relationships" name="How to use" sheetId="2" state="visible" r:id="rId2"/>
  </sheets>
  <definedNames>
    <definedName name="_xlnm.Print_Titles" localSheetId="0">'Split'!$1:$1</definedName>
    <definedName name="_xlnm.Print_Area" localSheetId="0">'Split'!$A$1:$J$8</definedName>
  </definedNames>
  <calcPr calcId="124519" fullCalcOnLoad="1"/>
</workbook>
</file>

<file path=xl/styles.xml><?xml version="1.0" encoding="utf-8"?>
<styleSheet xmlns="http://schemas.openxmlformats.org/spreadsheetml/2006/main">
  <numFmts count="1">
    <numFmt numFmtId="164" formatCode="&quot;$&quot;#,##0.00"/>
  </numFmts>
  <fonts count="5">
    <font>
      <name val="Calibri"/>
      <family val="2"/>
      <color theme="1"/>
      <sz val="11"/>
      <scheme val="minor"/>
    </font>
    <font>
      <b val="1"/>
    </font>
    <font>
      <i val="1"/>
    </font>
    <font>
      <b val="1"/>
      <color rgb="00FFFFFF"/>
    </font>
    <font>
      <b val="1"/>
      <sz val="13"/>
    </font>
  </fonts>
  <fills count="5">
    <fill>
      <patternFill/>
    </fill>
    <fill>
      <patternFill patternType="gray125"/>
    </fill>
    <fill>
      <patternFill patternType="solid">
        <fgColor rgb="00FFF2CC"/>
      </patternFill>
    </fill>
    <fill>
      <patternFill patternType="solid">
        <fgColor rgb="002E5E4E"/>
      </patternFill>
    </fill>
    <fill>
      <patternFill patternType="solid">
        <fgColor rgb="00EDEDED"/>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164" fontId="0" fillId="2" borderId="0" pivotButton="0" quotePrefix="0" xfId="0"/>
    <xf numFmtId="164" fontId="0" fillId="4" borderId="0" applyAlignment="1" pivotButton="0" quotePrefix="0" xfId="0">
      <alignment horizontal="right"/>
    </xf>
    <xf numFmtId="0" fontId="2" fillId="0" borderId="0" pivotButton="0" quotePrefix="0" xfId="0"/>
    <xf numFmtId="0" fontId="0" fillId="4" borderId="0" applyAlignment="1" pivotButton="0" quotePrefix="0" xfId="0">
      <alignment horizontal="right"/>
    </xf>
    <xf numFmtId="0" fontId="3" fillId="3" borderId="0" applyAlignment="1" pivotButton="0" quotePrefix="0" xfId="0">
      <alignment vertical="center" wrapText="1"/>
    </xf>
    <xf numFmtId="0" fontId="0" fillId="2" borderId="0" pivotButton="0" quotePrefix="0" xfId="0"/>
    <xf numFmtId="10" fontId="0" fillId="4" borderId="0" applyAlignment="1" pivotButton="0" quotePrefix="0" xfId="0">
      <alignment horizontal="right"/>
    </xf>
    <xf numFmtId="164" fontId="1" fillId="0" borderId="0" pivotButton="0" quotePrefix="0" xfId="0"/>
    <xf numFmtId="10" fontId="1"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8"/>
  <sheetViews>
    <sheetView workbookViewId="0">
      <selection activeCell="A1" sqref="A1"/>
    </sheetView>
  </sheetViews>
  <sheetFormatPr baseColWidth="8" defaultRowHeight="15"/>
  <cols>
    <col width="22" customWidth="1" min="1" max="1"/>
    <col width="13" customWidth="1" min="2" max="2"/>
    <col width="13" customWidth="1" min="3" max="3"/>
    <col width="13" customWidth="1" min="4" max="4"/>
    <col width="11" customWidth="1" min="5" max="5"/>
    <col width="12" customWidth="1" min="6" max="6"/>
    <col width="15" customWidth="1" min="7" max="7"/>
    <col width="3" customWidth="1" min="8" max="8"/>
    <col width="44" customWidth="1" min="9" max="9"/>
    <col width="25" customWidth="1" min="10" max="10"/>
  </cols>
  <sheetData>
    <row r="1">
      <c r="A1" s="1" t="inlineStr">
        <is>
          <t>Total shared bill</t>
        </is>
      </c>
      <c r="B1" s="2" t="n">
        <v>240</v>
      </c>
      <c r="I1" s="1" t="inlineStr">
        <is>
          <t>Cents left over after rounding (bill minus C8)</t>
        </is>
      </c>
      <c r="J1" s="3">
        <f>IF(AND(ISNUMBER(B1),COUNT(C4:C7)&gt;0),ROUND(B1-C8,2),"")</f>
        <v/>
      </c>
    </row>
    <row r="2">
      <c r="A2" s="4" t="inlineStr">
        <is>
          <t>Booth fee for the October craft fair. Type the bill in B1 and each seller's sales in B4:B7.</t>
        </is>
      </c>
      <c r="I2" s="1" t="inlineStr">
        <is>
          <t>Seller who gets the leftover cents</t>
        </is>
      </c>
      <c r="J2" s="5">
        <f>IF(NOT(ISNUMBER(J1)),"",IF(J1=0,"None needed",INDEX(A4:A7,MATCH(MAX(B4:B7),B4:B7,0))))</f>
        <v/>
      </c>
    </row>
    <row r="3" ht="46" customHeight="1">
      <c r="A3" s="6" t="inlineStr">
        <is>
          <t>Seller</t>
        </is>
      </c>
      <c r="B3" s="6" t="inlineStr">
        <is>
          <t>Sales</t>
        </is>
      </c>
      <c r="C3" s="6" t="inlineStr">
        <is>
          <t>Rounded share</t>
        </is>
      </c>
      <c r="D3" s="6" t="inlineStr">
        <is>
          <t>Final amount</t>
        </is>
      </c>
      <c r="E3" s="6" t="inlineStr">
        <is>
          <t>Share of sales</t>
        </is>
      </c>
      <c r="F3" s="6" t="inlineStr">
        <is>
          <t>Equal split</t>
        </is>
      </c>
      <c r="G3" s="6" t="inlineStr">
        <is>
          <t>Sales split minus equal split</t>
        </is>
      </c>
      <c r="I3" s="1" t="inlineStr">
        <is>
          <t>Final amounts add up to</t>
        </is>
      </c>
      <c r="J3" s="3">
        <f>D8</f>
        <v/>
      </c>
    </row>
    <row r="4">
      <c r="A4" s="7" t="inlineStr">
        <is>
          <t>Maple Street Candles</t>
        </is>
      </c>
      <c r="B4" s="2" t="n">
        <v>1310</v>
      </c>
      <c r="C4" s="3">
        <f>IF(OR(NOT(ISNUMBER($B$1)),COUNT($B$4:$B$7)&lt;COUNTA($B$4:$B$7),SUM($B$4:$B$7)&lt;=0,MIN($B$4:$B$7)&lt;0),"Check sales",IF(B4="","",ROUND($B$1*B4/SUM($B$4:$B$7),2)))</f>
        <v/>
      </c>
      <c r="D4" s="3">
        <f>IF(ISNUMBER(C4),C4+IF(AND(B4=MAX($B$4:$B$7),COUNTIF($B$4:B4,MAX($B$4:$B$7))=1),ROUND($B$1-SUM($C$4:$C$7),2),0),C4)</f>
        <v/>
      </c>
      <c r="E4" s="8">
        <f>IF(ISNUMBER(C4),B4/SUM($B$4:$B$7),C4)</f>
        <v/>
      </c>
      <c r="F4" s="3">
        <f>IF(AND(A4&lt;&gt;"",ISNUMBER($B$1)),ROUND($B$1/COUNTA($A$4:$A$7),2),"")</f>
        <v/>
      </c>
      <c r="G4" s="3">
        <f>IF(AND(ISNUMBER(D4),ISNUMBER(F4)),ROUND(D4-F4,2),"")</f>
        <v/>
      </c>
      <c r="I4" s="1" t="inlineStr">
        <is>
          <t>Equal split adds up to</t>
        </is>
      </c>
      <c r="J4" s="3">
        <f>F8</f>
        <v/>
      </c>
    </row>
    <row r="5">
      <c r="A5" s="7" t="inlineStr">
        <is>
          <t>Birch and Bloom Soap</t>
        </is>
      </c>
      <c r="B5" s="2" t="n">
        <v>890</v>
      </c>
      <c r="C5" s="3">
        <f>IF(OR(NOT(ISNUMBER($B$1)),COUNT($B$4:$B$7)&lt;COUNTA($B$4:$B$7),SUM($B$4:$B$7)&lt;=0,MIN($B$4:$B$7)&lt;0),"Check sales",IF(B5="","",ROUND($B$1*B5/SUM($B$4:$B$7),2)))</f>
        <v/>
      </c>
      <c r="D5" s="3">
        <f>IF(ISNUMBER(C5),C5+IF(AND(B5=MAX($B$4:$B$7),COUNTIF($B$4:B5,MAX($B$4:$B$7))=1),ROUND($B$1-SUM($C$4:$C$7),2),0),C5)</f>
        <v/>
      </c>
      <c r="E5" s="8">
        <f>IF(ISNUMBER(C5),B5/SUM($B$4:$B$7),C5)</f>
        <v/>
      </c>
      <c r="F5" s="3">
        <f>IF(AND(A5&lt;&gt;"",ISNUMBER($B$1)),ROUND($B$1/COUNTA($A$4:$A$7),2),"")</f>
        <v/>
      </c>
      <c r="G5" s="3">
        <f>IF(AND(ISNUMBER(D5),ISNUMBER(F5)),ROUND(D5-F5,2),"")</f>
        <v/>
      </c>
      <c r="I5" s="1" t="inlineStr">
        <is>
          <t>Check: final amounts equal the bill</t>
        </is>
      </c>
      <c r="J5" s="5">
        <f>IF(AND(ISNUMBER(B1),ISNUMBER(D8)),IF(ROUND(D8-B1,2)=0,"OK","CHECK"),"CHECK")</f>
        <v/>
      </c>
    </row>
    <row r="6">
      <c r="A6" s="7" t="inlineStr">
        <is>
          <t>Harbor Knit Co.</t>
        </is>
      </c>
      <c r="B6" s="2" t="n">
        <v>560</v>
      </c>
      <c r="C6" s="3">
        <f>IF(OR(NOT(ISNUMBER($B$1)),COUNT($B$4:$B$7)&lt;COUNTA($B$4:$B$7),SUM($B$4:$B$7)&lt;=0,MIN($B$4:$B$7)&lt;0),"Check sales",IF(B6="","",ROUND($B$1*B6/SUM($B$4:$B$7),2)))</f>
        <v/>
      </c>
      <c r="D6" s="3">
        <f>IF(ISNUMBER(C6),C6+IF(AND(B6=MAX($B$4:$B$7),COUNTIF($B$4:B6,MAX($B$4:$B$7))=1),ROUND($B$1-SUM($C$4:$C$7),2),0),C6)</f>
        <v/>
      </c>
      <c r="E6" s="8">
        <f>IF(ISNUMBER(C6),B6/SUM($B$4:$B$7),C6)</f>
        <v/>
      </c>
      <c r="F6" s="3">
        <f>IF(AND(A6&lt;&gt;"",ISNUMBER($B$1)),ROUND($B$1/COUNTA($A$4:$A$7),2),"")</f>
        <v/>
      </c>
      <c r="G6" s="3">
        <f>IF(AND(ISNUMBER(D6),ISNUMBER(F6)),ROUND(D6-F6,2),"")</f>
        <v/>
      </c>
    </row>
    <row r="7">
      <c r="A7" s="7" t="inlineStr">
        <is>
          <t>Pine Hill Prints</t>
        </is>
      </c>
      <c r="B7" s="2" t="n">
        <v>340</v>
      </c>
      <c r="C7" s="3">
        <f>IF(OR(NOT(ISNUMBER($B$1)),COUNT($B$4:$B$7)&lt;COUNTA($B$4:$B$7),SUM($B$4:$B$7)&lt;=0,MIN($B$4:$B$7)&lt;0),"Check sales",IF(B7="","",ROUND($B$1*B7/SUM($B$4:$B$7),2)))</f>
        <v/>
      </c>
      <c r="D7" s="3">
        <f>IF(ISNUMBER(C7),C7+IF(AND(B7=MAX($B$4:$B$7),COUNTIF($B$4:B7,MAX($B$4:$B$7))=1),ROUND($B$1-SUM($C$4:$C$7),2),0),C7)</f>
        <v/>
      </c>
      <c r="E7" s="8">
        <f>IF(ISNUMBER(C7),B7/SUM($B$4:$B$7),C7)</f>
        <v/>
      </c>
      <c r="F7" s="3">
        <f>IF(AND(A7&lt;&gt;"",ISNUMBER($B$1)),ROUND($B$1/COUNTA($A$4:$A$7),2),"")</f>
        <v/>
      </c>
      <c r="G7" s="3">
        <f>IF(AND(ISNUMBER(D7),ISNUMBER(F7)),ROUND(D7-F7,2),"")</f>
        <v/>
      </c>
    </row>
    <row r="8">
      <c r="A8" s="1" t="inlineStr">
        <is>
          <t>Total</t>
        </is>
      </c>
      <c r="B8" s="9">
        <f>SUM(B4:B7)</f>
        <v/>
      </c>
      <c r="C8" s="9">
        <f>SUM(C4:C7)</f>
        <v/>
      </c>
      <c r="D8" s="9">
        <f>SUM(D4:D7)</f>
        <v/>
      </c>
      <c r="E8" s="10">
        <f>SUM(E4:E7)</f>
        <v/>
      </c>
      <c r="F8" s="9">
        <f>SUM(F4:F7)</f>
        <v/>
      </c>
      <c r="G8" s="1" t="n"/>
    </row>
  </sheetData>
  <conditionalFormatting sqref="C4:G7">
    <cfRule type="expression" priority="1" dxfId="0">
      <formula>C4="Check sales"</formula>
    </cfRule>
  </conditionalFormatting>
  <conditionalFormatting sqref="J5">
    <cfRule type="expression" priority="2" dxfId="0">
      <formula>AND(J5&lt;&gt;"OK",J5&lt;&gt;"")</formula>
    </cfRule>
  </conditionalFormatting>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A12"/>
  <sheetViews>
    <sheetView workbookViewId="0">
      <selection activeCell="A1" sqref="A1"/>
    </sheetView>
  </sheetViews>
  <sheetFormatPr baseColWidth="8" defaultRowHeight="15"/>
  <cols>
    <col width="100" customWidth="1" min="1" max="1"/>
  </cols>
  <sheetData>
    <row r="1">
      <c r="A1" s="11" t="inlineStr">
        <is>
          <t>Tidy Tabs: Split a Shared Booth Fee or Bill by Sales Share</t>
        </is>
      </c>
    </row>
    <row r="2">
      <c r="A2" s="12" t="inlineStr"/>
    </row>
    <row r="3">
      <c r="A3" s="12" t="inlineStr">
        <is>
          <t>1. Split tab: type the total bill in B1, the seller names in A4:A7 and each seller's sales in B4:B7. Yellow. Up to 4 sellers. The sample is a fictional $240.00 booth fee shared by 4 fictional sellers.</t>
        </is>
      </c>
    </row>
    <row r="4">
      <c r="A4" s="12" t="inlineStr">
        <is>
          <t>2. Rounded share, C4: =ROUND($B$1*B4/SUM($B$4:$B$7),2). The bill times the seller's sales over all sales, rounded to cents. Rounding each seller can make the four amounts add to a cent or two more or less than the bill. In the sample they add to $239.99 (C8).</t>
        </is>
      </c>
    </row>
    <row r="5">
      <c r="A5" s="12" t="inlineStr">
        <is>
          <t>3. Final amount, D4: =C4+IF(AND(B4=MAX($B$4:$B$7),COUNTIF($B$4:B4,MAX($B$4:$B$7))=1),ROUND($B$1-SUM($C$4:$C$7),2),0). It adds the leftover cents (J1) to the seller with the largest sales. If two sellers tie for the largest, only the first one listed gets them. The Final amounts add back to the bill.</t>
        </is>
      </c>
    </row>
    <row r="6">
      <c r="A6" s="12" t="inlineStr">
        <is>
          <t>4. Share of sales, E, shows each seller's percent. Equal split, F, divides the bill by the number of names in A4:A7, rounded to cents, for comparison. With a bill that does not divide evenly the equal split can also be a cent off (F8). G is the sales split minus the equal split.</t>
        </is>
      </c>
    </row>
    <row r="7">
      <c r="A7" s="12" t="inlineStr">
        <is>
          <t>5. A seller with $0.00 sales pays $0.00. If all the sales are 0, any sales amount is text or negative, or B1 is not a number, the amounts show Check sales instead of #DIV/0!. A blank sales cell leaves that row blank.</t>
        </is>
      </c>
    </row>
    <row r="8">
      <c r="A8" s="12" t="inlineStr">
        <is>
          <t>6. J5 shows OK when the final amounts add up to the bill to the cent. A total with fractions of a cent, such as 86.455, gives CHECK, because dollar amounts cannot add to half a cent.</t>
        </is>
      </c>
    </row>
    <row r="9">
      <c r="A9" s="12" t="inlineStr">
        <is>
          <t>7. This is arithmetic only. It does not say how a fee should fairly be split. Agree the method with the other sellers before you use the numbers, and do not treat the result as a tax deduction.</t>
        </is>
      </c>
    </row>
    <row r="10">
      <c r="A10" s="12" t="inlineStr"/>
    </row>
    <row r="11">
      <c r="A11" s="12" t="inlineStr">
        <is>
          <t>Sellers and sales are fictional. Checked in LibreOffice Calc only; not opened in Excel or Google Sheets.</t>
        </is>
      </c>
    </row>
    <row r="12">
      <c r="A12" s="12"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2026-10-22T07:39:05Z</dcterms:created>
  <dcterms:modified xmlns:dcterms="http://purl.org/dc/terms/" xmlns:xsi="http://www.w3.org/2001/XMLSchema-instance" xsi:type="dcterms:W3CDTF">2026-10-22T07:39:05Z</dcterms:modified>
</cp:coreProperties>
</file>