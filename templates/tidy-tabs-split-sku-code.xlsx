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s" sheetId="1" state="visible" r:id="rId1"/>
    <sheet xmlns:r="http://schemas.openxmlformats.org/officeDocument/2006/relationships" name="How to use" sheetId="2" state="visible" r:id="rId2"/>
  </sheets>
  <definedNames>
    <definedName name="_xlnm.Print_Titles" localSheetId="0">'SKUs'!$1:$1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2" customWidth="1" min="3" max="3"/>
    <col width="12" customWidth="1" min="4" max="4"/>
    <col width="15" customWidth="1" min="5" max="5"/>
    <col width="4" customWidth="1" min="6" max="6"/>
    <col width="28" customWidth="1" min="7" max="7"/>
    <col width="12" customWidth="1" min="8" max="8"/>
  </cols>
  <sheetData>
    <row r="1" ht="30" customHeight="1">
      <c r="A1" s="1" t="inlineStr">
        <is>
          <t>SKU</t>
        </is>
      </c>
      <c r="B1" s="1" t="inlineStr">
        <is>
          <t>Units sold</t>
        </is>
      </c>
      <c r="C1" s="1" t="inlineStr">
        <is>
          <t>Category</t>
        </is>
      </c>
      <c r="D1" s="1" t="inlineStr">
        <is>
          <t>Style</t>
        </is>
      </c>
      <c r="E1" s="1" t="inlineStr">
        <is>
          <t>Size or color</t>
        </is>
      </c>
      <c r="G1" s="2" t="inlineStr">
        <is>
          <t>Category code</t>
        </is>
      </c>
      <c r="H1" s="2" t="inlineStr">
        <is>
          <t>Units sold</t>
        </is>
      </c>
    </row>
    <row r="2">
      <c r="A2" t="inlineStr">
        <is>
          <t>CND-LAV-8OZ</t>
        </is>
      </c>
      <c r="B2" t="n">
        <v>24</v>
      </c>
      <c r="C2" s="3">
        <f>IF(A2="","",IFERROR(LEFT(A2,FIND("-",A2)-1),"Check SKU"))</f>
        <v/>
      </c>
      <c r="D2" s="3">
        <f>IF(A2="","",IFERROR(MID(A2,FIND("-",A2)+1,FIND("-",A2,FIND("-",A2)+1)-FIND("-",A2)-1),"Check SKU"))</f>
        <v/>
      </c>
      <c r="E2" s="3">
        <f>IF(A2="","",IFERROR(MID(A2,FIND("-",A2,FIND("-",A2)+1)+1,LEN(A2)),"Check SKU"))</f>
        <v/>
      </c>
      <c r="G2" s="4" t="inlineStr">
        <is>
          <t>CND</t>
        </is>
      </c>
      <c r="H2" s="3">
        <f>SUMIF($C$2:$C$30,G2,$B$2:$B$30)</f>
        <v/>
      </c>
    </row>
    <row r="3">
      <c r="A3" t="inlineStr">
        <is>
          <t>CND-LAV-16OZ</t>
        </is>
      </c>
      <c r="B3" t="n">
        <v>9</v>
      </c>
      <c r="C3" s="3">
        <f>IF(A3="","",IFERROR(LEFT(A3,FIND("-",A3)-1),"Check SKU"))</f>
        <v/>
      </c>
      <c r="D3" s="3">
        <f>IF(A3="","",IFERROR(MID(A3,FIND("-",A3)+1,FIND("-",A3,FIND("-",A3)+1)-FIND("-",A3)-1),"Check SKU"))</f>
        <v/>
      </c>
      <c r="E3" s="3">
        <f>IF(A3="","",IFERROR(MID(A3,FIND("-",A3,FIND("-",A3)+1)+1,LEN(A3)),"Check SKU"))</f>
        <v/>
      </c>
      <c r="G3" s="4" t="inlineStr">
        <is>
          <t>SOP</t>
        </is>
      </c>
      <c r="H3" s="3">
        <f>SUMIF($C$2:$C$30,G3,$B$2:$B$30)</f>
        <v/>
      </c>
    </row>
    <row r="4">
      <c r="A4" t="inlineStr">
        <is>
          <t>CND-CED-8OZ</t>
        </is>
      </c>
      <c r="B4" t="n">
        <v>18</v>
      </c>
      <c r="C4" s="3">
        <f>IF(A4="","",IFERROR(LEFT(A4,FIND("-",A4)-1),"Check SKU"))</f>
        <v/>
      </c>
      <c r="D4" s="3">
        <f>IF(A4="","",IFERROR(MID(A4,FIND("-",A4)+1,FIND("-",A4,FIND("-",A4)+1)-FIND("-",A4)-1),"Check SKU"))</f>
        <v/>
      </c>
      <c r="E4" s="3">
        <f>IF(A4="","",IFERROR(MID(A4,FIND("-",A4,FIND("-",A4)+1)+1,LEN(A4)),"Check SKU"))</f>
        <v/>
      </c>
      <c r="G4" s="4" t="inlineStr">
        <is>
          <t>EAR</t>
        </is>
      </c>
      <c r="H4" s="3">
        <f>SUMIF($C$2:$C$30,G4,$B$2:$B$30)</f>
        <v/>
      </c>
    </row>
    <row r="5">
      <c r="A5" t="inlineStr">
        <is>
          <t>SOP-OAT-4OZ</t>
        </is>
      </c>
      <c r="B5" t="n">
        <v>31</v>
      </c>
      <c r="C5" s="3">
        <f>IF(A5="","",IFERROR(LEFT(A5,FIND("-",A5)-1),"Check SKU"))</f>
        <v/>
      </c>
      <c r="D5" s="3">
        <f>IF(A5="","",IFERROR(MID(A5,FIND("-",A5)+1,FIND("-",A5,FIND("-",A5)+1)-FIND("-",A5)-1),"Check SKU"))</f>
        <v/>
      </c>
      <c r="E5" s="3">
        <f>IF(A5="","",IFERROR(MID(A5,FIND("-",A5,FIND("-",A5)+1)+1,LEN(A5)),"Check SKU"))</f>
        <v/>
      </c>
      <c r="G5" s="4" t="inlineStr">
        <is>
          <t>CRD</t>
        </is>
      </c>
      <c r="H5" s="3">
        <f>SUMIF($C$2:$C$30,G5,$B$2:$B$30)</f>
        <v/>
      </c>
    </row>
    <row r="6">
      <c r="A6" t="inlineStr">
        <is>
          <t>SOP-CHR-4OZ</t>
        </is>
      </c>
      <c r="B6" t="n">
        <v>22</v>
      </c>
      <c r="C6" s="3">
        <f>IF(A6="","",IFERROR(LEFT(A6,FIND("-",A6)-1),"Check SKU"))</f>
        <v/>
      </c>
      <c r="D6" s="3">
        <f>IF(A6="","",IFERROR(MID(A6,FIND("-",A6)+1,FIND("-",A6,FIND("-",A6)+1)-FIND("-",A6)-1),"Check SKU"))</f>
        <v/>
      </c>
      <c r="E6" s="3">
        <f>IF(A6="","",IFERROR(MID(A6,FIND("-",A6,FIND("-",A6)+1)+1,LEN(A6)),"Check SKU"))</f>
        <v/>
      </c>
      <c r="G6" s="5" t="inlineStr">
        <is>
          <t>Total of the categories</t>
        </is>
      </c>
      <c r="H6">
        <f>SUM(H2:H5)</f>
        <v/>
      </c>
    </row>
    <row r="7">
      <c r="A7" t="inlineStr">
        <is>
          <t>SOP-OAT-8OZ</t>
        </is>
      </c>
      <c r="B7" t="n">
        <v>7</v>
      </c>
      <c r="C7" s="3">
        <f>IF(A7="","",IFERROR(LEFT(A7,FIND("-",A7)-1),"Check SKU"))</f>
        <v/>
      </c>
      <c r="D7" s="3">
        <f>IF(A7="","",IFERROR(MID(A7,FIND("-",A7)+1,FIND("-",A7,FIND("-",A7)+1)-FIND("-",A7)-1),"Check SKU"))</f>
        <v/>
      </c>
      <c r="E7" s="3">
        <f>IF(A7="","",IFERROR(MID(A7,FIND("-",A7,FIND("-",A7)+1)+1,LEN(A7)),"Check SKU"))</f>
        <v/>
      </c>
      <c r="G7" t="inlineStr">
        <is>
          <t>All units on the sheet</t>
        </is>
      </c>
      <c r="H7">
        <f>SUM(B2:B30)</f>
        <v/>
      </c>
    </row>
    <row r="8">
      <c r="A8" t="inlineStr">
        <is>
          <t>EAR-HOOP-GLD</t>
        </is>
      </c>
      <c r="B8" t="n">
        <v>12</v>
      </c>
      <c r="C8" s="3">
        <f>IF(A8="","",IFERROR(LEFT(A8,FIND("-",A8)-1),"Check SKU"))</f>
        <v/>
      </c>
      <c r="D8" s="3">
        <f>IF(A8="","",IFERROR(MID(A8,FIND("-",A8)+1,FIND("-",A8,FIND("-",A8)+1)-FIND("-",A8)-1),"Check SKU"))</f>
        <v/>
      </c>
      <c r="E8" s="3">
        <f>IF(A8="","",IFERROR(MID(A8,FIND("-",A8,FIND("-",A8)+1)+1,LEN(A8)),"Check SKU"))</f>
        <v/>
      </c>
      <c r="G8" t="inlineStr">
        <is>
          <t>Check</t>
        </is>
      </c>
      <c r="H8">
        <f>IF(H6=H7,"OK","CHECK")</f>
        <v/>
      </c>
    </row>
    <row r="9">
      <c r="A9" t="inlineStr">
        <is>
          <t>EAR-STUD-SLV</t>
        </is>
      </c>
      <c r="B9" t="n">
        <v>15</v>
      </c>
      <c r="C9" s="3">
        <f>IF(A9="","",IFERROR(LEFT(A9,FIND("-",A9)-1),"Check SKU"))</f>
        <v/>
      </c>
      <c r="D9" s="3">
        <f>IF(A9="","",IFERROR(MID(A9,FIND("-",A9)+1,FIND("-",A9,FIND("-",A9)+1)-FIND("-",A9)-1),"Check SKU"))</f>
        <v/>
      </c>
      <c r="E9" s="3">
        <f>IF(A9="","",IFERROR(MID(A9,FIND("-",A9,FIND("-",A9)+1)+1,LEN(A9)),"Check SKU"))</f>
        <v/>
      </c>
    </row>
    <row r="10">
      <c r="A10" t="inlineStr">
        <is>
          <t>CRD-BDAY-A6</t>
        </is>
      </c>
      <c r="B10" t="n">
        <v>40</v>
      </c>
      <c r="C10" s="3">
        <f>IF(A10="","",IFERROR(LEFT(A10,FIND("-",A10)-1),"Check SKU"))</f>
        <v/>
      </c>
      <c r="D10" s="3">
        <f>IF(A10="","",IFERROR(MID(A10,FIND("-",A10)+1,FIND("-",A10,FIND("-",A10)+1)-FIND("-",A10)-1),"Check SKU"))</f>
        <v/>
      </c>
      <c r="E10" s="3">
        <f>IF(A10="","",IFERROR(MID(A10,FIND("-",A10,FIND("-",A10)+1)+1,LEN(A10)),"Check SKU"))</f>
        <v/>
      </c>
    </row>
    <row r="11">
      <c r="A11" t="inlineStr">
        <is>
          <t>CRD-THNX-A6</t>
        </is>
      </c>
      <c r="B11" t="n">
        <v>28</v>
      </c>
      <c r="C11" s="3">
        <f>IF(A11="","",IFERROR(LEFT(A11,FIND("-",A11)-1),"Check SKU"))</f>
        <v/>
      </c>
      <c r="D11" s="3">
        <f>IF(A11="","",IFERROR(MID(A11,FIND("-",A11)+1,FIND("-",A11,FIND("-",A11)+1)-FIND("-",A11)-1),"Check SKU"))</f>
        <v/>
      </c>
      <c r="E11" s="3">
        <f>IF(A11="","",IFERROR(MID(A11,FIND("-",A11,FIND("-",A11)+1)+1,LEN(A11)),"Check SKU"))</f>
        <v/>
      </c>
    </row>
    <row r="12">
      <c r="C12" s="3">
        <f>IF(A12="","",IFERROR(LEFT(A12,FIND("-",A12)-1),"Check SKU"))</f>
        <v/>
      </c>
      <c r="D12" s="3">
        <f>IF(A12="","",IFERROR(MID(A12,FIND("-",A12)+1,FIND("-",A12,FIND("-",A12)+1)-FIND("-",A12)-1),"Check SKU"))</f>
        <v/>
      </c>
      <c r="E12" s="3">
        <f>IF(A12="","",IFERROR(MID(A12,FIND("-",A12,FIND("-",A12)+1)+1,LEN(A12)),"Check SKU"))</f>
        <v/>
      </c>
    </row>
    <row r="13">
      <c r="C13" s="3">
        <f>IF(A13="","",IFERROR(LEFT(A13,FIND("-",A13)-1),"Check SKU"))</f>
        <v/>
      </c>
      <c r="D13" s="3">
        <f>IF(A13="","",IFERROR(MID(A13,FIND("-",A13)+1,FIND("-",A13,FIND("-",A13)+1)-FIND("-",A13)-1),"Check SKU"))</f>
        <v/>
      </c>
      <c r="E13" s="3">
        <f>IF(A13="","",IFERROR(MID(A13,FIND("-",A13,FIND("-",A13)+1)+1,LEN(A13)),"Check SKU"))</f>
        <v/>
      </c>
    </row>
    <row r="14">
      <c r="C14" s="3">
        <f>IF(A14="","",IFERROR(LEFT(A14,FIND("-",A14)-1),"Check SKU"))</f>
        <v/>
      </c>
      <c r="D14" s="3">
        <f>IF(A14="","",IFERROR(MID(A14,FIND("-",A14)+1,FIND("-",A14,FIND("-",A14)+1)-FIND("-",A14)-1),"Check SKU"))</f>
        <v/>
      </c>
      <c r="E14" s="3">
        <f>IF(A14="","",IFERROR(MID(A14,FIND("-",A14,FIND("-",A14)+1)+1,LEN(A14)),"Check SKU"))</f>
        <v/>
      </c>
    </row>
    <row r="15">
      <c r="C15" s="3">
        <f>IF(A15="","",IFERROR(LEFT(A15,FIND("-",A15)-1),"Check SKU"))</f>
        <v/>
      </c>
      <c r="D15" s="3">
        <f>IF(A15="","",IFERROR(MID(A15,FIND("-",A15)+1,FIND("-",A15,FIND("-",A15)+1)-FIND("-",A15)-1),"Check SKU"))</f>
        <v/>
      </c>
      <c r="E15" s="3">
        <f>IF(A15="","",IFERROR(MID(A15,FIND("-",A15,FIND("-",A15)+1)+1,LEN(A15)),"Check SKU"))</f>
        <v/>
      </c>
    </row>
    <row r="16">
      <c r="C16" s="3">
        <f>IF(A16="","",IFERROR(LEFT(A16,FIND("-",A16)-1),"Check SKU"))</f>
        <v/>
      </c>
      <c r="D16" s="3">
        <f>IF(A16="","",IFERROR(MID(A16,FIND("-",A16)+1,FIND("-",A16,FIND("-",A16)+1)-FIND("-",A16)-1),"Check SKU"))</f>
        <v/>
      </c>
      <c r="E16" s="3">
        <f>IF(A16="","",IFERROR(MID(A16,FIND("-",A16,FIND("-",A16)+1)+1,LEN(A16)),"Check SKU"))</f>
        <v/>
      </c>
    </row>
    <row r="17">
      <c r="C17" s="3">
        <f>IF(A17="","",IFERROR(LEFT(A17,FIND("-",A17)-1),"Check SKU"))</f>
        <v/>
      </c>
      <c r="D17" s="3">
        <f>IF(A17="","",IFERROR(MID(A17,FIND("-",A17)+1,FIND("-",A17,FIND("-",A17)+1)-FIND("-",A17)-1),"Check SKU"))</f>
        <v/>
      </c>
      <c r="E17" s="3">
        <f>IF(A17="","",IFERROR(MID(A17,FIND("-",A17,FIND("-",A17)+1)+1,LEN(A17)),"Check SKU"))</f>
        <v/>
      </c>
    </row>
    <row r="18">
      <c r="C18" s="3">
        <f>IF(A18="","",IFERROR(LEFT(A18,FIND("-",A18)-1),"Check SKU"))</f>
        <v/>
      </c>
      <c r="D18" s="3">
        <f>IF(A18="","",IFERROR(MID(A18,FIND("-",A18)+1,FIND("-",A18,FIND("-",A18)+1)-FIND("-",A18)-1),"Check SKU"))</f>
        <v/>
      </c>
      <c r="E18" s="3">
        <f>IF(A18="","",IFERROR(MID(A18,FIND("-",A18,FIND("-",A18)+1)+1,LEN(A18)),"Check SKU"))</f>
        <v/>
      </c>
    </row>
    <row r="19">
      <c r="C19" s="3">
        <f>IF(A19="","",IFERROR(LEFT(A19,FIND("-",A19)-1),"Check SKU"))</f>
        <v/>
      </c>
      <c r="D19" s="3">
        <f>IF(A19="","",IFERROR(MID(A19,FIND("-",A19)+1,FIND("-",A19,FIND("-",A19)+1)-FIND("-",A19)-1),"Check SKU"))</f>
        <v/>
      </c>
      <c r="E19" s="3">
        <f>IF(A19="","",IFERROR(MID(A19,FIND("-",A19,FIND("-",A19)+1)+1,LEN(A19)),"Check SKU"))</f>
        <v/>
      </c>
    </row>
    <row r="20">
      <c r="C20" s="3">
        <f>IF(A20="","",IFERROR(LEFT(A20,FIND("-",A20)-1),"Check SKU"))</f>
        <v/>
      </c>
      <c r="D20" s="3">
        <f>IF(A20="","",IFERROR(MID(A20,FIND("-",A20)+1,FIND("-",A20,FIND("-",A20)+1)-FIND("-",A20)-1),"Check SKU"))</f>
        <v/>
      </c>
      <c r="E20" s="3">
        <f>IF(A20="","",IFERROR(MID(A20,FIND("-",A20,FIND("-",A20)+1)+1,LEN(A20)),"Check SKU"))</f>
        <v/>
      </c>
    </row>
    <row r="21">
      <c r="C21" s="3">
        <f>IF(A21="","",IFERROR(LEFT(A21,FIND("-",A21)-1),"Check SKU"))</f>
        <v/>
      </c>
      <c r="D21" s="3">
        <f>IF(A21="","",IFERROR(MID(A21,FIND("-",A21)+1,FIND("-",A21,FIND("-",A21)+1)-FIND("-",A21)-1),"Check SKU"))</f>
        <v/>
      </c>
      <c r="E21" s="3">
        <f>IF(A21="","",IFERROR(MID(A21,FIND("-",A21,FIND("-",A21)+1)+1,LEN(A21)),"Check SKU"))</f>
        <v/>
      </c>
    </row>
    <row r="22">
      <c r="C22" s="3">
        <f>IF(A22="","",IFERROR(LEFT(A22,FIND("-",A22)-1),"Check SKU"))</f>
        <v/>
      </c>
      <c r="D22" s="3">
        <f>IF(A22="","",IFERROR(MID(A22,FIND("-",A22)+1,FIND("-",A22,FIND("-",A22)+1)-FIND("-",A22)-1),"Check SKU"))</f>
        <v/>
      </c>
      <c r="E22" s="3">
        <f>IF(A22="","",IFERROR(MID(A22,FIND("-",A22,FIND("-",A22)+1)+1,LEN(A22)),"Check SKU"))</f>
        <v/>
      </c>
    </row>
    <row r="23">
      <c r="C23" s="3">
        <f>IF(A23="","",IFERROR(LEFT(A23,FIND("-",A23)-1),"Check SKU"))</f>
        <v/>
      </c>
      <c r="D23" s="3">
        <f>IF(A23="","",IFERROR(MID(A23,FIND("-",A23)+1,FIND("-",A23,FIND("-",A23)+1)-FIND("-",A23)-1),"Check SKU"))</f>
        <v/>
      </c>
      <c r="E23" s="3">
        <f>IF(A23="","",IFERROR(MID(A23,FIND("-",A23,FIND("-",A23)+1)+1,LEN(A23)),"Check SKU"))</f>
        <v/>
      </c>
    </row>
    <row r="24">
      <c r="C24" s="3">
        <f>IF(A24="","",IFERROR(LEFT(A24,FIND("-",A24)-1),"Check SKU"))</f>
        <v/>
      </c>
      <c r="D24" s="3">
        <f>IF(A24="","",IFERROR(MID(A24,FIND("-",A24)+1,FIND("-",A24,FIND("-",A24)+1)-FIND("-",A24)-1),"Check SKU"))</f>
        <v/>
      </c>
      <c r="E24" s="3">
        <f>IF(A24="","",IFERROR(MID(A24,FIND("-",A24,FIND("-",A24)+1)+1,LEN(A24)),"Check SKU"))</f>
        <v/>
      </c>
    </row>
    <row r="25">
      <c r="C25" s="3">
        <f>IF(A25="","",IFERROR(LEFT(A25,FIND("-",A25)-1),"Check SKU"))</f>
        <v/>
      </c>
      <c r="D25" s="3">
        <f>IF(A25="","",IFERROR(MID(A25,FIND("-",A25)+1,FIND("-",A25,FIND("-",A25)+1)-FIND("-",A25)-1),"Check SKU"))</f>
        <v/>
      </c>
      <c r="E25" s="3">
        <f>IF(A25="","",IFERROR(MID(A25,FIND("-",A25,FIND("-",A25)+1)+1,LEN(A25)),"Check SKU"))</f>
        <v/>
      </c>
    </row>
    <row r="26">
      <c r="C26" s="3">
        <f>IF(A26="","",IFERROR(LEFT(A26,FIND("-",A26)-1),"Check SKU"))</f>
        <v/>
      </c>
      <c r="D26" s="3">
        <f>IF(A26="","",IFERROR(MID(A26,FIND("-",A26)+1,FIND("-",A26,FIND("-",A26)+1)-FIND("-",A26)-1),"Check SKU"))</f>
        <v/>
      </c>
      <c r="E26" s="3">
        <f>IF(A26="","",IFERROR(MID(A26,FIND("-",A26,FIND("-",A26)+1)+1,LEN(A26)),"Check SKU"))</f>
        <v/>
      </c>
    </row>
    <row r="27">
      <c r="C27" s="3">
        <f>IF(A27="","",IFERROR(LEFT(A27,FIND("-",A27)-1),"Check SKU"))</f>
        <v/>
      </c>
      <c r="D27" s="3">
        <f>IF(A27="","",IFERROR(MID(A27,FIND("-",A27)+1,FIND("-",A27,FIND("-",A27)+1)-FIND("-",A27)-1),"Check SKU"))</f>
        <v/>
      </c>
      <c r="E27" s="3">
        <f>IF(A27="","",IFERROR(MID(A27,FIND("-",A27,FIND("-",A27)+1)+1,LEN(A27)),"Check SKU"))</f>
        <v/>
      </c>
    </row>
    <row r="28">
      <c r="C28" s="3">
        <f>IF(A28="","",IFERROR(LEFT(A28,FIND("-",A28)-1),"Check SKU"))</f>
        <v/>
      </c>
      <c r="D28" s="3">
        <f>IF(A28="","",IFERROR(MID(A28,FIND("-",A28)+1,FIND("-",A28,FIND("-",A28)+1)-FIND("-",A28)-1),"Check SKU"))</f>
        <v/>
      </c>
      <c r="E28" s="3">
        <f>IF(A28="","",IFERROR(MID(A28,FIND("-",A28,FIND("-",A28)+1)+1,LEN(A28)),"Check SKU"))</f>
        <v/>
      </c>
    </row>
    <row r="29">
      <c r="C29" s="3">
        <f>IF(A29="","",IFERROR(LEFT(A29,FIND("-",A29)-1),"Check SKU"))</f>
        <v/>
      </c>
      <c r="D29" s="3">
        <f>IF(A29="","",IFERROR(MID(A29,FIND("-",A29)+1,FIND("-",A29,FIND("-",A29)+1)-FIND("-",A29)-1),"Check SKU"))</f>
        <v/>
      </c>
      <c r="E29" s="3">
        <f>IF(A29="","",IFERROR(MID(A29,FIND("-",A29,FIND("-",A29)+1)+1,LEN(A29)),"Check SKU"))</f>
        <v/>
      </c>
    </row>
    <row r="30">
      <c r="C30" s="3">
        <f>IF(A30="","",IFERROR(LEFT(A30,FIND("-",A30)-1),"Check SKU"))</f>
        <v/>
      </c>
      <c r="D30" s="3">
        <f>IF(A30="","",IFERROR(MID(A30,FIND("-",A30)+1,FIND("-",A30,FIND("-",A30)+1)-FIND("-",A30)-1),"Check SKU"))</f>
        <v/>
      </c>
      <c r="E30" s="3">
        <f>IF(A30="","",IFERROR(MID(A30,FIND("-",A30,FIND("-",A30)+1)+1,LEN(A30)),"Check SKU"))</f>
        <v/>
      </c>
    </row>
  </sheetData>
  <pageMargins left="0.75" right="0.75" top="1" bottom="1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Tidy Tabs: Split a Product Code Into Parts With LEFT, MID and FIND</t>
        </is>
      </c>
    </row>
    <row r="2">
      <c r="A2" s="7" t="inlineStr"/>
    </row>
    <row r="3">
      <c r="A3" s="7" t="inlineStr">
        <is>
          <t>1. SKUs tab: type or paste codes in column A. Each code has three parts joined by two hyphens, such as CND-LAV-8OZ (category, style, size or color).</t>
        </is>
      </c>
    </row>
    <row r="4">
      <c r="A4" s="7" t="inlineStr">
        <is>
          <t>2. C2: =IFERROR(LEFT(A2,FIND("-",A2)-1),"Check SKU") takes everything before the first hyphen. FIND returns the position of the hyphen.</t>
        </is>
      </c>
    </row>
    <row r="5">
      <c r="A5" s="7" t="inlineStr">
        <is>
          <t>3. D2 takes the text between the first and second hyphen: =MID(A2,FIND("-",A2)+1,FIND("-",A2,FIND("-",A2)+1)-FIND("-",A2)-1). The second FIND starts looking just after the first hyphen.</t>
        </is>
      </c>
    </row>
    <row r="6">
      <c r="A6" s="7" t="inlineStr">
        <is>
          <t>4. E2: =MID(A2,FIND("-",A2,FIND("-",A2)+1)+1,LEN(A2)) takes everything after the second hyphen.</t>
        </is>
      </c>
    </row>
    <row r="7">
      <c r="A7" s="7" t="inlineStr">
        <is>
          <t>5. A code with fewer than two hyphens shows Check SKU. A code with a third hyphen keeps the extra part in column E (CND-LAV-8OZ-GIFT gives 8OZ-GIFT).</t>
        </is>
      </c>
    </row>
    <row r="8">
      <c r="A8" s="7" t="inlineStr">
        <is>
          <t>6. H2: =SUMIF($C$2:$C$30,G2,$B$2:$B$30) adds units sold for each category code. H8 compares the category total with all units: CHECK means a code did not land in any listed category.</t>
        </is>
      </c>
    </row>
    <row r="9">
      <c r="A9" s="7" t="inlineStr">
        <is>
          <t>7. A space before or after a code breaks the match. Clean pasted codes with TRIM first.</t>
        </is>
      </c>
    </row>
    <row r="10">
      <c r="A10" s="7" t="inlineStr">
        <is>
          <t>8. The formulas are ready to row 30; fill them further down if you have more codes.</t>
        </is>
      </c>
    </row>
    <row r="11">
      <c r="A11" s="7" t="inlineStr"/>
    </row>
    <row r="12">
      <c r="A12" s="7" t="inlineStr">
        <is>
          <t>Codes and quantities are fictional. Checked in LibreOffice Calc only; not opened in Excel or Google Sheets.</t>
        </is>
      </c>
    </row>
    <row r="13">
      <c r="A13" s="7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2026-10-12T07:27:51Z</dcterms:created>
  <dcterms:modified xmlns:dcterms="http://purl.org/dc/terms/" xmlns:xsi="http://www.w3.org/2001/XMLSchema-instance" xsi:type="dcterms:W3CDTF">2026-10-12T07:27:51Z</dcterms:modified>
</cp:coreProperties>
</file>