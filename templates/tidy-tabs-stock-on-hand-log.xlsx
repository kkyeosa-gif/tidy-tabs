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Stock" sheetId="2" state="visible" r:id="rId2"/>
    <sheet name="How to use" sheetId="3" state="visible" r:id="rId3"/>
  </sheets>
  <definedNames>
    <definedName name="_xlnm.Print_Titles" localSheetId="0">'Log'!$1:$1</definedName>
    <definedName name="_xlnm.Print_Area" localSheetId="0">'Log'!$A$1:$F$41</definedName>
    <definedName name="_xlnm.Print_Titles" localSheetId="1">'Stock'!$1:$1</definedName>
    <definedName name="_xlnm.Print_Area" localSheetId="1">'Stock'!$A$1:$J$21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8" customWidth="1" min="4" max="4"/>
    <col width="30" customWidth="1" min="5" max="5"/>
    <col width="11" customWidth="1" min="6" max="6"/>
  </cols>
  <sheetData>
    <row r="1" ht="30" customHeight="1">
      <c r="A1" s="1" t="inlineStr">
        <is>
          <t>Date</t>
        </is>
      </c>
      <c r="B1" s="1" t="inlineStr">
        <is>
          <t>SKU</t>
        </is>
      </c>
      <c r="C1" s="1" t="inlineStr">
        <is>
          <t>Type</t>
        </is>
      </c>
      <c r="D1" s="1" t="inlineStr">
        <is>
          <t>Qty</t>
        </is>
      </c>
      <c r="E1" s="1" t="inlineStr">
        <is>
          <t>Note</t>
        </is>
      </c>
      <c r="F1" s="1" t="inlineStr">
        <is>
          <t>Row check</t>
        </is>
      </c>
    </row>
    <row r="2">
      <c r="A2" s="2" t="n">
        <v>46266</v>
      </c>
      <c r="B2" s="3" t="inlineStr">
        <is>
          <t>SOAP-OAT</t>
        </is>
      </c>
      <c r="C2" s="3" t="inlineStr">
        <is>
          <t>Received</t>
        </is>
      </c>
      <c r="D2" s="3" t="n">
        <v>48</v>
      </c>
      <c r="E2" s="3" t="inlineStr">
        <is>
          <t>Cured batch</t>
        </is>
      </c>
      <c r="F2" s="4">
        <f>IF(AND(A2="",B2="",C2="",D2=""),"",IF(OR(B2="",NOT(ISNUMBER(D2)),COUNTIF(Stock!$A$2:$A$20,B2)=0,AND(C2&lt;&gt;"Received",C2&lt;&gt;"Sold",C2&lt;&gt;"Adjustment")),"Check","OK"))</f>
        <v/>
      </c>
    </row>
    <row r="3">
      <c r="A3" s="2" t="n">
        <v>46266</v>
      </c>
      <c r="B3" s="3" t="inlineStr">
        <is>
          <t>SOAP-LAV</t>
        </is>
      </c>
      <c r="C3" s="3" t="inlineStr">
        <is>
          <t>Received</t>
        </is>
      </c>
      <c r="D3" s="3" t="n">
        <v>36</v>
      </c>
      <c r="E3" s="3" t="inlineStr">
        <is>
          <t>Cured batch</t>
        </is>
      </c>
      <c r="F3" s="4">
        <f>IF(AND(A3="",B3="",C3="",D3=""),"",IF(OR(B3="",NOT(ISNUMBER(D3)),COUNTIF(Stock!$A$2:$A$20,B3)=0,AND(C3&lt;&gt;"Received",C3&lt;&gt;"Sold",C3&lt;&gt;"Adjustment")),"Check","OK"))</f>
        <v/>
      </c>
    </row>
    <row r="4">
      <c r="A4" s="2" t="n">
        <v>46267</v>
      </c>
      <c r="B4" s="3" t="inlineStr">
        <is>
          <t>CNDL-CED</t>
        </is>
      </c>
      <c r="C4" s="3" t="inlineStr">
        <is>
          <t>Received</t>
        </is>
      </c>
      <c r="D4" s="3" t="n">
        <v>24</v>
      </c>
      <c r="E4" s="3" t="inlineStr">
        <is>
          <t>Poured batch</t>
        </is>
      </c>
      <c r="F4" s="4">
        <f>IF(AND(A4="",B4="",C4="",D4=""),"",IF(OR(B4="",NOT(ISNUMBER(D4)),COUNTIF(Stock!$A$2:$A$20,B4)=0,AND(C4&lt;&gt;"Received",C4&lt;&gt;"Sold",C4&lt;&gt;"Adjustment")),"Check","OK"))</f>
        <v/>
      </c>
    </row>
    <row r="5">
      <c r="A5" s="2" t="n">
        <v>46267</v>
      </c>
      <c r="B5" s="3" t="inlineStr">
        <is>
          <t>CNDL-VAN</t>
        </is>
      </c>
      <c r="C5" s="3" t="inlineStr">
        <is>
          <t>Received</t>
        </is>
      </c>
      <c r="D5" s="3" t="n">
        <v>24</v>
      </c>
      <c r="E5" s="3" t="inlineStr">
        <is>
          <t>Poured batch</t>
        </is>
      </c>
      <c r="F5" s="4">
        <f>IF(AND(A5="",B5="",C5="",D5=""),"",IF(OR(B5="",NOT(ISNUMBER(D5)),COUNTIF(Stock!$A$2:$A$20,B5)=0,AND(C5&lt;&gt;"Received",C5&lt;&gt;"Sold",C5&lt;&gt;"Adjustment")),"Check","OK"))</f>
        <v/>
      </c>
    </row>
    <row r="6">
      <c r="A6" s="2" t="n">
        <v>46268</v>
      </c>
      <c r="B6" s="3" t="inlineStr">
        <is>
          <t>BALM-LIP</t>
        </is>
      </c>
      <c r="C6" s="3" t="inlineStr">
        <is>
          <t>Received</t>
        </is>
      </c>
      <c r="D6" s="3" t="n">
        <v>60</v>
      </c>
      <c r="E6" s="3" t="inlineStr">
        <is>
          <t>Filled tubes</t>
        </is>
      </c>
      <c r="F6" s="4">
        <f>IF(AND(A6="",B6="",C6="",D6=""),"",IF(OR(B6="",NOT(ISNUMBER(D6)),COUNTIF(Stock!$A$2:$A$20,B6)=0,AND(C6&lt;&gt;"Received",C6&lt;&gt;"Sold",C6&lt;&gt;"Adjustment")),"Check","OK"))</f>
        <v/>
      </c>
    </row>
    <row r="7">
      <c r="A7" s="2" t="n">
        <v>46270</v>
      </c>
      <c r="B7" s="3" t="inlineStr">
        <is>
          <t>SOAP-OAT</t>
        </is>
      </c>
      <c r="C7" s="3" t="inlineStr">
        <is>
          <t>Sold</t>
        </is>
      </c>
      <c r="D7" s="3" t="n">
        <v>14</v>
      </c>
      <c r="E7" s="3" t="inlineStr">
        <is>
          <t>Saturday farmers market</t>
        </is>
      </c>
      <c r="F7" s="4">
        <f>IF(AND(A7="",B7="",C7="",D7=""),"",IF(OR(B7="",NOT(ISNUMBER(D7)),COUNTIF(Stock!$A$2:$A$20,B7)=0,AND(C7&lt;&gt;"Received",C7&lt;&gt;"Sold",C7&lt;&gt;"Adjustment")),"Check","OK"))</f>
        <v/>
      </c>
    </row>
    <row r="8">
      <c r="A8" s="2" t="n">
        <v>46270</v>
      </c>
      <c r="B8" s="3" t="inlineStr">
        <is>
          <t>CNDL-CED</t>
        </is>
      </c>
      <c r="C8" s="3" t="inlineStr">
        <is>
          <t>Sold</t>
        </is>
      </c>
      <c r="D8" s="3" t="n">
        <v>6</v>
      </c>
      <c r="E8" s="3" t="inlineStr">
        <is>
          <t>Saturday farmers market</t>
        </is>
      </c>
      <c r="F8" s="4">
        <f>IF(AND(A8="",B8="",C8="",D8=""),"",IF(OR(B8="",NOT(ISNUMBER(D8)),COUNTIF(Stock!$A$2:$A$20,B8)=0,AND(C8&lt;&gt;"Received",C8&lt;&gt;"Sold",C8&lt;&gt;"Adjustment")),"Check","OK"))</f>
        <v/>
      </c>
    </row>
    <row r="9">
      <c r="A9" s="2" t="n">
        <v>46270</v>
      </c>
      <c r="B9" s="3" t="inlineStr">
        <is>
          <t>BALM-LIP</t>
        </is>
      </c>
      <c r="C9" s="3" t="inlineStr">
        <is>
          <t>Sold</t>
        </is>
      </c>
      <c r="D9" s="3" t="n">
        <v>18</v>
      </c>
      <c r="E9" s="3" t="inlineStr">
        <is>
          <t>Saturday farmers market</t>
        </is>
      </c>
      <c r="F9" s="4">
        <f>IF(AND(A9="",B9="",C9="",D9=""),"",IF(OR(B9="",NOT(ISNUMBER(D9)),COUNTIF(Stock!$A$2:$A$20,B9)=0,AND(C9&lt;&gt;"Received",C9&lt;&gt;"Sold",C9&lt;&gt;"Adjustment")),"Check","OK"))</f>
        <v/>
      </c>
    </row>
    <row r="10">
      <c r="A10" s="2" t="n">
        <v>46273</v>
      </c>
      <c r="B10" s="3" t="inlineStr">
        <is>
          <t>SOAP-LAV</t>
        </is>
      </c>
      <c r="C10" s="3" t="inlineStr">
        <is>
          <t>Sold</t>
        </is>
      </c>
      <c r="D10" s="3" t="n">
        <v>9</v>
      </c>
      <c r="E10" s="3" t="inlineStr">
        <is>
          <t>Etsy orders</t>
        </is>
      </c>
      <c r="F10" s="4">
        <f>IF(AND(A10="",B10="",C10="",D10=""),"",IF(OR(B10="",NOT(ISNUMBER(D10)),COUNTIF(Stock!$A$2:$A$20,B10)=0,AND(C10&lt;&gt;"Received",C10&lt;&gt;"Sold",C10&lt;&gt;"Adjustment")),"Check","OK"))</f>
        <v/>
      </c>
    </row>
    <row r="11">
      <c r="A11" s="2" t="n">
        <v>46275</v>
      </c>
      <c r="B11" s="3" t="inlineStr">
        <is>
          <t>CNDL-VAN</t>
        </is>
      </c>
      <c r="C11" s="3" t="inlineStr">
        <is>
          <t>Sold</t>
        </is>
      </c>
      <c r="D11" s="3" t="n">
        <v>7</v>
      </c>
      <c r="E11" s="3" t="inlineStr">
        <is>
          <t>Etsy orders</t>
        </is>
      </c>
      <c r="F11" s="4">
        <f>IF(AND(A11="",B11="",C11="",D11=""),"",IF(OR(B11="",NOT(ISNUMBER(D11)),COUNTIF(Stock!$A$2:$A$20,B11)=0,AND(C11&lt;&gt;"Received",C11&lt;&gt;"Sold",C11&lt;&gt;"Adjustment")),"Check","OK"))</f>
        <v/>
      </c>
    </row>
    <row r="12">
      <c r="A12" s="2" t="n">
        <v>46277</v>
      </c>
      <c r="B12" s="3" t="inlineStr">
        <is>
          <t>SOAP-OAT</t>
        </is>
      </c>
      <c r="C12" s="3" t="inlineStr">
        <is>
          <t>Sold</t>
        </is>
      </c>
      <c r="D12" s="3" t="n">
        <v>11</v>
      </c>
      <c r="E12" s="3" t="inlineStr">
        <is>
          <t>Saturday farmers market</t>
        </is>
      </c>
      <c r="F12" s="4">
        <f>IF(AND(A12="",B12="",C12="",D12=""),"",IF(OR(B12="",NOT(ISNUMBER(D12)),COUNTIF(Stock!$A$2:$A$20,B12)=0,AND(C12&lt;&gt;"Received",C12&lt;&gt;"Sold",C12&lt;&gt;"Adjustment")),"Check","OK"))</f>
        <v/>
      </c>
    </row>
    <row r="13">
      <c r="A13" s="2" t="n">
        <v>46277</v>
      </c>
      <c r="B13" s="3" t="inlineStr">
        <is>
          <t>SOAP-LAV</t>
        </is>
      </c>
      <c r="C13" s="3" t="inlineStr">
        <is>
          <t>Sold</t>
        </is>
      </c>
      <c r="D13" s="3" t="n">
        <v>8</v>
      </c>
      <c r="E13" s="3" t="inlineStr">
        <is>
          <t>Saturday farmers market</t>
        </is>
      </c>
      <c r="F13" s="4">
        <f>IF(AND(A13="",B13="",C13="",D13=""),"",IF(OR(B13="",NOT(ISNUMBER(D13)),COUNTIF(Stock!$A$2:$A$20,B13)=0,AND(C13&lt;&gt;"Received",C13&lt;&gt;"Sold",C13&lt;&gt;"Adjustment")),"Check","OK"))</f>
        <v/>
      </c>
    </row>
    <row r="14">
      <c r="A14" s="2" t="n">
        <v>46277</v>
      </c>
      <c r="B14" s="3" t="inlineStr">
        <is>
          <t>BALM-LIP</t>
        </is>
      </c>
      <c r="C14" s="3" t="inlineStr">
        <is>
          <t>Sold</t>
        </is>
      </c>
      <c r="D14" s="3" t="n">
        <v>15</v>
      </c>
      <c r="E14" s="3" t="inlineStr">
        <is>
          <t>Saturday farmers market</t>
        </is>
      </c>
      <c r="F14" s="4">
        <f>IF(AND(A14="",B14="",C14="",D14=""),"",IF(OR(B14="",NOT(ISNUMBER(D14)),COUNTIF(Stock!$A$2:$A$20,B14)=0,AND(C14&lt;&gt;"Received",C14&lt;&gt;"Sold",C14&lt;&gt;"Adjustment")),"Check","OK"))</f>
        <v/>
      </c>
    </row>
    <row r="15">
      <c r="A15" s="2" t="n">
        <v>46279</v>
      </c>
      <c r="B15" s="3" t="inlineStr">
        <is>
          <t>CNDL-CED</t>
        </is>
      </c>
      <c r="C15" s="3" t="inlineStr">
        <is>
          <t>Adjustment</t>
        </is>
      </c>
      <c r="D15" s="3" t="n">
        <v>-1</v>
      </c>
      <c r="E15" s="3" t="inlineStr">
        <is>
          <t>Cracked jar</t>
        </is>
      </c>
      <c r="F15" s="4">
        <f>IF(AND(A15="",B15="",C15="",D15=""),"",IF(OR(B15="",NOT(ISNUMBER(D15)),COUNTIF(Stock!$A$2:$A$20,B15)=0,AND(C15&lt;&gt;"Received",C15&lt;&gt;"Sold",C15&lt;&gt;"Adjustment")),"Check","OK"))</f>
        <v/>
      </c>
    </row>
    <row r="16">
      <c r="A16" s="2" t="n">
        <v>46280</v>
      </c>
      <c r="B16" s="3" t="inlineStr">
        <is>
          <t>SOAP-OAT</t>
        </is>
      </c>
      <c r="C16" s="3" t="inlineStr">
        <is>
          <t>Received</t>
        </is>
      </c>
      <c r="D16" s="3" t="n">
        <v>24</v>
      </c>
      <c r="E16" s="3" t="inlineStr">
        <is>
          <t>Cured batch</t>
        </is>
      </c>
      <c r="F16" s="4">
        <f>IF(AND(A16="",B16="",C16="",D16=""),"",IF(OR(B16="",NOT(ISNUMBER(D16)),COUNTIF(Stock!$A$2:$A$20,B16)=0,AND(C16&lt;&gt;"Received",C16&lt;&gt;"Sold",C16&lt;&gt;"Adjustment")),"Check","OK"))</f>
        <v/>
      </c>
    </row>
    <row r="17">
      <c r="A17" s="2" t="n">
        <v>46282</v>
      </c>
      <c r="B17" s="3" t="inlineStr">
        <is>
          <t>CNDL-VAN</t>
        </is>
      </c>
      <c r="C17" s="3" t="inlineStr">
        <is>
          <t>Sold</t>
        </is>
      </c>
      <c r="D17" s="3" t="n">
        <v>9</v>
      </c>
      <c r="E17" s="3" t="inlineStr">
        <is>
          <t>Wholesale order, gift shop</t>
        </is>
      </c>
      <c r="F17" s="4">
        <f>IF(AND(A17="",B17="",C17="",D17=""),"",IF(OR(B17="",NOT(ISNUMBER(D17)),COUNTIF(Stock!$A$2:$A$20,B17)=0,AND(C17&lt;&gt;"Received",C17&lt;&gt;"Sold",C17&lt;&gt;"Adjustment")),"Check","OK"))</f>
        <v/>
      </c>
    </row>
    <row r="18">
      <c r="A18" s="2" t="n">
        <v>46284</v>
      </c>
      <c r="B18" s="3" t="inlineStr">
        <is>
          <t>SOAP-OAT</t>
        </is>
      </c>
      <c r="C18" s="3" t="inlineStr">
        <is>
          <t>Sold</t>
        </is>
      </c>
      <c r="D18" s="3" t="n">
        <v>16</v>
      </c>
      <c r="E18" s="3" t="inlineStr">
        <is>
          <t>Saturday farmers market</t>
        </is>
      </c>
      <c r="F18" s="4">
        <f>IF(AND(A18="",B18="",C18="",D18=""),"",IF(OR(B18="",NOT(ISNUMBER(D18)),COUNTIF(Stock!$A$2:$A$20,B18)=0,AND(C18&lt;&gt;"Received",C18&lt;&gt;"Sold",C18&lt;&gt;"Adjustment")),"Check","OK"))</f>
        <v/>
      </c>
    </row>
    <row r="19">
      <c r="A19" s="2" t="n">
        <v>46284</v>
      </c>
      <c r="B19" s="3" t="inlineStr">
        <is>
          <t>CNDL-CED</t>
        </is>
      </c>
      <c r="C19" s="3" t="inlineStr">
        <is>
          <t>Sold</t>
        </is>
      </c>
      <c r="D19" s="3" t="n">
        <v>8</v>
      </c>
      <c r="E19" s="3" t="inlineStr">
        <is>
          <t>Saturday farmers market</t>
        </is>
      </c>
      <c r="F19" s="4">
        <f>IF(AND(A19="",B19="",C19="",D19=""),"",IF(OR(B19="",NOT(ISNUMBER(D19)),COUNTIF(Stock!$A$2:$A$20,B19)=0,AND(C19&lt;&gt;"Received",C19&lt;&gt;"Sold",C19&lt;&gt;"Adjustment")),"Check","OK"))</f>
        <v/>
      </c>
    </row>
    <row r="20">
      <c r="A20" s="2" t="n">
        <v>46284</v>
      </c>
      <c r="B20" s="3" t="inlineStr">
        <is>
          <t>BALM-LIP</t>
        </is>
      </c>
      <c r="C20" s="3" t="inlineStr">
        <is>
          <t>Sold</t>
        </is>
      </c>
      <c r="D20" s="3" t="n">
        <v>12</v>
      </c>
      <c r="E20" s="3" t="inlineStr">
        <is>
          <t>Saturday farmers market</t>
        </is>
      </c>
      <c r="F20" s="4">
        <f>IF(AND(A20="",B20="",C20="",D20=""),"",IF(OR(B20="",NOT(ISNUMBER(D20)),COUNTIF(Stock!$A$2:$A$20,B20)=0,AND(C20&lt;&gt;"Received",C20&lt;&gt;"Sold",C20&lt;&gt;"Adjustment")),"Check","OK"))</f>
        <v/>
      </c>
    </row>
    <row r="21">
      <c r="A21" s="2" t="n">
        <v>46287</v>
      </c>
      <c r="B21" s="3" t="inlineStr">
        <is>
          <t>SOAP-LAV</t>
        </is>
      </c>
      <c r="C21" s="3" t="inlineStr">
        <is>
          <t>Adjustment</t>
        </is>
      </c>
      <c r="D21" s="3" t="n">
        <v>-2</v>
      </c>
      <c r="E21" s="3" t="inlineStr">
        <is>
          <t>Recount</t>
        </is>
      </c>
      <c r="F21" s="4">
        <f>IF(AND(A21="",B21="",C21="",D21=""),"",IF(OR(B21="",NOT(ISNUMBER(D21)),COUNTIF(Stock!$A$2:$A$20,B21)=0,AND(C21&lt;&gt;"Received",C21&lt;&gt;"Sold",C21&lt;&gt;"Adjustment")),"Check","OK"))</f>
        <v/>
      </c>
    </row>
    <row r="22">
      <c r="A22" s="2" t="n">
        <v>46289</v>
      </c>
      <c r="B22" s="3" t="inlineStr">
        <is>
          <t>CNDL-CED</t>
        </is>
      </c>
      <c r="C22" s="3" t="inlineStr">
        <is>
          <t>Received</t>
        </is>
      </c>
      <c r="D22" s="3" t="n">
        <v>12</v>
      </c>
      <c r="E22" s="3" t="inlineStr">
        <is>
          <t>Poured batch</t>
        </is>
      </c>
      <c r="F22" s="4">
        <f>IF(AND(A22="",B22="",C22="",D22=""),"",IF(OR(B22="",NOT(ISNUMBER(D22)),COUNTIF(Stock!$A$2:$A$20,B22)=0,AND(C22&lt;&gt;"Received",C22&lt;&gt;"Sold",C22&lt;&gt;"Adjustment")),"Check","OK"))</f>
        <v/>
      </c>
    </row>
    <row r="23">
      <c r="A23" s="2" t="n">
        <v>46291</v>
      </c>
      <c r="B23" s="3" t="inlineStr">
        <is>
          <t>SOAP-OAT</t>
        </is>
      </c>
      <c r="C23" s="3" t="inlineStr">
        <is>
          <t>Sold</t>
        </is>
      </c>
      <c r="D23" s="3" t="n">
        <v>13</v>
      </c>
      <c r="E23" s="3" t="inlineStr">
        <is>
          <t>Saturday farmers market</t>
        </is>
      </c>
      <c r="F23" s="4">
        <f>IF(AND(A23="",B23="",C23="",D23=""),"",IF(OR(B23="",NOT(ISNUMBER(D23)),COUNTIF(Stock!$A$2:$A$20,B23)=0,AND(C23&lt;&gt;"Received",C23&lt;&gt;"Sold",C23&lt;&gt;"Adjustment")),"Check","OK"))</f>
        <v/>
      </c>
    </row>
    <row r="24">
      <c r="A24" s="2" t="n">
        <v>46291</v>
      </c>
      <c r="B24" s="3" t="inlineStr">
        <is>
          <t>SOAP-LAV</t>
        </is>
      </c>
      <c r="C24" s="3" t="inlineStr">
        <is>
          <t>Sold</t>
        </is>
      </c>
      <c r="D24" s="3" t="n">
        <v>10</v>
      </c>
      <c r="E24" s="3" t="inlineStr">
        <is>
          <t>Saturday farmers market</t>
        </is>
      </c>
      <c r="F24" s="4">
        <f>IF(AND(A24="",B24="",C24="",D24=""),"",IF(OR(B24="",NOT(ISNUMBER(D24)),COUNTIF(Stock!$A$2:$A$20,B24)=0,AND(C24&lt;&gt;"Received",C24&lt;&gt;"Sold",C24&lt;&gt;"Adjustment")),"Check","OK"))</f>
        <v/>
      </c>
    </row>
    <row r="25">
      <c r="A25" s="2" t="n">
        <v>46291</v>
      </c>
      <c r="B25" s="3" t="inlineStr">
        <is>
          <t>CNDL-VAN</t>
        </is>
      </c>
      <c r="C25" s="3" t="inlineStr">
        <is>
          <t>Sold</t>
        </is>
      </c>
      <c r="D25" s="3" t="n">
        <v>5</v>
      </c>
      <c r="E25" s="3" t="inlineStr">
        <is>
          <t>Saturday farmers market</t>
        </is>
      </c>
      <c r="F25" s="4">
        <f>IF(AND(A25="",B25="",C25="",D25=""),"",IF(OR(B25="",NOT(ISNUMBER(D25)),COUNTIF(Stock!$A$2:$A$20,B25)=0,AND(C25&lt;&gt;"Received",C25&lt;&gt;"Sold",C25&lt;&gt;"Adjustment")),"Check","OK"))</f>
        <v/>
      </c>
    </row>
    <row r="26">
      <c r="A26" s="2" t="n">
        <v>46294</v>
      </c>
      <c r="B26" s="3" t="inlineStr">
        <is>
          <t>BALM-LIP</t>
        </is>
      </c>
      <c r="C26" s="3" t="inlineStr">
        <is>
          <t>Adjustment</t>
        </is>
      </c>
      <c r="D26" s="3" t="n">
        <v>3</v>
      </c>
      <c r="E26" s="3" t="inlineStr">
        <is>
          <t>Recount found a box</t>
        </is>
      </c>
      <c r="F26" s="4">
        <f>IF(AND(A26="",B26="",C26="",D26=""),"",IF(OR(B26="",NOT(ISNUMBER(D26)),COUNTIF(Stock!$A$2:$A$20,B26)=0,AND(C26&lt;&gt;"Received",C26&lt;&gt;"Sold",C26&lt;&gt;"Adjustment")),"Check","OK"))</f>
        <v/>
      </c>
    </row>
    <row r="27">
      <c r="A27" s="2" t="n">
        <v>46296</v>
      </c>
      <c r="B27" s="3" t="inlineStr">
        <is>
          <t>BALM-LIP</t>
        </is>
      </c>
      <c r="C27" s="3" t="inlineStr">
        <is>
          <t>Sold</t>
        </is>
      </c>
      <c r="D27" s="3" t="n">
        <v>9</v>
      </c>
      <c r="E27" s="3" t="inlineStr">
        <is>
          <t>Etsy orders</t>
        </is>
      </c>
      <c r="F27" s="4">
        <f>IF(AND(A27="",B27="",C27="",D27=""),"",IF(OR(B27="",NOT(ISNUMBER(D27)),COUNTIF(Stock!$A$2:$A$20,B27)=0,AND(C27&lt;&gt;"Received",C27&lt;&gt;"Sold",C27&lt;&gt;"Adjustment")),"Check","OK"))</f>
        <v/>
      </c>
    </row>
    <row r="28">
      <c r="A28" s="2" t="n">
        <v>46298</v>
      </c>
      <c r="B28" s="3" t="inlineStr">
        <is>
          <t>SOAP-OAT</t>
        </is>
      </c>
      <c r="C28" s="3" t="inlineStr">
        <is>
          <t>Sold</t>
        </is>
      </c>
      <c r="D28" s="3" t="n">
        <v>12</v>
      </c>
      <c r="E28" s="3" t="inlineStr">
        <is>
          <t>Saturday farmers market</t>
        </is>
      </c>
      <c r="F28" s="4">
        <f>IF(AND(A28="",B28="",C28="",D28=""),"",IF(OR(B28="",NOT(ISNUMBER(D28)),COUNTIF(Stock!$A$2:$A$20,B28)=0,AND(C28&lt;&gt;"Received",C28&lt;&gt;"Sold",C28&lt;&gt;"Adjustment")),"Check","OK"))</f>
        <v/>
      </c>
    </row>
    <row r="29">
      <c r="A29" s="2" t="n">
        <v>46298</v>
      </c>
      <c r="B29" s="3" t="inlineStr">
        <is>
          <t>CNDL-CED</t>
        </is>
      </c>
      <c r="C29" s="3" t="inlineStr">
        <is>
          <t>Sold</t>
        </is>
      </c>
      <c r="D29" s="3" t="n">
        <v>10</v>
      </c>
      <c r="E29" s="3" t="inlineStr">
        <is>
          <t>Saturday farmers market</t>
        </is>
      </c>
      <c r="F29" s="4">
        <f>IF(AND(A29="",B29="",C29="",D29=""),"",IF(OR(B29="",NOT(ISNUMBER(D29)),COUNTIF(Stock!$A$2:$A$20,B29)=0,AND(C29&lt;&gt;"Received",C29&lt;&gt;"Sold",C29&lt;&gt;"Adjustment")),"Check","OK"))</f>
        <v/>
      </c>
    </row>
    <row r="30">
      <c r="A30" s="2" t="n">
        <v>46298</v>
      </c>
      <c r="B30" s="3" t="inlineStr">
        <is>
          <t>SOAP-LAV</t>
        </is>
      </c>
      <c r="C30" s="3" t="inlineStr">
        <is>
          <t>Sold</t>
        </is>
      </c>
      <c r="D30" s="3" t="n">
        <v>4</v>
      </c>
      <c r="E30" s="3" t="inlineStr">
        <is>
          <t>Saturday farmers market</t>
        </is>
      </c>
      <c r="F30" s="4">
        <f>IF(AND(A30="",B30="",C30="",D30=""),"",IF(OR(B30="",NOT(ISNUMBER(D30)),COUNTIF(Stock!$A$2:$A$20,B30)=0,AND(C30&lt;&gt;"Received",C30&lt;&gt;"Sold",C30&lt;&gt;"Adjustment")),"Check","OK"))</f>
        <v/>
      </c>
    </row>
    <row r="31">
      <c r="A31" s="2" t="n">
        <v>46300</v>
      </c>
      <c r="B31" s="3" t="inlineStr">
        <is>
          <t>CNDL-VAN</t>
        </is>
      </c>
      <c r="C31" s="3" t="inlineStr">
        <is>
          <t>Received</t>
        </is>
      </c>
      <c r="D31" s="3" t="n">
        <v>12</v>
      </c>
      <c r="E31" s="3" t="inlineStr">
        <is>
          <t>Poured batch</t>
        </is>
      </c>
      <c r="F31" s="4">
        <f>IF(AND(A31="",B31="",C31="",D31=""),"",IF(OR(B31="",NOT(ISNUMBER(D31)),COUNTIF(Stock!$A$2:$A$20,B31)=0,AND(C31&lt;&gt;"Received",C31&lt;&gt;"Sold",C31&lt;&gt;"Adjustment")),"Check","OK"))</f>
        <v/>
      </c>
    </row>
    <row r="32">
      <c r="A32" s="2" t="n"/>
      <c r="B32" s="3" t="n"/>
      <c r="C32" s="3" t="n"/>
      <c r="D32" s="3" t="n"/>
      <c r="E32" s="3" t="n"/>
      <c r="F32" s="4">
        <f>IF(AND(A32="",B32="",C32="",D32=""),"",IF(OR(B32="",NOT(ISNUMBER(D32)),COUNTIF(Stock!$A$2:$A$20,B32)=0,AND(C32&lt;&gt;"Received",C32&lt;&gt;"Sold",C32&lt;&gt;"Adjustment")),"Check","OK"))</f>
        <v/>
      </c>
    </row>
    <row r="33">
      <c r="A33" s="2" t="n"/>
      <c r="B33" s="3" t="n"/>
      <c r="C33" s="3" t="n"/>
      <c r="D33" s="3" t="n"/>
      <c r="E33" s="3" t="n"/>
      <c r="F33" s="4">
        <f>IF(AND(A33="",B33="",C33="",D33=""),"",IF(OR(B33="",NOT(ISNUMBER(D33)),COUNTIF(Stock!$A$2:$A$20,B33)=0,AND(C33&lt;&gt;"Received",C33&lt;&gt;"Sold",C33&lt;&gt;"Adjustment")),"Check","OK"))</f>
        <v/>
      </c>
    </row>
    <row r="34">
      <c r="A34" s="2" t="n"/>
      <c r="B34" s="3" t="n"/>
      <c r="C34" s="3" t="n"/>
      <c r="D34" s="3" t="n"/>
      <c r="E34" s="3" t="n"/>
      <c r="F34" s="4">
        <f>IF(AND(A34="",B34="",C34="",D34=""),"",IF(OR(B34="",NOT(ISNUMBER(D34)),COUNTIF(Stock!$A$2:$A$20,B34)=0,AND(C34&lt;&gt;"Received",C34&lt;&gt;"Sold",C34&lt;&gt;"Adjustment")),"Check","OK"))</f>
        <v/>
      </c>
    </row>
    <row r="35">
      <c r="A35" s="2" t="n"/>
      <c r="B35" s="3" t="n"/>
      <c r="C35" s="3" t="n"/>
      <c r="D35" s="3" t="n"/>
      <c r="E35" s="3" t="n"/>
      <c r="F35" s="4">
        <f>IF(AND(A35="",B35="",C35="",D35=""),"",IF(OR(B35="",NOT(ISNUMBER(D35)),COUNTIF(Stock!$A$2:$A$20,B35)=0,AND(C35&lt;&gt;"Received",C35&lt;&gt;"Sold",C35&lt;&gt;"Adjustment")),"Check","OK"))</f>
        <v/>
      </c>
    </row>
    <row r="36">
      <c r="A36" s="2" t="n"/>
      <c r="B36" s="3" t="n"/>
      <c r="C36" s="3" t="n"/>
      <c r="D36" s="3" t="n"/>
      <c r="E36" s="3" t="n"/>
      <c r="F36" s="4">
        <f>IF(AND(A36="",B36="",C36="",D36=""),"",IF(OR(B36="",NOT(ISNUMBER(D36)),COUNTIF(Stock!$A$2:$A$20,B36)=0,AND(C36&lt;&gt;"Received",C36&lt;&gt;"Sold",C36&lt;&gt;"Adjustment")),"Check","OK"))</f>
        <v/>
      </c>
    </row>
    <row r="37">
      <c r="A37" s="2" t="n"/>
      <c r="B37" s="3" t="n"/>
      <c r="C37" s="3" t="n"/>
      <c r="D37" s="3" t="n"/>
      <c r="E37" s="3" t="n"/>
      <c r="F37" s="4">
        <f>IF(AND(A37="",B37="",C37="",D37=""),"",IF(OR(B37="",NOT(ISNUMBER(D37)),COUNTIF(Stock!$A$2:$A$20,B37)=0,AND(C37&lt;&gt;"Received",C37&lt;&gt;"Sold",C37&lt;&gt;"Adjustment")),"Check","OK"))</f>
        <v/>
      </c>
    </row>
    <row r="38">
      <c r="A38" s="2" t="n"/>
      <c r="B38" s="3" t="n"/>
      <c r="C38" s="3" t="n"/>
      <c r="D38" s="3" t="n"/>
      <c r="E38" s="3" t="n"/>
      <c r="F38" s="4">
        <f>IF(AND(A38="",B38="",C38="",D38=""),"",IF(OR(B38="",NOT(ISNUMBER(D38)),COUNTIF(Stock!$A$2:$A$20,B38)=0,AND(C38&lt;&gt;"Received",C38&lt;&gt;"Sold",C38&lt;&gt;"Adjustment")),"Check","OK"))</f>
        <v/>
      </c>
    </row>
    <row r="39">
      <c r="A39" s="2" t="n"/>
      <c r="B39" s="3" t="n"/>
      <c r="C39" s="3" t="n"/>
      <c r="D39" s="3" t="n"/>
      <c r="E39" s="3" t="n"/>
      <c r="F39" s="4">
        <f>IF(AND(A39="",B39="",C39="",D39=""),"",IF(OR(B39="",NOT(ISNUMBER(D39)),COUNTIF(Stock!$A$2:$A$20,B39)=0,AND(C39&lt;&gt;"Received",C39&lt;&gt;"Sold",C39&lt;&gt;"Adjustment")),"Check","OK"))</f>
        <v/>
      </c>
    </row>
    <row r="40">
      <c r="A40" s="2" t="n"/>
      <c r="B40" s="3" t="n"/>
      <c r="C40" s="3" t="n"/>
      <c r="D40" s="3" t="n"/>
      <c r="E40" s="3" t="n"/>
      <c r="F40" s="4">
        <f>IF(AND(A40="",B40="",C40="",D40=""),"",IF(OR(B40="",NOT(ISNUMBER(D40)),COUNTIF(Stock!$A$2:$A$20,B40)=0,AND(C40&lt;&gt;"Received",C40&lt;&gt;"Sold",C40&lt;&gt;"Adjustment")),"Check","OK"))</f>
        <v/>
      </c>
    </row>
    <row r="41">
      <c r="A41" s="2" t="n"/>
      <c r="B41" s="3" t="n"/>
      <c r="C41" s="3" t="n"/>
      <c r="D41" s="3" t="n"/>
      <c r="E41" s="3" t="n"/>
      <c r="F41" s="4">
        <f>IF(AND(A41="",B41="",C41="",D41=""),"",IF(OR(B41="",NOT(ISNUMBER(D41)),COUNTIF(Stock!$A$2:$A$20,B41)=0,AND(C41&lt;&gt;"Received",C41&lt;&gt;"Sold",C41&lt;&gt;"Adjustment")),"Check","OK"))</f>
        <v/>
      </c>
    </row>
    <row r="42">
      <c r="A42" s="2" t="n"/>
      <c r="B42" s="3" t="n"/>
      <c r="C42" s="3" t="n"/>
      <c r="D42" s="3" t="n"/>
      <c r="E42" s="3" t="n"/>
      <c r="F42" s="4">
        <f>IF(AND(A42="",B42="",C42="",D42=""),"",IF(OR(B42="",NOT(ISNUMBER(D42)),COUNTIF(Stock!$A$2:$A$20,B42)=0,AND(C42&lt;&gt;"Received",C42&lt;&gt;"Sold",C42&lt;&gt;"Adjustment")),"Check","OK"))</f>
        <v/>
      </c>
    </row>
    <row r="43">
      <c r="A43" s="2" t="n"/>
      <c r="B43" s="3" t="n"/>
      <c r="C43" s="3" t="n"/>
      <c r="D43" s="3" t="n"/>
      <c r="E43" s="3" t="n"/>
      <c r="F43" s="4">
        <f>IF(AND(A43="",B43="",C43="",D43=""),"",IF(OR(B43="",NOT(ISNUMBER(D43)),COUNTIF(Stock!$A$2:$A$20,B43)=0,AND(C43&lt;&gt;"Received",C43&lt;&gt;"Sold",C43&lt;&gt;"Adjustment")),"Check","OK"))</f>
        <v/>
      </c>
    </row>
    <row r="44">
      <c r="A44" s="2" t="n"/>
      <c r="B44" s="3" t="n"/>
      <c r="C44" s="3" t="n"/>
      <c r="D44" s="3" t="n"/>
      <c r="E44" s="3" t="n"/>
      <c r="F44" s="4">
        <f>IF(AND(A44="",B44="",C44="",D44=""),"",IF(OR(B44="",NOT(ISNUMBER(D44)),COUNTIF(Stock!$A$2:$A$20,B44)=0,AND(C44&lt;&gt;"Received",C44&lt;&gt;"Sold",C44&lt;&gt;"Adjustment")),"Check","OK"))</f>
        <v/>
      </c>
    </row>
    <row r="45">
      <c r="A45" s="2" t="n"/>
      <c r="B45" s="3" t="n"/>
      <c r="C45" s="3" t="n"/>
      <c r="D45" s="3" t="n"/>
      <c r="E45" s="3" t="n"/>
      <c r="F45" s="4">
        <f>IF(AND(A45="",B45="",C45="",D45=""),"",IF(OR(B45="",NOT(ISNUMBER(D45)),COUNTIF(Stock!$A$2:$A$20,B45)=0,AND(C45&lt;&gt;"Received",C45&lt;&gt;"Sold",C45&lt;&gt;"Adjustment")),"Check","OK"))</f>
        <v/>
      </c>
    </row>
    <row r="46">
      <c r="A46" s="2" t="n"/>
      <c r="B46" s="3" t="n"/>
      <c r="C46" s="3" t="n"/>
      <c r="D46" s="3" t="n"/>
      <c r="E46" s="3" t="n"/>
      <c r="F46" s="4">
        <f>IF(AND(A46="",B46="",C46="",D46=""),"",IF(OR(B46="",NOT(ISNUMBER(D46)),COUNTIF(Stock!$A$2:$A$20,B46)=0,AND(C46&lt;&gt;"Received",C46&lt;&gt;"Sold",C46&lt;&gt;"Adjustment")),"Check","OK"))</f>
        <v/>
      </c>
    </row>
    <row r="47">
      <c r="A47" s="2" t="n"/>
      <c r="B47" s="3" t="n"/>
      <c r="C47" s="3" t="n"/>
      <c r="D47" s="3" t="n"/>
      <c r="E47" s="3" t="n"/>
      <c r="F47" s="4">
        <f>IF(AND(A47="",B47="",C47="",D47=""),"",IF(OR(B47="",NOT(ISNUMBER(D47)),COUNTIF(Stock!$A$2:$A$20,B47)=0,AND(C47&lt;&gt;"Received",C47&lt;&gt;"Sold",C47&lt;&gt;"Adjustment")),"Check","OK"))</f>
        <v/>
      </c>
    </row>
    <row r="48">
      <c r="A48" s="2" t="n"/>
      <c r="B48" s="3" t="n"/>
      <c r="C48" s="3" t="n"/>
      <c r="D48" s="3" t="n"/>
      <c r="E48" s="3" t="n"/>
      <c r="F48" s="4">
        <f>IF(AND(A48="",B48="",C48="",D48=""),"",IF(OR(B48="",NOT(ISNUMBER(D48)),COUNTIF(Stock!$A$2:$A$20,B48)=0,AND(C48&lt;&gt;"Received",C48&lt;&gt;"Sold",C48&lt;&gt;"Adjustment")),"Check","OK"))</f>
        <v/>
      </c>
    </row>
    <row r="49">
      <c r="A49" s="2" t="n"/>
      <c r="B49" s="3" t="n"/>
      <c r="C49" s="3" t="n"/>
      <c r="D49" s="3" t="n"/>
      <c r="E49" s="3" t="n"/>
      <c r="F49" s="4">
        <f>IF(AND(A49="",B49="",C49="",D49=""),"",IF(OR(B49="",NOT(ISNUMBER(D49)),COUNTIF(Stock!$A$2:$A$20,B49)=0,AND(C49&lt;&gt;"Received",C49&lt;&gt;"Sold",C49&lt;&gt;"Adjustment")),"Check","OK"))</f>
        <v/>
      </c>
    </row>
    <row r="50">
      <c r="A50" s="2" t="n"/>
      <c r="B50" s="3" t="n"/>
      <c r="C50" s="3" t="n"/>
      <c r="D50" s="3" t="n"/>
      <c r="E50" s="3" t="n"/>
      <c r="F50" s="4">
        <f>IF(AND(A50="",B50="",C50="",D50=""),"",IF(OR(B50="",NOT(ISNUMBER(D50)),COUNTIF(Stock!$A$2:$A$20,B50)=0,AND(C50&lt;&gt;"Received",C50&lt;&gt;"Sold",C50&lt;&gt;"Adjustment")),"Check","OK"))</f>
        <v/>
      </c>
    </row>
    <row r="51">
      <c r="A51" s="2" t="n"/>
      <c r="B51" s="3" t="n"/>
      <c r="C51" s="3" t="n"/>
      <c r="D51" s="3" t="n"/>
      <c r="E51" s="3" t="n"/>
      <c r="F51" s="4">
        <f>IF(AND(A51="",B51="",C51="",D51=""),"",IF(OR(B51="",NOT(ISNUMBER(D51)),COUNTIF(Stock!$A$2:$A$20,B51)=0,AND(C51&lt;&gt;"Received",C51&lt;&gt;"Sold",C51&lt;&gt;"Adjustment")),"Check","OK"))</f>
        <v/>
      </c>
    </row>
    <row r="52">
      <c r="A52" s="2" t="n"/>
      <c r="B52" s="3" t="n"/>
      <c r="C52" s="3" t="n"/>
      <c r="D52" s="3" t="n"/>
      <c r="E52" s="3" t="n"/>
      <c r="F52" s="4">
        <f>IF(AND(A52="",B52="",C52="",D52=""),"",IF(OR(B52="",NOT(ISNUMBER(D52)),COUNTIF(Stock!$A$2:$A$20,B52)=0,AND(C52&lt;&gt;"Received",C52&lt;&gt;"Sold",C52&lt;&gt;"Adjustment")),"Check","OK"))</f>
        <v/>
      </c>
    </row>
    <row r="53">
      <c r="A53" s="2" t="n"/>
      <c r="B53" s="3" t="n"/>
      <c r="C53" s="3" t="n"/>
      <c r="D53" s="3" t="n"/>
      <c r="E53" s="3" t="n"/>
      <c r="F53" s="4">
        <f>IF(AND(A53="",B53="",C53="",D53=""),"",IF(OR(B53="",NOT(ISNUMBER(D53)),COUNTIF(Stock!$A$2:$A$20,B53)=0,AND(C53&lt;&gt;"Received",C53&lt;&gt;"Sold",C53&lt;&gt;"Adjustment")),"Check","OK"))</f>
        <v/>
      </c>
    </row>
    <row r="54">
      <c r="A54" s="2" t="n"/>
      <c r="B54" s="3" t="n"/>
      <c r="C54" s="3" t="n"/>
      <c r="D54" s="3" t="n"/>
      <c r="E54" s="3" t="n"/>
      <c r="F54" s="4">
        <f>IF(AND(A54="",B54="",C54="",D54=""),"",IF(OR(B54="",NOT(ISNUMBER(D54)),COUNTIF(Stock!$A$2:$A$20,B54)=0,AND(C54&lt;&gt;"Received",C54&lt;&gt;"Sold",C54&lt;&gt;"Adjustment")),"Check","OK"))</f>
        <v/>
      </c>
    </row>
    <row r="55">
      <c r="A55" s="2" t="n"/>
      <c r="B55" s="3" t="n"/>
      <c r="C55" s="3" t="n"/>
      <c r="D55" s="3" t="n"/>
      <c r="E55" s="3" t="n"/>
      <c r="F55" s="4">
        <f>IF(AND(A55="",B55="",C55="",D55=""),"",IF(OR(B55="",NOT(ISNUMBER(D55)),COUNTIF(Stock!$A$2:$A$20,B55)=0,AND(C55&lt;&gt;"Received",C55&lt;&gt;"Sold",C55&lt;&gt;"Adjustment")),"Check","OK"))</f>
        <v/>
      </c>
    </row>
    <row r="56">
      <c r="A56" s="2" t="n"/>
      <c r="B56" s="3" t="n"/>
      <c r="C56" s="3" t="n"/>
      <c r="D56" s="3" t="n"/>
      <c r="E56" s="3" t="n"/>
      <c r="F56" s="4">
        <f>IF(AND(A56="",B56="",C56="",D56=""),"",IF(OR(B56="",NOT(ISNUMBER(D56)),COUNTIF(Stock!$A$2:$A$20,B56)=0,AND(C56&lt;&gt;"Received",C56&lt;&gt;"Sold",C56&lt;&gt;"Adjustment")),"Check","OK"))</f>
        <v/>
      </c>
    </row>
    <row r="57">
      <c r="A57" s="2" t="n"/>
      <c r="B57" s="3" t="n"/>
      <c r="C57" s="3" t="n"/>
      <c r="D57" s="3" t="n"/>
      <c r="E57" s="3" t="n"/>
      <c r="F57" s="4">
        <f>IF(AND(A57="",B57="",C57="",D57=""),"",IF(OR(B57="",NOT(ISNUMBER(D57)),COUNTIF(Stock!$A$2:$A$20,B57)=0,AND(C57&lt;&gt;"Received",C57&lt;&gt;"Sold",C57&lt;&gt;"Adjustment")),"Check","OK"))</f>
        <v/>
      </c>
    </row>
    <row r="58">
      <c r="A58" s="2" t="n"/>
      <c r="B58" s="3" t="n"/>
      <c r="C58" s="3" t="n"/>
      <c r="D58" s="3" t="n"/>
      <c r="E58" s="3" t="n"/>
      <c r="F58" s="4">
        <f>IF(AND(A58="",B58="",C58="",D58=""),"",IF(OR(B58="",NOT(ISNUMBER(D58)),COUNTIF(Stock!$A$2:$A$20,B58)=0,AND(C58&lt;&gt;"Received",C58&lt;&gt;"Sold",C58&lt;&gt;"Adjustment")),"Check","OK"))</f>
        <v/>
      </c>
    </row>
    <row r="59">
      <c r="A59" s="2" t="n"/>
      <c r="B59" s="3" t="n"/>
      <c r="C59" s="3" t="n"/>
      <c r="D59" s="3" t="n"/>
      <c r="E59" s="3" t="n"/>
      <c r="F59" s="4">
        <f>IF(AND(A59="",B59="",C59="",D59=""),"",IF(OR(B59="",NOT(ISNUMBER(D59)),COUNTIF(Stock!$A$2:$A$20,B59)=0,AND(C59&lt;&gt;"Received",C59&lt;&gt;"Sold",C59&lt;&gt;"Adjustment")),"Check","OK"))</f>
        <v/>
      </c>
    </row>
    <row r="60">
      <c r="A60" s="2" t="n"/>
      <c r="B60" s="3" t="n"/>
      <c r="C60" s="3" t="n"/>
      <c r="D60" s="3" t="n"/>
      <c r="E60" s="3" t="n"/>
      <c r="F60" s="4">
        <f>IF(AND(A60="",B60="",C60="",D60=""),"",IF(OR(B60="",NOT(ISNUMBER(D60)),COUNTIF(Stock!$A$2:$A$20,B60)=0,AND(C60&lt;&gt;"Received",C60&lt;&gt;"Sold",C60&lt;&gt;"Adjustment")),"Check","OK"))</f>
        <v/>
      </c>
    </row>
    <row r="61">
      <c r="A61" s="5" t="n"/>
      <c r="F61">
        <f>IF(AND(A61="",B61="",C61="",D61=""),"",IF(OR(B61="",NOT(ISNUMBER(D61)),COUNTIF(Stock!$A$2:$A$20,B61)=0,AND(C61&lt;&gt;"Received",C61&lt;&gt;"Sold",C61&lt;&gt;"Adjustment")),"Check","OK"))</f>
        <v/>
      </c>
    </row>
    <row r="62">
      <c r="A62" s="5" t="n"/>
      <c r="F62">
        <f>IF(AND(A62="",B62="",C62="",D62=""),"",IF(OR(B62="",NOT(ISNUMBER(D62)),COUNTIF(Stock!$A$2:$A$20,B62)=0,AND(C62&lt;&gt;"Received",C62&lt;&gt;"Sold",C62&lt;&gt;"Adjustment")),"Check","OK"))</f>
        <v/>
      </c>
    </row>
    <row r="63">
      <c r="A63" s="5" t="n"/>
      <c r="F63">
        <f>IF(AND(A63="",B63="",C63="",D63=""),"",IF(OR(B63="",NOT(ISNUMBER(D63)),COUNTIF(Stock!$A$2:$A$20,B63)=0,AND(C63&lt;&gt;"Received",C63&lt;&gt;"Sold",C63&lt;&gt;"Adjustment")),"Check","OK"))</f>
        <v/>
      </c>
    </row>
    <row r="64">
      <c r="A64" s="5" t="n"/>
      <c r="F64">
        <f>IF(AND(A64="",B64="",C64="",D64=""),"",IF(OR(B64="",NOT(ISNUMBER(D64)),COUNTIF(Stock!$A$2:$A$20,B64)=0,AND(C64&lt;&gt;"Received",C64&lt;&gt;"Sold",C64&lt;&gt;"Adjustment")),"Check","OK"))</f>
        <v/>
      </c>
    </row>
    <row r="65">
      <c r="A65" s="5" t="n"/>
      <c r="F65">
        <f>IF(AND(A65="",B65="",C65="",D65=""),"",IF(OR(B65="",NOT(ISNUMBER(D65)),COUNTIF(Stock!$A$2:$A$20,B65)=0,AND(C65&lt;&gt;"Received",C65&lt;&gt;"Sold",C65&lt;&gt;"Adjustment")),"Check","OK"))</f>
        <v/>
      </c>
    </row>
    <row r="66">
      <c r="A66" s="5" t="n"/>
      <c r="F66">
        <f>IF(AND(A66="",B66="",C66="",D66=""),"",IF(OR(B66="",NOT(ISNUMBER(D66)),COUNTIF(Stock!$A$2:$A$20,B66)=0,AND(C66&lt;&gt;"Received",C66&lt;&gt;"Sold",C66&lt;&gt;"Adjustment")),"Check","OK"))</f>
        <v/>
      </c>
    </row>
    <row r="67">
      <c r="A67" s="5" t="n"/>
      <c r="F67">
        <f>IF(AND(A67="",B67="",C67="",D67=""),"",IF(OR(B67="",NOT(ISNUMBER(D67)),COUNTIF(Stock!$A$2:$A$20,B67)=0,AND(C67&lt;&gt;"Received",C67&lt;&gt;"Sold",C67&lt;&gt;"Adjustment")),"Check","OK"))</f>
        <v/>
      </c>
    </row>
    <row r="68">
      <c r="A68" s="5" t="n"/>
      <c r="F68">
        <f>IF(AND(A68="",B68="",C68="",D68=""),"",IF(OR(B68="",NOT(ISNUMBER(D68)),COUNTIF(Stock!$A$2:$A$20,B68)=0,AND(C68&lt;&gt;"Received",C68&lt;&gt;"Sold",C68&lt;&gt;"Adjustment")),"Check","OK"))</f>
        <v/>
      </c>
    </row>
    <row r="69">
      <c r="A69" s="5" t="n"/>
      <c r="F69">
        <f>IF(AND(A69="",B69="",C69="",D69=""),"",IF(OR(B69="",NOT(ISNUMBER(D69)),COUNTIF(Stock!$A$2:$A$20,B69)=0,AND(C69&lt;&gt;"Received",C69&lt;&gt;"Sold",C69&lt;&gt;"Adjustment")),"Check","OK"))</f>
        <v/>
      </c>
    </row>
    <row r="70">
      <c r="A70" s="5" t="n"/>
      <c r="F70">
        <f>IF(AND(A70="",B70="",C70="",D70=""),"",IF(OR(B70="",NOT(ISNUMBER(D70)),COUNTIF(Stock!$A$2:$A$20,B70)=0,AND(C70&lt;&gt;"Received",C70&lt;&gt;"Sold",C70&lt;&gt;"Adjustment")),"Check","OK"))</f>
        <v/>
      </c>
    </row>
    <row r="71">
      <c r="A71" s="5" t="n"/>
      <c r="F71">
        <f>IF(AND(A71="",B71="",C71="",D71=""),"",IF(OR(B71="",NOT(ISNUMBER(D71)),COUNTIF(Stock!$A$2:$A$20,B71)=0,AND(C71&lt;&gt;"Received",C71&lt;&gt;"Sold",C71&lt;&gt;"Adjustment")),"Check","OK"))</f>
        <v/>
      </c>
    </row>
    <row r="72">
      <c r="A72" s="5" t="n"/>
      <c r="F72">
        <f>IF(AND(A72="",B72="",C72="",D72=""),"",IF(OR(B72="",NOT(ISNUMBER(D72)),COUNTIF(Stock!$A$2:$A$20,B72)=0,AND(C72&lt;&gt;"Received",C72&lt;&gt;"Sold",C72&lt;&gt;"Adjustment")),"Check","OK"))</f>
        <v/>
      </c>
    </row>
    <row r="73">
      <c r="A73" s="5" t="n"/>
      <c r="F73">
        <f>IF(AND(A73="",B73="",C73="",D73=""),"",IF(OR(B73="",NOT(ISNUMBER(D73)),COUNTIF(Stock!$A$2:$A$20,B73)=0,AND(C73&lt;&gt;"Received",C73&lt;&gt;"Sold",C73&lt;&gt;"Adjustment")),"Check","OK"))</f>
        <v/>
      </c>
    </row>
    <row r="74">
      <c r="A74" s="5" t="n"/>
      <c r="F74">
        <f>IF(AND(A74="",B74="",C74="",D74=""),"",IF(OR(B74="",NOT(ISNUMBER(D74)),COUNTIF(Stock!$A$2:$A$20,B74)=0,AND(C74&lt;&gt;"Received",C74&lt;&gt;"Sold",C74&lt;&gt;"Adjustment")),"Check","OK"))</f>
        <v/>
      </c>
    </row>
    <row r="75">
      <c r="A75" s="5" t="n"/>
      <c r="F75">
        <f>IF(AND(A75="",B75="",C75="",D75=""),"",IF(OR(B75="",NOT(ISNUMBER(D75)),COUNTIF(Stock!$A$2:$A$20,B75)=0,AND(C75&lt;&gt;"Received",C75&lt;&gt;"Sold",C75&lt;&gt;"Adjustment")),"Check","OK"))</f>
        <v/>
      </c>
    </row>
    <row r="76">
      <c r="A76" s="5" t="n"/>
      <c r="F76">
        <f>IF(AND(A76="",B76="",C76="",D76=""),"",IF(OR(B76="",NOT(ISNUMBER(D76)),COUNTIF(Stock!$A$2:$A$20,B76)=0,AND(C76&lt;&gt;"Received",C76&lt;&gt;"Sold",C76&lt;&gt;"Adjustment")),"Check","OK"))</f>
        <v/>
      </c>
    </row>
    <row r="77">
      <c r="A77" s="5" t="n"/>
      <c r="F77">
        <f>IF(AND(A77="",B77="",C77="",D77=""),"",IF(OR(B77="",NOT(ISNUMBER(D77)),COUNTIF(Stock!$A$2:$A$20,B77)=0,AND(C77&lt;&gt;"Received",C77&lt;&gt;"Sold",C77&lt;&gt;"Adjustment")),"Check","OK"))</f>
        <v/>
      </c>
    </row>
    <row r="78">
      <c r="A78" s="5" t="n"/>
      <c r="F78">
        <f>IF(AND(A78="",B78="",C78="",D78=""),"",IF(OR(B78="",NOT(ISNUMBER(D78)),COUNTIF(Stock!$A$2:$A$20,B78)=0,AND(C78&lt;&gt;"Received",C78&lt;&gt;"Sold",C78&lt;&gt;"Adjustment")),"Check","OK"))</f>
        <v/>
      </c>
    </row>
    <row r="79">
      <c r="A79" s="5" t="n"/>
      <c r="F79">
        <f>IF(AND(A79="",B79="",C79="",D79=""),"",IF(OR(B79="",NOT(ISNUMBER(D79)),COUNTIF(Stock!$A$2:$A$20,B79)=0,AND(C79&lt;&gt;"Received",C79&lt;&gt;"Sold",C79&lt;&gt;"Adjustment")),"Check","OK"))</f>
        <v/>
      </c>
    </row>
    <row r="80">
      <c r="A80" s="5" t="n"/>
      <c r="F80">
        <f>IF(AND(A80="",B80="",C80="",D80=""),"",IF(OR(B80="",NOT(ISNUMBER(D80)),COUNTIF(Stock!$A$2:$A$20,B80)=0,AND(C80&lt;&gt;"Received",C80&lt;&gt;"Sold",C80&lt;&gt;"Adjustment")),"Check","OK"))</f>
        <v/>
      </c>
    </row>
    <row r="81">
      <c r="A81" s="5" t="n"/>
      <c r="F81">
        <f>IF(AND(A81="",B81="",C81="",D81=""),"",IF(OR(B81="",NOT(ISNUMBER(D81)),COUNTIF(Stock!$A$2:$A$20,B81)=0,AND(C81&lt;&gt;"Received",C81&lt;&gt;"Sold",C81&lt;&gt;"Adjustment")),"Check","OK"))</f>
        <v/>
      </c>
    </row>
    <row r="82">
      <c r="A82" s="5" t="n"/>
      <c r="F82">
        <f>IF(AND(A82="",B82="",C82="",D82=""),"",IF(OR(B82="",NOT(ISNUMBER(D82)),COUNTIF(Stock!$A$2:$A$20,B82)=0,AND(C82&lt;&gt;"Received",C82&lt;&gt;"Sold",C82&lt;&gt;"Adjustment")),"Check","OK"))</f>
        <v/>
      </c>
    </row>
    <row r="83">
      <c r="A83" s="5" t="n"/>
      <c r="F83">
        <f>IF(AND(A83="",B83="",C83="",D83=""),"",IF(OR(B83="",NOT(ISNUMBER(D83)),COUNTIF(Stock!$A$2:$A$20,B83)=0,AND(C83&lt;&gt;"Received",C83&lt;&gt;"Sold",C83&lt;&gt;"Adjustment")),"Check","OK"))</f>
        <v/>
      </c>
    </row>
    <row r="84">
      <c r="A84" s="5" t="n"/>
      <c r="F84">
        <f>IF(AND(A84="",B84="",C84="",D84=""),"",IF(OR(B84="",NOT(ISNUMBER(D84)),COUNTIF(Stock!$A$2:$A$20,B84)=0,AND(C84&lt;&gt;"Received",C84&lt;&gt;"Sold",C84&lt;&gt;"Adjustment")),"Check","OK"))</f>
        <v/>
      </c>
    </row>
    <row r="85">
      <c r="A85" s="5" t="n"/>
      <c r="F85">
        <f>IF(AND(A85="",B85="",C85="",D85=""),"",IF(OR(B85="",NOT(ISNUMBER(D85)),COUNTIF(Stock!$A$2:$A$20,B85)=0,AND(C85&lt;&gt;"Received",C85&lt;&gt;"Sold",C85&lt;&gt;"Adjustment")),"Check","OK"))</f>
        <v/>
      </c>
    </row>
    <row r="86">
      <c r="A86" s="5" t="n"/>
      <c r="F86">
        <f>IF(AND(A86="",B86="",C86="",D86=""),"",IF(OR(B86="",NOT(ISNUMBER(D86)),COUNTIF(Stock!$A$2:$A$20,B86)=0,AND(C86&lt;&gt;"Received",C86&lt;&gt;"Sold",C86&lt;&gt;"Adjustment")),"Check","OK"))</f>
        <v/>
      </c>
    </row>
    <row r="87">
      <c r="A87" s="5" t="n"/>
      <c r="F87">
        <f>IF(AND(A87="",B87="",C87="",D87=""),"",IF(OR(B87="",NOT(ISNUMBER(D87)),COUNTIF(Stock!$A$2:$A$20,B87)=0,AND(C87&lt;&gt;"Received",C87&lt;&gt;"Sold",C87&lt;&gt;"Adjustment")),"Check","OK"))</f>
        <v/>
      </c>
    </row>
    <row r="88">
      <c r="A88" s="5" t="n"/>
      <c r="F88">
        <f>IF(AND(A88="",B88="",C88="",D88=""),"",IF(OR(B88="",NOT(ISNUMBER(D88)),COUNTIF(Stock!$A$2:$A$20,B88)=0,AND(C88&lt;&gt;"Received",C88&lt;&gt;"Sold",C88&lt;&gt;"Adjustment")),"Check","OK"))</f>
        <v/>
      </c>
    </row>
    <row r="89">
      <c r="A89" s="5" t="n"/>
      <c r="F89">
        <f>IF(AND(A89="",B89="",C89="",D89=""),"",IF(OR(B89="",NOT(ISNUMBER(D89)),COUNTIF(Stock!$A$2:$A$20,B89)=0,AND(C89&lt;&gt;"Received",C89&lt;&gt;"Sold",C89&lt;&gt;"Adjustment")),"Check","OK"))</f>
        <v/>
      </c>
    </row>
    <row r="90">
      <c r="A90" s="5" t="n"/>
      <c r="F90">
        <f>IF(AND(A90="",B90="",C90="",D90=""),"",IF(OR(B90="",NOT(ISNUMBER(D90)),COUNTIF(Stock!$A$2:$A$20,B90)=0,AND(C90&lt;&gt;"Received",C90&lt;&gt;"Sold",C90&lt;&gt;"Adjustment")),"Check","OK"))</f>
        <v/>
      </c>
    </row>
    <row r="91">
      <c r="A91" s="5" t="n"/>
      <c r="F91">
        <f>IF(AND(A91="",B91="",C91="",D91=""),"",IF(OR(B91="",NOT(ISNUMBER(D91)),COUNTIF(Stock!$A$2:$A$20,B91)=0,AND(C91&lt;&gt;"Received",C91&lt;&gt;"Sold",C91&lt;&gt;"Adjustment")),"Check","OK"))</f>
        <v/>
      </c>
    </row>
    <row r="92">
      <c r="A92" s="5" t="n"/>
      <c r="F92">
        <f>IF(AND(A92="",B92="",C92="",D92=""),"",IF(OR(B92="",NOT(ISNUMBER(D92)),COUNTIF(Stock!$A$2:$A$20,B92)=0,AND(C92&lt;&gt;"Received",C92&lt;&gt;"Sold",C92&lt;&gt;"Adjustment")),"Check","OK"))</f>
        <v/>
      </c>
    </row>
    <row r="93">
      <c r="A93" s="5" t="n"/>
      <c r="F93">
        <f>IF(AND(A93="",B93="",C93="",D93=""),"",IF(OR(B93="",NOT(ISNUMBER(D93)),COUNTIF(Stock!$A$2:$A$20,B93)=0,AND(C93&lt;&gt;"Received",C93&lt;&gt;"Sold",C93&lt;&gt;"Adjustment")),"Check","OK"))</f>
        <v/>
      </c>
    </row>
    <row r="94">
      <c r="A94" s="5" t="n"/>
      <c r="F94">
        <f>IF(AND(A94="",B94="",C94="",D94=""),"",IF(OR(B94="",NOT(ISNUMBER(D94)),COUNTIF(Stock!$A$2:$A$20,B94)=0,AND(C94&lt;&gt;"Received",C94&lt;&gt;"Sold",C94&lt;&gt;"Adjustment")),"Check","OK"))</f>
        <v/>
      </c>
    </row>
    <row r="95">
      <c r="A95" s="5" t="n"/>
      <c r="F95">
        <f>IF(AND(A95="",B95="",C95="",D95=""),"",IF(OR(B95="",NOT(ISNUMBER(D95)),COUNTIF(Stock!$A$2:$A$20,B95)=0,AND(C95&lt;&gt;"Received",C95&lt;&gt;"Sold",C95&lt;&gt;"Adjustment")),"Check","OK"))</f>
        <v/>
      </c>
    </row>
    <row r="96">
      <c r="A96" s="5" t="n"/>
      <c r="F96">
        <f>IF(AND(A96="",B96="",C96="",D96=""),"",IF(OR(B96="",NOT(ISNUMBER(D96)),COUNTIF(Stock!$A$2:$A$20,B96)=0,AND(C96&lt;&gt;"Received",C96&lt;&gt;"Sold",C96&lt;&gt;"Adjustment")),"Check","OK"))</f>
        <v/>
      </c>
    </row>
    <row r="97">
      <c r="A97" s="5" t="n"/>
      <c r="F97">
        <f>IF(AND(A97="",B97="",C97="",D97=""),"",IF(OR(B97="",NOT(ISNUMBER(D97)),COUNTIF(Stock!$A$2:$A$20,B97)=0,AND(C97&lt;&gt;"Received",C97&lt;&gt;"Sold",C97&lt;&gt;"Adjustment")),"Check","OK"))</f>
        <v/>
      </c>
    </row>
    <row r="98">
      <c r="A98" s="5" t="n"/>
      <c r="F98">
        <f>IF(AND(A98="",B98="",C98="",D98=""),"",IF(OR(B98="",NOT(ISNUMBER(D98)),COUNTIF(Stock!$A$2:$A$20,B98)=0,AND(C98&lt;&gt;"Received",C98&lt;&gt;"Sold",C98&lt;&gt;"Adjustment")),"Check","OK"))</f>
        <v/>
      </c>
    </row>
    <row r="99">
      <c r="A99" s="5" t="n"/>
      <c r="F99">
        <f>IF(AND(A99="",B99="",C99="",D99=""),"",IF(OR(B99="",NOT(ISNUMBER(D99)),COUNTIF(Stock!$A$2:$A$20,B99)=0,AND(C99&lt;&gt;"Received",C99&lt;&gt;"Sold",C99&lt;&gt;"Adjustment")),"Check","OK"))</f>
        <v/>
      </c>
    </row>
    <row r="100">
      <c r="A100" s="5" t="n"/>
      <c r="F100">
        <f>IF(AND(A100="",B100="",C100="",D100=""),"",IF(OR(B100="",NOT(ISNUMBER(D100)),COUNTIF(Stock!$A$2:$A$20,B100)=0,AND(C100&lt;&gt;"Received",C100&lt;&gt;"Sold",C100&lt;&gt;"Adjustment")),"Check","OK"))</f>
        <v/>
      </c>
    </row>
    <row r="101">
      <c r="A101" s="5" t="n"/>
      <c r="F101">
        <f>IF(AND(A101="",B101="",C101="",D101=""),"",IF(OR(B101="",NOT(ISNUMBER(D101)),COUNTIF(Stock!$A$2:$A$20,B101)=0,AND(C101&lt;&gt;"Received",C101&lt;&gt;"Sold",C101&lt;&gt;"Adjustment")),"Check","OK"))</f>
        <v/>
      </c>
    </row>
    <row r="102">
      <c r="A102" s="5" t="n"/>
      <c r="F102">
        <f>IF(AND(A102="",B102="",C102="",D102=""),"",IF(OR(B102="",NOT(ISNUMBER(D102)),COUNTIF(Stock!$A$2:$A$20,B102)=0,AND(C102&lt;&gt;"Received",C102&lt;&gt;"Sold",C102&lt;&gt;"Adjustment")),"Check","OK"))</f>
        <v/>
      </c>
    </row>
    <row r="103">
      <c r="A103" s="5" t="n"/>
      <c r="F103">
        <f>IF(AND(A103="",B103="",C103="",D103=""),"",IF(OR(B103="",NOT(ISNUMBER(D103)),COUNTIF(Stock!$A$2:$A$20,B103)=0,AND(C103&lt;&gt;"Received",C103&lt;&gt;"Sold",C103&lt;&gt;"Adjustment")),"Check","OK"))</f>
        <v/>
      </c>
    </row>
    <row r="104">
      <c r="A104" s="5" t="n"/>
      <c r="F104">
        <f>IF(AND(A104="",B104="",C104="",D104=""),"",IF(OR(B104="",NOT(ISNUMBER(D104)),COUNTIF(Stock!$A$2:$A$20,B104)=0,AND(C104&lt;&gt;"Received",C104&lt;&gt;"Sold",C104&lt;&gt;"Adjustment")),"Check","OK"))</f>
        <v/>
      </c>
    </row>
    <row r="105">
      <c r="A105" s="5" t="n"/>
      <c r="F105">
        <f>IF(AND(A105="",B105="",C105="",D105=""),"",IF(OR(B105="",NOT(ISNUMBER(D105)),COUNTIF(Stock!$A$2:$A$20,B105)=0,AND(C105&lt;&gt;"Received",C105&lt;&gt;"Sold",C105&lt;&gt;"Adjustment")),"Check","OK"))</f>
        <v/>
      </c>
    </row>
    <row r="106">
      <c r="A106" s="5" t="n"/>
      <c r="F106">
        <f>IF(AND(A106="",B106="",C106="",D106=""),"",IF(OR(B106="",NOT(ISNUMBER(D106)),COUNTIF(Stock!$A$2:$A$20,B106)=0,AND(C106&lt;&gt;"Received",C106&lt;&gt;"Sold",C106&lt;&gt;"Adjustment")),"Check","OK"))</f>
        <v/>
      </c>
    </row>
    <row r="107">
      <c r="A107" s="5" t="n"/>
      <c r="F107">
        <f>IF(AND(A107="",B107="",C107="",D107=""),"",IF(OR(B107="",NOT(ISNUMBER(D107)),COUNTIF(Stock!$A$2:$A$20,B107)=0,AND(C107&lt;&gt;"Received",C107&lt;&gt;"Sold",C107&lt;&gt;"Adjustment")),"Check","OK"))</f>
        <v/>
      </c>
    </row>
    <row r="108">
      <c r="A108" s="5" t="n"/>
      <c r="F108">
        <f>IF(AND(A108="",B108="",C108="",D108=""),"",IF(OR(B108="",NOT(ISNUMBER(D108)),COUNTIF(Stock!$A$2:$A$20,B108)=0,AND(C108&lt;&gt;"Received",C108&lt;&gt;"Sold",C108&lt;&gt;"Adjustment")),"Check","OK"))</f>
        <v/>
      </c>
    </row>
    <row r="109">
      <c r="A109" s="5" t="n"/>
      <c r="F109">
        <f>IF(AND(A109="",B109="",C109="",D109=""),"",IF(OR(B109="",NOT(ISNUMBER(D109)),COUNTIF(Stock!$A$2:$A$20,B109)=0,AND(C109&lt;&gt;"Received",C109&lt;&gt;"Sold",C109&lt;&gt;"Adjustment")),"Check","OK"))</f>
        <v/>
      </c>
    </row>
    <row r="110">
      <c r="A110" s="5" t="n"/>
      <c r="F110">
        <f>IF(AND(A110="",B110="",C110="",D110=""),"",IF(OR(B110="",NOT(ISNUMBER(D110)),COUNTIF(Stock!$A$2:$A$20,B110)=0,AND(C110&lt;&gt;"Received",C110&lt;&gt;"Sold",C110&lt;&gt;"Adjustment")),"Check","OK"))</f>
        <v/>
      </c>
    </row>
    <row r="111">
      <c r="A111" s="5" t="n"/>
      <c r="F111">
        <f>IF(AND(A111="",B111="",C111="",D111=""),"",IF(OR(B111="",NOT(ISNUMBER(D111)),COUNTIF(Stock!$A$2:$A$20,B111)=0,AND(C111&lt;&gt;"Received",C111&lt;&gt;"Sold",C111&lt;&gt;"Adjustment")),"Check","OK"))</f>
        <v/>
      </c>
    </row>
    <row r="112">
      <c r="A112" s="5" t="n"/>
      <c r="F112">
        <f>IF(AND(A112="",B112="",C112="",D112=""),"",IF(OR(B112="",NOT(ISNUMBER(D112)),COUNTIF(Stock!$A$2:$A$20,B112)=0,AND(C112&lt;&gt;"Received",C112&lt;&gt;"Sold",C112&lt;&gt;"Adjustment")),"Check","OK"))</f>
        <v/>
      </c>
    </row>
    <row r="113">
      <c r="A113" s="5" t="n"/>
      <c r="F113">
        <f>IF(AND(A113="",B113="",C113="",D113=""),"",IF(OR(B113="",NOT(ISNUMBER(D113)),COUNTIF(Stock!$A$2:$A$20,B113)=0,AND(C113&lt;&gt;"Received",C113&lt;&gt;"Sold",C113&lt;&gt;"Adjustment")),"Check","OK"))</f>
        <v/>
      </c>
    </row>
    <row r="114">
      <c r="A114" s="5" t="n"/>
      <c r="F114">
        <f>IF(AND(A114="",B114="",C114="",D114=""),"",IF(OR(B114="",NOT(ISNUMBER(D114)),COUNTIF(Stock!$A$2:$A$20,B114)=0,AND(C114&lt;&gt;"Received",C114&lt;&gt;"Sold",C114&lt;&gt;"Adjustment")),"Check","OK"))</f>
        <v/>
      </c>
    </row>
    <row r="115">
      <c r="A115" s="5" t="n"/>
      <c r="F115">
        <f>IF(AND(A115="",B115="",C115="",D115=""),"",IF(OR(B115="",NOT(ISNUMBER(D115)),COUNTIF(Stock!$A$2:$A$20,B115)=0,AND(C115&lt;&gt;"Received",C115&lt;&gt;"Sold",C115&lt;&gt;"Adjustment")),"Check","OK"))</f>
        <v/>
      </c>
    </row>
    <row r="116">
      <c r="A116" s="5" t="n"/>
      <c r="F116">
        <f>IF(AND(A116="",B116="",C116="",D116=""),"",IF(OR(B116="",NOT(ISNUMBER(D116)),COUNTIF(Stock!$A$2:$A$20,B116)=0,AND(C116&lt;&gt;"Received",C116&lt;&gt;"Sold",C116&lt;&gt;"Adjustment")),"Check","OK"))</f>
        <v/>
      </c>
    </row>
    <row r="117">
      <c r="A117" s="5" t="n"/>
      <c r="F117">
        <f>IF(AND(A117="",B117="",C117="",D117=""),"",IF(OR(B117="",NOT(ISNUMBER(D117)),COUNTIF(Stock!$A$2:$A$20,B117)=0,AND(C117&lt;&gt;"Received",C117&lt;&gt;"Sold",C117&lt;&gt;"Adjustment")),"Check","OK"))</f>
        <v/>
      </c>
    </row>
    <row r="118">
      <c r="A118" s="5" t="n"/>
      <c r="F118">
        <f>IF(AND(A118="",B118="",C118="",D118=""),"",IF(OR(B118="",NOT(ISNUMBER(D118)),COUNTIF(Stock!$A$2:$A$20,B118)=0,AND(C118&lt;&gt;"Received",C118&lt;&gt;"Sold",C118&lt;&gt;"Adjustment")),"Check","OK"))</f>
        <v/>
      </c>
    </row>
    <row r="119">
      <c r="A119" s="5" t="n"/>
      <c r="F119">
        <f>IF(AND(A119="",B119="",C119="",D119=""),"",IF(OR(B119="",NOT(ISNUMBER(D119)),COUNTIF(Stock!$A$2:$A$20,B119)=0,AND(C119&lt;&gt;"Received",C119&lt;&gt;"Sold",C119&lt;&gt;"Adjustment")),"Check","OK"))</f>
        <v/>
      </c>
    </row>
    <row r="120">
      <c r="A120" s="5" t="n"/>
      <c r="F120">
        <f>IF(AND(A120="",B120="",C120="",D120=""),"",IF(OR(B120="",NOT(ISNUMBER(D120)),COUNTIF(Stock!$A$2:$A$20,B120)=0,AND(C120&lt;&gt;"Received",C120&lt;&gt;"Sold",C120&lt;&gt;"Adjustment")),"Check","OK"))</f>
        <v/>
      </c>
    </row>
    <row r="121">
      <c r="A121" s="5" t="n"/>
      <c r="F121">
        <f>IF(AND(A121="",B121="",C121="",D121=""),"",IF(OR(B121="",NOT(ISNUMBER(D121)),COUNTIF(Stock!$A$2:$A$20,B121)=0,AND(C121&lt;&gt;"Received",C121&lt;&gt;"Sold",C121&lt;&gt;"Adjustment")),"Check","OK"))</f>
        <v/>
      </c>
    </row>
    <row r="122">
      <c r="A122" s="5" t="n"/>
      <c r="F122">
        <f>IF(AND(A122="",B122="",C122="",D122=""),"",IF(OR(B122="",NOT(ISNUMBER(D122)),COUNTIF(Stock!$A$2:$A$20,B122)=0,AND(C122&lt;&gt;"Received",C122&lt;&gt;"Sold",C122&lt;&gt;"Adjustment")),"Check","OK"))</f>
        <v/>
      </c>
    </row>
    <row r="123">
      <c r="A123" s="5" t="n"/>
      <c r="F123">
        <f>IF(AND(A123="",B123="",C123="",D123=""),"",IF(OR(B123="",NOT(ISNUMBER(D123)),COUNTIF(Stock!$A$2:$A$20,B123)=0,AND(C123&lt;&gt;"Received",C123&lt;&gt;"Sold",C123&lt;&gt;"Adjustment")),"Check","OK"))</f>
        <v/>
      </c>
    </row>
    <row r="124">
      <c r="A124" s="5" t="n"/>
      <c r="F124">
        <f>IF(AND(A124="",B124="",C124="",D124=""),"",IF(OR(B124="",NOT(ISNUMBER(D124)),COUNTIF(Stock!$A$2:$A$20,B124)=0,AND(C124&lt;&gt;"Received",C124&lt;&gt;"Sold",C124&lt;&gt;"Adjustment")),"Check","OK"))</f>
        <v/>
      </c>
    </row>
    <row r="125">
      <c r="A125" s="5" t="n"/>
      <c r="F125">
        <f>IF(AND(A125="",B125="",C125="",D125=""),"",IF(OR(B125="",NOT(ISNUMBER(D125)),COUNTIF(Stock!$A$2:$A$20,B125)=0,AND(C125&lt;&gt;"Received",C125&lt;&gt;"Sold",C125&lt;&gt;"Adjustment")),"Check","OK"))</f>
        <v/>
      </c>
    </row>
    <row r="126">
      <c r="A126" s="5" t="n"/>
      <c r="F126">
        <f>IF(AND(A126="",B126="",C126="",D126=""),"",IF(OR(B126="",NOT(ISNUMBER(D126)),COUNTIF(Stock!$A$2:$A$20,B126)=0,AND(C126&lt;&gt;"Received",C126&lt;&gt;"Sold",C126&lt;&gt;"Adjustment")),"Check","OK"))</f>
        <v/>
      </c>
    </row>
    <row r="127">
      <c r="A127" s="5" t="n"/>
      <c r="F127">
        <f>IF(AND(A127="",B127="",C127="",D127=""),"",IF(OR(B127="",NOT(ISNUMBER(D127)),COUNTIF(Stock!$A$2:$A$20,B127)=0,AND(C127&lt;&gt;"Received",C127&lt;&gt;"Sold",C127&lt;&gt;"Adjustment")),"Check","OK"))</f>
        <v/>
      </c>
    </row>
    <row r="128">
      <c r="A128" s="5" t="n"/>
      <c r="F128">
        <f>IF(AND(A128="",B128="",C128="",D128=""),"",IF(OR(B128="",NOT(ISNUMBER(D128)),COUNTIF(Stock!$A$2:$A$20,B128)=0,AND(C128&lt;&gt;"Received",C128&lt;&gt;"Sold",C128&lt;&gt;"Adjustment")),"Check","OK"))</f>
        <v/>
      </c>
    </row>
    <row r="129">
      <c r="A129" s="5" t="n"/>
      <c r="F129">
        <f>IF(AND(A129="",B129="",C129="",D129=""),"",IF(OR(B129="",NOT(ISNUMBER(D129)),COUNTIF(Stock!$A$2:$A$20,B129)=0,AND(C129&lt;&gt;"Received",C129&lt;&gt;"Sold",C129&lt;&gt;"Adjustment")),"Check","OK"))</f>
        <v/>
      </c>
    </row>
    <row r="130">
      <c r="A130" s="5" t="n"/>
      <c r="F130">
        <f>IF(AND(A130="",B130="",C130="",D130=""),"",IF(OR(B130="",NOT(ISNUMBER(D130)),COUNTIF(Stock!$A$2:$A$20,B130)=0,AND(C130&lt;&gt;"Received",C130&lt;&gt;"Sold",C130&lt;&gt;"Adjustment")),"Check","OK"))</f>
        <v/>
      </c>
    </row>
    <row r="131">
      <c r="A131" s="5" t="n"/>
      <c r="F131">
        <f>IF(AND(A131="",B131="",C131="",D131=""),"",IF(OR(B131="",NOT(ISNUMBER(D131)),COUNTIF(Stock!$A$2:$A$20,B131)=0,AND(C131&lt;&gt;"Received",C131&lt;&gt;"Sold",C131&lt;&gt;"Adjustment")),"Check","OK"))</f>
        <v/>
      </c>
    </row>
    <row r="132">
      <c r="A132" s="5" t="n"/>
      <c r="F132">
        <f>IF(AND(A132="",B132="",C132="",D132=""),"",IF(OR(B132="",NOT(ISNUMBER(D132)),COUNTIF(Stock!$A$2:$A$20,B132)=0,AND(C132&lt;&gt;"Received",C132&lt;&gt;"Sold",C132&lt;&gt;"Adjustment")),"Check","OK"))</f>
        <v/>
      </c>
    </row>
    <row r="133">
      <c r="A133" s="5" t="n"/>
      <c r="F133">
        <f>IF(AND(A133="",B133="",C133="",D133=""),"",IF(OR(B133="",NOT(ISNUMBER(D133)),COUNTIF(Stock!$A$2:$A$20,B133)=0,AND(C133&lt;&gt;"Received",C133&lt;&gt;"Sold",C133&lt;&gt;"Adjustment")),"Check","OK"))</f>
        <v/>
      </c>
    </row>
    <row r="134">
      <c r="A134" s="5" t="n"/>
      <c r="F134">
        <f>IF(AND(A134="",B134="",C134="",D134=""),"",IF(OR(B134="",NOT(ISNUMBER(D134)),COUNTIF(Stock!$A$2:$A$20,B134)=0,AND(C134&lt;&gt;"Received",C134&lt;&gt;"Sold",C134&lt;&gt;"Adjustment")),"Check","OK"))</f>
        <v/>
      </c>
    </row>
    <row r="135">
      <c r="A135" s="5" t="n"/>
      <c r="F135">
        <f>IF(AND(A135="",B135="",C135="",D135=""),"",IF(OR(B135="",NOT(ISNUMBER(D135)),COUNTIF(Stock!$A$2:$A$20,B135)=0,AND(C135&lt;&gt;"Received",C135&lt;&gt;"Sold",C135&lt;&gt;"Adjustment")),"Check","OK"))</f>
        <v/>
      </c>
    </row>
    <row r="136">
      <c r="A136" s="5" t="n"/>
      <c r="F136">
        <f>IF(AND(A136="",B136="",C136="",D136=""),"",IF(OR(B136="",NOT(ISNUMBER(D136)),COUNTIF(Stock!$A$2:$A$20,B136)=0,AND(C136&lt;&gt;"Received",C136&lt;&gt;"Sold",C136&lt;&gt;"Adjustment")),"Check","OK"))</f>
        <v/>
      </c>
    </row>
    <row r="137">
      <c r="A137" s="5" t="n"/>
      <c r="F137">
        <f>IF(AND(A137="",B137="",C137="",D137=""),"",IF(OR(B137="",NOT(ISNUMBER(D137)),COUNTIF(Stock!$A$2:$A$20,B137)=0,AND(C137&lt;&gt;"Received",C137&lt;&gt;"Sold",C137&lt;&gt;"Adjustment")),"Check","OK"))</f>
        <v/>
      </c>
    </row>
    <row r="138">
      <c r="A138" s="5" t="n"/>
      <c r="F138">
        <f>IF(AND(A138="",B138="",C138="",D138=""),"",IF(OR(B138="",NOT(ISNUMBER(D138)),COUNTIF(Stock!$A$2:$A$20,B138)=0,AND(C138&lt;&gt;"Received",C138&lt;&gt;"Sold",C138&lt;&gt;"Adjustment")),"Check","OK"))</f>
        <v/>
      </c>
    </row>
    <row r="139">
      <c r="A139" s="5" t="n"/>
      <c r="F139">
        <f>IF(AND(A139="",B139="",C139="",D139=""),"",IF(OR(B139="",NOT(ISNUMBER(D139)),COUNTIF(Stock!$A$2:$A$20,B139)=0,AND(C139&lt;&gt;"Received",C139&lt;&gt;"Sold",C139&lt;&gt;"Adjustment")),"Check","OK"))</f>
        <v/>
      </c>
    </row>
    <row r="140">
      <c r="A140" s="5" t="n"/>
      <c r="F140">
        <f>IF(AND(A140="",B140="",C140="",D140=""),"",IF(OR(B140="",NOT(ISNUMBER(D140)),COUNTIF(Stock!$A$2:$A$20,B140)=0,AND(C140&lt;&gt;"Received",C140&lt;&gt;"Sold",C140&lt;&gt;"Adjustment")),"Check","OK"))</f>
        <v/>
      </c>
    </row>
    <row r="141">
      <c r="A141" s="5" t="n"/>
      <c r="F141">
        <f>IF(AND(A141="",B141="",C141="",D141=""),"",IF(OR(B141="",NOT(ISNUMBER(D141)),COUNTIF(Stock!$A$2:$A$20,B141)=0,AND(C141&lt;&gt;"Received",C141&lt;&gt;"Sold",C141&lt;&gt;"Adjustment")),"Check","OK"))</f>
        <v/>
      </c>
    </row>
    <row r="142">
      <c r="A142" s="5" t="n"/>
      <c r="F142">
        <f>IF(AND(A142="",B142="",C142="",D142=""),"",IF(OR(B142="",NOT(ISNUMBER(D142)),COUNTIF(Stock!$A$2:$A$20,B142)=0,AND(C142&lt;&gt;"Received",C142&lt;&gt;"Sold",C142&lt;&gt;"Adjustment")),"Check","OK"))</f>
        <v/>
      </c>
    </row>
    <row r="143">
      <c r="A143" s="5" t="n"/>
      <c r="F143">
        <f>IF(AND(A143="",B143="",C143="",D143=""),"",IF(OR(B143="",NOT(ISNUMBER(D143)),COUNTIF(Stock!$A$2:$A$20,B143)=0,AND(C143&lt;&gt;"Received",C143&lt;&gt;"Sold",C143&lt;&gt;"Adjustment")),"Check","OK"))</f>
        <v/>
      </c>
    </row>
    <row r="144">
      <c r="A144" s="5" t="n"/>
      <c r="F144">
        <f>IF(AND(A144="",B144="",C144="",D144=""),"",IF(OR(B144="",NOT(ISNUMBER(D144)),COUNTIF(Stock!$A$2:$A$20,B144)=0,AND(C144&lt;&gt;"Received",C144&lt;&gt;"Sold",C144&lt;&gt;"Adjustment")),"Check","OK"))</f>
        <v/>
      </c>
    </row>
    <row r="145">
      <c r="A145" s="5" t="n"/>
      <c r="F145">
        <f>IF(AND(A145="",B145="",C145="",D145=""),"",IF(OR(B145="",NOT(ISNUMBER(D145)),COUNTIF(Stock!$A$2:$A$20,B145)=0,AND(C145&lt;&gt;"Received",C145&lt;&gt;"Sold",C145&lt;&gt;"Adjustment")),"Check","OK"))</f>
        <v/>
      </c>
    </row>
    <row r="146">
      <c r="A146" s="5" t="n"/>
      <c r="F146">
        <f>IF(AND(A146="",B146="",C146="",D146=""),"",IF(OR(B146="",NOT(ISNUMBER(D146)),COUNTIF(Stock!$A$2:$A$20,B146)=0,AND(C146&lt;&gt;"Received",C146&lt;&gt;"Sold",C146&lt;&gt;"Adjustment")),"Check","OK"))</f>
        <v/>
      </c>
    </row>
    <row r="147">
      <c r="A147" s="5" t="n"/>
      <c r="F147">
        <f>IF(AND(A147="",B147="",C147="",D147=""),"",IF(OR(B147="",NOT(ISNUMBER(D147)),COUNTIF(Stock!$A$2:$A$20,B147)=0,AND(C147&lt;&gt;"Received",C147&lt;&gt;"Sold",C147&lt;&gt;"Adjustment")),"Check","OK"))</f>
        <v/>
      </c>
    </row>
    <row r="148">
      <c r="A148" s="5" t="n"/>
      <c r="F148">
        <f>IF(AND(A148="",B148="",C148="",D148=""),"",IF(OR(B148="",NOT(ISNUMBER(D148)),COUNTIF(Stock!$A$2:$A$20,B148)=0,AND(C148&lt;&gt;"Received",C148&lt;&gt;"Sold",C148&lt;&gt;"Adjustment")),"Check","OK"))</f>
        <v/>
      </c>
    </row>
    <row r="149">
      <c r="A149" s="5" t="n"/>
      <c r="F149">
        <f>IF(AND(A149="",B149="",C149="",D149=""),"",IF(OR(B149="",NOT(ISNUMBER(D149)),COUNTIF(Stock!$A$2:$A$20,B149)=0,AND(C149&lt;&gt;"Received",C149&lt;&gt;"Sold",C149&lt;&gt;"Adjustment")),"Check","OK"))</f>
        <v/>
      </c>
    </row>
    <row r="150">
      <c r="A150" s="5" t="n"/>
      <c r="F150">
        <f>IF(AND(A150="",B150="",C150="",D150=""),"",IF(OR(B150="",NOT(ISNUMBER(D150)),COUNTIF(Stock!$A$2:$A$20,B150)=0,AND(C150&lt;&gt;"Received",C150&lt;&gt;"Sold",C150&lt;&gt;"Adjustment")),"Check","OK"))</f>
        <v/>
      </c>
    </row>
    <row r="151">
      <c r="A151" s="5" t="n"/>
      <c r="F151">
        <f>IF(AND(A151="",B151="",C151="",D151=""),"",IF(OR(B151="",NOT(ISNUMBER(D151)),COUNTIF(Stock!$A$2:$A$20,B151)=0,AND(C151&lt;&gt;"Received",C151&lt;&gt;"Sold",C151&lt;&gt;"Adjustment")),"Check","OK"))</f>
        <v/>
      </c>
    </row>
    <row r="152">
      <c r="A152" s="5" t="n"/>
      <c r="F152">
        <f>IF(AND(A152="",B152="",C152="",D152=""),"",IF(OR(B152="",NOT(ISNUMBER(D152)),COUNTIF(Stock!$A$2:$A$20,B152)=0,AND(C152&lt;&gt;"Received",C152&lt;&gt;"Sold",C152&lt;&gt;"Adjustment")),"Check","OK"))</f>
        <v/>
      </c>
    </row>
    <row r="153">
      <c r="A153" s="5" t="n"/>
      <c r="F153">
        <f>IF(AND(A153="",B153="",C153="",D153=""),"",IF(OR(B153="",NOT(ISNUMBER(D153)),COUNTIF(Stock!$A$2:$A$20,B153)=0,AND(C153&lt;&gt;"Received",C153&lt;&gt;"Sold",C153&lt;&gt;"Adjustment")),"Check","OK"))</f>
        <v/>
      </c>
    </row>
    <row r="154">
      <c r="A154" s="5" t="n"/>
      <c r="F154">
        <f>IF(AND(A154="",B154="",C154="",D154=""),"",IF(OR(B154="",NOT(ISNUMBER(D154)),COUNTIF(Stock!$A$2:$A$20,B154)=0,AND(C154&lt;&gt;"Received",C154&lt;&gt;"Sold",C154&lt;&gt;"Adjustment")),"Check","OK"))</f>
        <v/>
      </c>
    </row>
    <row r="155">
      <c r="A155" s="5" t="n"/>
      <c r="F155">
        <f>IF(AND(A155="",B155="",C155="",D155=""),"",IF(OR(B155="",NOT(ISNUMBER(D155)),COUNTIF(Stock!$A$2:$A$20,B155)=0,AND(C155&lt;&gt;"Received",C155&lt;&gt;"Sold",C155&lt;&gt;"Adjustment")),"Check","OK"))</f>
        <v/>
      </c>
    </row>
    <row r="156">
      <c r="A156" s="5" t="n"/>
      <c r="F156">
        <f>IF(AND(A156="",B156="",C156="",D156=""),"",IF(OR(B156="",NOT(ISNUMBER(D156)),COUNTIF(Stock!$A$2:$A$20,B156)=0,AND(C156&lt;&gt;"Received",C156&lt;&gt;"Sold",C156&lt;&gt;"Adjustment")),"Check","OK"))</f>
        <v/>
      </c>
    </row>
    <row r="157">
      <c r="A157" s="5" t="n"/>
      <c r="F157">
        <f>IF(AND(A157="",B157="",C157="",D157=""),"",IF(OR(B157="",NOT(ISNUMBER(D157)),COUNTIF(Stock!$A$2:$A$20,B157)=0,AND(C157&lt;&gt;"Received",C157&lt;&gt;"Sold",C157&lt;&gt;"Adjustment")),"Check","OK"))</f>
        <v/>
      </c>
    </row>
    <row r="158">
      <c r="A158" s="5" t="n"/>
      <c r="F158">
        <f>IF(AND(A158="",B158="",C158="",D158=""),"",IF(OR(B158="",NOT(ISNUMBER(D158)),COUNTIF(Stock!$A$2:$A$20,B158)=0,AND(C158&lt;&gt;"Received",C158&lt;&gt;"Sold",C158&lt;&gt;"Adjustment")),"Check","OK"))</f>
        <v/>
      </c>
    </row>
    <row r="159">
      <c r="A159" s="5" t="n"/>
      <c r="F159">
        <f>IF(AND(A159="",B159="",C159="",D159=""),"",IF(OR(B159="",NOT(ISNUMBER(D159)),COUNTIF(Stock!$A$2:$A$20,B159)=0,AND(C159&lt;&gt;"Received",C159&lt;&gt;"Sold",C159&lt;&gt;"Adjustment")),"Check","OK"))</f>
        <v/>
      </c>
    </row>
    <row r="160">
      <c r="A160" s="5" t="n"/>
      <c r="F160">
        <f>IF(AND(A160="",B160="",C160="",D160=""),"",IF(OR(B160="",NOT(ISNUMBER(D160)),COUNTIF(Stock!$A$2:$A$20,B160)=0,AND(C160&lt;&gt;"Received",C160&lt;&gt;"Sold",C160&lt;&gt;"Adjustment")),"Check","OK"))</f>
        <v/>
      </c>
    </row>
    <row r="161">
      <c r="A161" s="5" t="n"/>
      <c r="F161">
        <f>IF(AND(A161="",B161="",C161="",D161=""),"",IF(OR(B161="",NOT(ISNUMBER(D161)),COUNTIF(Stock!$A$2:$A$20,B161)=0,AND(C161&lt;&gt;"Received",C161&lt;&gt;"Sold",C161&lt;&gt;"Adjustment")),"Check","OK"))</f>
        <v/>
      </c>
    </row>
    <row r="162">
      <c r="A162" s="5" t="n"/>
      <c r="F162">
        <f>IF(AND(A162="",B162="",C162="",D162=""),"",IF(OR(B162="",NOT(ISNUMBER(D162)),COUNTIF(Stock!$A$2:$A$20,B162)=0,AND(C162&lt;&gt;"Received",C162&lt;&gt;"Sold",C162&lt;&gt;"Adjustment")),"Check","OK"))</f>
        <v/>
      </c>
    </row>
    <row r="163">
      <c r="A163" s="5" t="n"/>
      <c r="F163">
        <f>IF(AND(A163="",B163="",C163="",D163=""),"",IF(OR(B163="",NOT(ISNUMBER(D163)),COUNTIF(Stock!$A$2:$A$20,B163)=0,AND(C163&lt;&gt;"Received",C163&lt;&gt;"Sold",C163&lt;&gt;"Adjustment")),"Check","OK"))</f>
        <v/>
      </c>
    </row>
    <row r="164">
      <c r="A164" s="5" t="n"/>
      <c r="F164">
        <f>IF(AND(A164="",B164="",C164="",D164=""),"",IF(OR(B164="",NOT(ISNUMBER(D164)),COUNTIF(Stock!$A$2:$A$20,B164)=0,AND(C164&lt;&gt;"Received",C164&lt;&gt;"Sold",C164&lt;&gt;"Adjustment")),"Check","OK"))</f>
        <v/>
      </c>
    </row>
    <row r="165">
      <c r="A165" s="5" t="n"/>
      <c r="F165">
        <f>IF(AND(A165="",B165="",C165="",D165=""),"",IF(OR(B165="",NOT(ISNUMBER(D165)),COUNTIF(Stock!$A$2:$A$20,B165)=0,AND(C165&lt;&gt;"Received",C165&lt;&gt;"Sold",C165&lt;&gt;"Adjustment")),"Check","OK"))</f>
        <v/>
      </c>
    </row>
    <row r="166">
      <c r="A166" s="5" t="n"/>
      <c r="F166">
        <f>IF(AND(A166="",B166="",C166="",D166=""),"",IF(OR(B166="",NOT(ISNUMBER(D166)),COUNTIF(Stock!$A$2:$A$20,B166)=0,AND(C166&lt;&gt;"Received",C166&lt;&gt;"Sold",C166&lt;&gt;"Adjustment")),"Check","OK"))</f>
        <v/>
      </c>
    </row>
    <row r="167">
      <c r="A167" s="5" t="n"/>
      <c r="F167">
        <f>IF(AND(A167="",B167="",C167="",D167=""),"",IF(OR(B167="",NOT(ISNUMBER(D167)),COUNTIF(Stock!$A$2:$A$20,B167)=0,AND(C167&lt;&gt;"Received",C167&lt;&gt;"Sold",C167&lt;&gt;"Adjustment")),"Check","OK"))</f>
        <v/>
      </c>
    </row>
    <row r="168">
      <c r="A168" s="5" t="n"/>
      <c r="F168">
        <f>IF(AND(A168="",B168="",C168="",D168=""),"",IF(OR(B168="",NOT(ISNUMBER(D168)),COUNTIF(Stock!$A$2:$A$20,B168)=0,AND(C168&lt;&gt;"Received",C168&lt;&gt;"Sold",C168&lt;&gt;"Adjustment")),"Check","OK"))</f>
        <v/>
      </c>
    </row>
    <row r="169">
      <c r="A169" s="5" t="n"/>
      <c r="F169">
        <f>IF(AND(A169="",B169="",C169="",D169=""),"",IF(OR(B169="",NOT(ISNUMBER(D169)),COUNTIF(Stock!$A$2:$A$20,B169)=0,AND(C169&lt;&gt;"Received",C169&lt;&gt;"Sold",C169&lt;&gt;"Adjustment")),"Check","OK"))</f>
        <v/>
      </c>
    </row>
    <row r="170">
      <c r="A170" s="5" t="n"/>
      <c r="F170">
        <f>IF(AND(A170="",B170="",C170="",D170=""),"",IF(OR(B170="",NOT(ISNUMBER(D170)),COUNTIF(Stock!$A$2:$A$20,B170)=0,AND(C170&lt;&gt;"Received",C170&lt;&gt;"Sold",C170&lt;&gt;"Adjustment")),"Check","OK"))</f>
        <v/>
      </c>
    </row>
    <row r="171">
      <c r="A171" s="5" t="n"/>
      <c r="F171">
        <f>IF(AND(A171="",B171="",C171="",D171=""),"",IF(OR(B171="",NOT(ISNUMBER(D171)),COUNTIF(Stock!$A$2:$A$20,B171)=0,AND(C171&lt;&gt;"Received",C171&lt;&gt;"Sold",C171&lt;&gt;"Adjustment")),"Check","OK"))</f>
        <v/>
      </c>
    </row>
    <row r="172">
      <c r="A172" s="5" t="n"/>
      <c r="F172">
        <f>IF(AND(A172="",B172="",C172="",D172=""),"",IF(OR(B172="",NOT(ISNUMBER(D172)),COUNTIF(Stock!$A$2:$A$20,B172)=0,AND(C172&lt;&gt;"Received",C172&lt;&gt;"Sold",C172&lt;&gt;"Adjustment")),"Check","OK"))</f>
        <v/>
      </c>
    </row>
    <row r="173">
      <c r="A173" s="5" t="n"/>
      <c r="F173">
        <f>IF(AND(A173="",B173="",C173="",D173=""),"",IF(OR(B173="",NOT(ISNUMBER(D173)),COUNTIF(Stock!$A$2:$A$20,B173)=0,AND(C173&lt;&gt;"Received",C173&lt;&gt;"Sold",C173&lt;&gt;"Adjustment")),"Check","OK"))</f>
        <v/>
      </c>
    </row>
    <row r="174">
      <c r="A174" s="5" t="n"/>
      <c r="F174">
        <f>IF(AND(A174="",B174="",C174="",D174=""),"",IF(OR(B174="",NOT(ISNUMBER(D174)),COUNTIF(Stock!$A$2:$A$20,B174)=0,AND(C174&lt;&gt;"Received",C174&lt;&gt;"Sold",C174&lt;&gt;"Adjustment")),"Check","OK"))</f>
        <v/>
      </c>
    </row>
    <row r="175">
      <c r="A175" s="5" t="n"/>
      <c r="F175">
        <f>IF(AND(A175="",B175="",C175="",D175=""),"",IF(OR(B175="",NOT(ISNUMBER(D175)),COUNTIF(Stock!$A$2:$A$20,B175)=0,AND(C175&lt;&gt;"Received",C175&lt;&gt;"Sold",C175&lt;&gt;"Adjustment")),"Check","OK"))</f>
        <v/>
      </c>
    </row>
    <row r="176">
      <c r="A176" s="5" t="n"/>
      <c r="F176">
        <f>IF(AND(A176="",B176="",C176="",D176=""),"",IF(OR(B176="",NOT(ISNUMBER(D176)),COUNTIF(Stock!$A$2:$A$20,B176)=0,AND(C176&lt;&gt;"Received",C176&lt;&gt;"Sold",C176&lt;&gt;"Adjustment")),"Check","OK"))</f>
        <v/>
      </c>
    </row>
    <row r="177">
      <c r="A177" s="5" t="n"/>
      <c r="F177">
        <f>IF(AND(A177="",B177="",C177="",D177=""),"",IF(OR(B177="",NOT(ISNUMBER(D177)),COUNTIF(Stock!$A$2:$A$20,B177)=0,AND(C177&lt;&gt;"Received",C177&lt;&gt;"Sold",C177&lt;&gt;"Adjustment")),"Check","OK"))</f>
        <v/>
      </c>
    </row>
    <row r="178">
      <c r="A178" s="5" t="n"/>
      <c r="F178">
        <f>IF(AND(A178="",B178="",C178="",D178=""),"",IF(OR(B178="",NOT(ISNUMBER(D178)),COUNTIF(Stock!$A$2:$A$20,B178)=0,AND(C178&lt;&gt;"Received",C178&lt;&gt;"Sold",C178&lt;&gt;"Adjustment")),"Check","OK"))</f>
        <v/>
      </c>
    </row>
    <row r="179">
      <c r="A179" s="5" t="n"/>
      <c r="F179">
        <f>IF(AND(A179="",B179="",C179="",D179=""),"",IF(OR(B179="",NOT(ISNUMBER(D179)),COUNTIF(Stock!$A$2:$A$20,B179)=0,AND(C179&lt;&gt;"Received",C179&lt;&gt;"Sold",C179&lt;&gt;"Adjustment")),"Check","OK"))</f>
        <v/>
      </c>
    </row>
    <row r="180">
      <c r="A180" s="5" t="n"/>
      <c r="F180">
        <f>IF(AND(A180="",B180="",C180="",D180=""),"",IF(OR(B180="",NOT(ISNUMBER(D180)),COUNTIF(Stock!$A$2:$A$20,B180)=0,AND(C180&lt;&gt;"Received",C180&lt;&gt;"Sold",C180&lt;&gt;"Adjustment")),"Check","OK"))</f>
        <v/>
      </c>
    </row>
    <row r="181">
      <c r="A181" s="5" t="n"/>
      <c r="F181">
        <f>IF(AND(A181="",B181="",C181="",D181=""),"",IF(OR(B181="",NOT(ISNUMBER(D181)),COUNTIF(Stock!$A$2:$A$20,B181)=0,AND(C181&lt;&gt;"Received",C181&lt;&gt;"Sold",C181&lt;&gt;"Adjustment")),"Check","OK"))</f>
        <v/>
      </c>
    </row>
    <row r="182">
      <c r="A182" s="5" t="n"/>
      <c r="F182">
        <f>IF(AND(A182="",B182="",C182="",D182=""),"",IF(OR(B182="",NOT(ISNUMBER(D182)),COUNTIF(Stock!$A$2:$A$20,B182)=0,AND(C182&lt;&gt;"Received",C182&lt;&gt;"Sold",C182&lt;&gt;"Adjustment")),"Check","OK"))</f>
        <v/>
      </c>
    </row>
    <row r="183">
      <c r="A183" s="5" t="n"/>
      <c r="F183">
        <f>IF(AND(A183="",B183="",C183="",D183=""),"",IF(OR(B183="",NOT(ISNUMBER(D183)),COUNTIF(Stock!$A$2:$A$20,B183)=0,AND(C183&lt;&gt;"Received",C183&lt;&gt;"Sold",C183&lt;&gt;"Adjustment")),"Check","OK"))</f>
        <v/>
      </c>
    </row>
    <row r="184">
      <c r="A184" s="5" t="n"/>
      <c r="F184">
        <f>IF(AND(A184="",B184="",C184="",D184=""),"",IF(OR(B184="",NOT(ISNUMBER(D184)),COUNTIF(Stock!$A$2:$A$20,B184)=0,AND(C184&lt;&gt;"Received",C184&lt;&gt;"Sold",C184&lt;&gt;"Adjustment")),"Check","OK"))</f>
        <v/>
      </c>
    </row>
    <row r="185">
      <c r="A185" s="5" t="n"/>
      <c r="F185">
        <f>IF(AND(A185="",B185="",C185="",D185=""),"",IF(OR(B185="",NOT(ISNUMBER(D185)),COUNTIF(Stock!$A$2:$A$20,B185)=0,AND(C185&lt;&gt;"Received",C185&lt;&gt;"Sold",C185&lt;&gt;"Adjustment")),"Check","OK"))</f>
        <v/>
      </c>
    </row>
    <row r="186">
      <c r="A186" s="5" t="n"/>
      <c r="F186">
        <f>IF(AND(A186="",B186="",C186="",D186=""),"",IF(OR(B186="",NOT(ISNUMBER(D186)),COUNTIF(Stock!$A$2:$A$20,B186)=0,AND(C186&lt;&gt;"Received",C186&lt;&gt;"Sold",C186&lt;&gt;"Adjustment")),"Check","OK"))</f>
        <v/>
      </c>
    </row>
    <row r="187">
      <c r="A187" s="5" t="n"/>
      <c r="F187">
        <f>IF(AND(A187="",B187="",C187="",D187=""),"",IF(OR(B187="",NOT(ISNUMBER(D187)),COUNTIF(Stock!$A$2:$A$20,B187)=0,AND(C187&lt;&gt;"Received",C187&lt;&gt;"Sold",C187&lt;&gt;"Adjustment")),"Check","OK"))</f>
        <v/>
      </c>
    </row>
    <row r="188">
      <c r="A188" s="5" t="n"/>
      <c r="F188">
        <f>IF(AND(A188="",B188="",C188="",D188=""),"",IF(OR(B188="",NOT(ISNUMBER(D188)),COUNTIF(Stock!$A$2:$A$20,B188)=0,AND(C188&lt;&gt;"Received",C188&lt;&gt;"Sold",C188&lt;&gt;"Adjustment")),"Check","OK"))</f>
        <v/>
      </c>
    </row>
    <row r="189">
      <c r="A189" s="5" t="n"/>
      <c r="F189">
        <f>IF(AND(A189="",B189="",C189="",D189=""),"",IF(OR(B189="",NOT(ISNUMBER(D189)),COUNTIF(Stock!$A$2:$A$20,B189)=0,AND(C189&lt;&gt;"Received",C189&lt;&gt;"Sold",C189&lt;&gt;"Adjustment")),"Check","OK"))</f>
        <v/>
      </c>
    </row>
    <row r="190">
      <c r="A190" s="5" t="n"/>
      <c r="F190">
        <f>IF(AND(A190="",B190="",C190="",D190=""),"",IF(OR(B190="",NOT(ISNUMBER(D190)),COUNTIF(Stock!$A$2:$A$20,B190)=0,AND(C190&lt;&gt;"Received",C190&lt;&gt;"Sold",C190&lt;&gt;"Adjustment")),"Check","OK"))</f>
        <v/>
      </c>
    </row>
    <row r="191">
      <c r="A191" s="5" t="n"/>
      <c r="F191">
        <f>IF(AND(A191="",B191="",C191="",D191=""),"",IF(OR(B191="",NOT(ISNUMBER(D191)),COUNTIF(Stock!$A$2:$A$20,B191)=0,AND(C191&lt;&gt;"Received",C191&lt;&gt;"Sold",C191&lt;&gt;"Adjustment")),"Check","OK"))</f>
        <v/>
      </c>
    </row>
    <row r="192">
      <c r="A192" s="5" t="n"/>
      <c r="F192">
        <f>IF(AND(A192="",B192="",C192="",D192=""),"",IF(OR(B192="",NOT(ISNUMBER(D192)),COUNTIF(Stock!$A$2:$A$20,B192)=0,AND(C192&lt;&gt;"Received",C192&lt;&gt;"Sold",C192&lt;&gt;"Adjustment")),"Check","OK"))</f>
        <v/>
      </c>
    </row>
    <row r="193">
      <c r="A193" s="5" t="n"/>
      <c r="F193">
        <f>IF(AND(A193="",B193="",C193="",D193=""),"",IF(OR(B193="",NOT(ISNUMBER(D193)),COUNTIF(Stock!$A$2:$A$20,B193)=0,AND(C193&lt;&gt;"Received",C193&lt;&gt;"Sold",C193&lt;&gt;"Adjustment")),"Check","OK"))</f>
        <v/>
      </c>
    </row>
    <row r="194">
      <c r="A194" s="5" t="n"/>
      <c r="F194">
        <f>IF(AND(A194="",B194="",C194="",D194=""),"",IF(OR(B194="",NOT(ISNUMBER(D194)),COUNTIF(Stock!$A$2:$A$20,B194)=0,AND(C194&lt;&gt;"Received",C194&lt;&gt;"Sold",C194&lt;&gt;"Adjustment")),"Check","OK"))</f>
        <v/>
      </c>
    </row>
    <row r="195">
      <c r="A195" s="5" t="n"/>
      <c r="F195">
        <f>IF(AND(A195="",B195="",C195="",D195=""),"",IF(OR(B195="",NOT(ISNUMBER(D195)),COUNTIF(Stock!$A$2:$A$20,B195)=0,AND(C195&lt;&gt;"Received",C195&lt;&gt;"Sold",C195&lt;&gt;"Adjustment")),"Check","OK"))</f>
        <v/>
      </c>
    </row>
    <row r="196">
      <c r="A196" s="5" t="n"/>
      <c r="F196">
        <f>IF(AND(A196="",B196="",C196="",D196=""),"",IF(OR(B196="",NOT(ISNUMBER(D196)),COUNTIF(Stock!$A$2:$A$20,B196)=0,AND(C196&lt;&gt;"Received",C196&lt;&gt;"Sold",C196&lt;&gt;"Adjustment")),"Check","OK"))</f>
        <v/>
      </c>
    </row>
    <row r="197">
      <c r="A197" s="5" t="n"/>
      <c r="F197">
        <f>IF(AND(A197="",B197="",C197="",D197=""),"",IF(OR(B197="",NOT(ISNUMBER(D197)),COUNTIF(Stock!$A$2:$A$20,B197)=0,AND(C197&lt;&gt;"Received",C197&lt;&gt;"Sold",C197&lt;&gt;"Adjustment")),"Check","OK"))</f>
        <v/>
      </c>
    </row>
    <row r="198">
      <c r="A198" s="5" t="n"/>
      <c r="F198">
        <f>IF(AND(A198="",B198="",C198="",D198=""),"",IF(OR(B198="",NOT(ISNUMBER(D198)),COUNTIF(Stock!$A$2:$A$20,B198)=0,AND(C198&lt;&gt;"Received",C198&lt;&gt;"Sold",C198&lt;&gt;"Adjustment")),"Check","OK"))</f>
        <v/>
      </c>
    </row>
    <row r="199">
      <c r="A199" s="5" t="n"/>
      <c r="F199">
        <f>IF(AND(A199="",B199="",C199="",D199=""),"",IF(OR(B199="",NOT(ISNUMBER(D199)),COUNTIF(Stock!$A$2:$A$20,B199)=0,AND(C199&lt;&gt;"Received",C199&lt;&gt;"Sold",C199&lt;&gt;"Adjustment")),"Check","OK"))</f>
        <v/>
      </c>
    </row>
    <row r="200">
      <c r="A200" s="5" t="n"/>
      <c r="F200">
        <f>IF(AND(A200="",B200="",C200="",D200=""),"",IF(OR(B200="",NOT(ISNUMBER(D200)),COUNTIF(Stock!$A$2:$A$20,B200)=0,AND(C200&lt;&gt;"Received",C200&lt;&gt;"Sold",C200&lt;&gt;"Adjustment")),"Check","OK"))</f>
        <v/>
      </c>
    </row>
    <row r="201">
      <c r="A201" s="5" t="n"/>
      <c r="F201">
        <f>IF(AND(A201="",B201="",C201="",D201=""),"",IF(OR(B201="",NOT(ISNUMBER(D201)),COUNTIF(Stock!$A$2:$A$20,B201)=0,AND(C201&lt;&gt;"Received",C201&lt;&gt;"Sold",C201&lt;&gt;"Adjustment")),"Check","OK"))</f>
        <v/>
      </c>
    </row>
    <row r="202">
      <c r="A202" s="5" t="n"/>
      <c r="F202">
        <f>IF(AND(A202="",B202="",C202="",D202=""),"",IF(OR(B202="",NOT(ISNUMBER(D202)),COUNTIF(Stock!$A$2:$A$20,B202)=0,AND(C202&lt;&gt;"Received",C202&lt;&gt;"Sold",C202&lt;&gt;"Adjustment")),"Check","OK"))</f>
        <v/>
      </c>
    </row>
    <row r="203">
      <c r="A203" s="5" t="n"/>
      <c r="F203">
        <f>IF(AND(A203="",B203="",C203="",D203=""),"",IF(OR(B203="",NOT(ISNUMBER(D203)),COUNTIF(Stock!$A$2:$A$20,B203)=0,AND(C203&lt;&gt;"Received",C203&lt;&gt;"Sold",C203&lt;&gt;"Adjustment")),"Check","OK"))</f>
        <v/>
      </c>
    </row>
    <row r="204">
      <c r="A204" s="5" t="n"/>
      <c r="F204">
        <f>IF(AND(A204="",B204="",C204="",D204=""),"",IF(OR(B204="",NOT(ISNUMBER(D204)),COUNTIF(Stock!$A$2:$A$20,B204)=0,AND(C204&lt;&gt;"Received",C204&lt;&gt;"Sold",C204&lt;&gt;"Adjustment")),"Check","OK"))</f>
        <v/>
      </c>
    </row>
    <row r="205">
      <c r="A205" s="5" t="n"/>
      <c r="F205">
        <f>IF(AND(A205="",B205="",C205="",D205=""),"",IF(OR(B205="",NOT(ISNUMBER(D205)),COUNTIF(Stock!$A$2:$A$20,B205)=0,AND(C205&lt;&gt;"Received",C205&lt;&gt;"Sold",C205&lt;&gt;"Adjustment")),"Check","OK"))</f>
        <v/>
      </c>
    </row>
    <row r="206">
      <c r="A206" s="5" t="n"/>
      <c r="F206">
        <f>IF(AND(A206="",B206="",C206="",D206=""),"",IF(OR(B206="",NOT(ISNUMBER(D206)),COUNTIF(Stock!$A$2:$A$20,B206)=0,AND(C206&lt;&gt;"Received",C206&lt;&gt;"Sold",C206&lt;&gt;"Adjustment")),"Check","OK"))</f>
        <v/>
      </c>
    </row>
    <row r="207">
      <c r="A207" s="5" t="n"/>
      <c r="F207">
        <f>IF(AND(A207="",B207="",C207="",D207=""),"",IF(OR(B207="",NOT(ISNUMBER(D207)),COUNTIF(Stock!$A$2:$A$20,B207)=0,AND(C207&lt;&gt;"Received",C207&lt;&gt;"Sold",C207&lt;&gt;"Adjustment")),"Check","OK"))</f>
        <v/>
      </c>
    </row>
    <row r="208">
      <c r="A208" s="5" t="n"/>
      <c r="F208">
        <f>IF(AND(A208="",B208="",C208="",D208=""),"",IF(OR(B208="",NOT(ISNUMBER(D208)),COUNTIF(Stock!$A$2:$A$20,B208)=0,AND(C208&lt;&gt;"Received",C208&lt;&gt;"Sold",C208&lt;&gt;"Adjustment")),"Check","OK"))</f>
        <v/>
      </c>
    </row>
    <row r="209">
      <c r="A209" s="5" t="n"/>
      <c r="F209">
        <f>IF(AND(A209="",B209="",C209="",D209=""),"",IF(OR(B209="",NOT(ISNUMBER(D209)),COUNTIF(Stock!$A$2:$A$20,B209)=0,AND(C209&lt;&gt;"Received",C209&lt;&gt;"Sold",C209&lt;&gt;"Adjustment")),"Check","OK"))</f>
        <v/>
      </c>
    </row>
    <row r="210">
      <c r="A210" s="5" t="n"/>
      <c r="F210">
        <f>IF(AND(A210="",B210="",C210="",D210=""),"",IF(OR(B210="",NOT(ISNUMBER(D210)),COUNTIF(Stock!$A$2:$A$20,B210)=0,AND(C210&lt;&gt;"Received",C210&lt;&gt;"Sold",C210&lt;&gt;"Adjustment")),"Check","OK"))</f>
        <v/>
      </c>
    </row>
    <row r="211">
      <c r="A211" s="5" t="n"/>
      <c r="F211">
        <f>IF(AND(A211="",B211="",C211="",D211=""),"",IF(OR(B211="",NOT(ISNUMBER(D211)),COUNTIF(Stock!$A$2:$A$20,B211)=0,AND(C211&lt;&gt;"Received",C211&lt;&gt;"Sold",C211&lt;&gt;"Adjustment")),"Check","OK"))</f>
        <v/>
      </c>
    </row>
    <row r="212">
      <c r="A212" s="5" t="n"/>
      <c r="F212">
        <f>IF(AND(A212="",B212="",C212="",D212=""),"",IF(OR(B212="",NOT(ISNUMBER(D212)),COUNTIF(Stock!$A$2:$A$20,B212)=0,AND(C212&lt;&gt;"Received",C212&lt;&gt;"Sold",C212&lt;&gt;"Adjustment")),"Check","OK"))</f>
        <v/>
      </c>
    </row>
    <row r="213">
      <c r="A213" s="5" t="n"/>
      <c r="F213">
        <f>IF(AND(A213="",B213="",C213="",D213=""),"",IF(OR(B213="",NOT(ISNUMBER(D213)),COUNTIF(Stock!$A$2:$A$20,B213)=0,AND(C213&lt;&gt;"Received",C213&lt;&gt;"Sold",C213&lt;&gt;"Adjustment")),"Check","OK"))</f>
        <v/>
      </c>
    </row>
    <row r="214">
      <c r="A214" s="5" t="n"/>
      <c r="F214">
        <f>IF(AND(A214="",B214="",C214="",D214=""),"",IF(OR(B214="",NOT(ISNUMBER(D214)),COUNTIF(Stock!$A$2:$A$20,B214)=0,AND(C214&lt;&gt;"Received",C214&lt;&gt;"Sold",C214&lt;&gt;"Adjustment")),"Check","OK"))</f>
        <v/>
      </c>
    </row>
    <row r="215">
      <c r="A215" s="5" t="n"/>
      <c r="F215">
        <f>IF(AND(A215="",B215="",C215="",D215=""),"",IF(OR(B215="",NOT(ISNUMBER(D215)),COUNTIF(Stock!$A$2:$A$20,B215)=0,AND(C215&lt;&gt;"Received",C215&lt;&gt;"Sold",C215&lt;&gt;"Adjustment")),"Check","OK"))</f>
        <v/>
      </c>
    </row>
    <row r="216">
      <c r="A216" s="5" t="n"/>
      <c r="F216">
        <f>IF(AND(A216="",B216="",C216="",D216=""),"",IF(OR(B216="",NOT(ISNUMBER(D216)),COUNTIF(Stock!$A$2:$A$20,B216)=0,AND(C216&lt;&gt;"Received",C216&lt;&gt;"Sold",C216&lt;&gt;"Adjustment")),"Check","OK"))</f>
        <v/>
      </c>
    </row>
    <row r="217">
      <c r="A217" s="5" t="n"/>
      <c r="F217">
        <f>IF(AND(A217="",B217="",C217="",D217=""),"",IF(OR(B217="",NOT(ISNUMBER(D217)),COUNTIF(Stock!$A$2:$A$20,B217)=0,AND(C217&lt;&gt;"Received",C217&lt;&gt;"Sold",C217&lt;&gt;"Adjustment")),"Check","OK"))</f>
        <v/>
      </c>
    </row>
    <row r="218">
      <c r="A218" s="5" t="n"/>
      <c r="F218">
        <f>IF(AND(A218="",B218="",C218="",D218=""),"",IF(OR(B218="",NOT(ISNUMBER(D218)),COUNTIF(Stock!$A$2:$A$20,B218)=0,AND(C218&lt;&gt;"Received",C218&lt;&gt;"Sold",C218&lt;&gt;"Adjustment")),"Check","OK"))</f>
        <v/>
      </c>
    </row>
    <row r="219">
      <c r="A219" s="5" t="n"/>
      <c r="F219">
        <f>IF(AND(A219="",B219="",C219="",D219=""),"",IF(OR(B219="",NOT(ISNUMBER(D219)),COUNTIF(Stock!$A$2:$A$20,B219)=0,AND(C219&lt;&gt;"Received",C219&lt;&gt;"Sold",C219&lt;&gt;"Adjustment")),"Check","OK"))</f>
        <v/>
      </c>
    </row>
    <row r="220">
      <c r="A220" s="5" t="n"/>
      <c r="F220">
        <f>IF(AND(A220="",B220="",C220="",D220=""),"",IF(OR(B220="",NOT(ISNUMBER(D220)),COUNTIF(Stock!$A$2:$A$20,B220)=0,AND(C220&lt;&gt;"Received",C220&lt;&gt;"Sold",C220&lt;&gt;"Adjustment")),"Check","OK"))</f>
        <v/>
      </c>
    </row>
    <row r="221">
      <c r="A221" s="5" t="n"/>
      <c r="F221">
        <f>IF(AND(A221="",B221="",C221="",D221=""),"",IF(OR(B221="",NOT(ISNUMBER(D221)),COUNTIF(Stock!$A$2:$A$20,B221)=0,AND(C221&lt;&gt;"Received",C221&lt;&gt;"Sold",C221&lt;&gt;"Adjustment")),"Check","OK"))</f>
        <v/>
      </c>
    </row>
    <row r="222">
      <c r="A222" s="5" t="n"/>
      <c r="F222">
        <f>IF(AND(A222="",B222="",C222="",D222=""),"",IF(OR(B222="",NOT(ISNUMBER(D222)),COUNTIF(Stock!$A$2:$A$20,B222)=0,AND(C222&lt;&gt;"Received",C222&lt;&gt;"Sold",C222&lt;&gt;"Adjustment")),"Check","OK"))</f>
        <v/>
      </c>
    </row>
    <row r="223">
      <c r="A223" s="5" t="n"/>
      <c r="F223">
        <f>IF(AND(A223="",B223="",C223="",D223=""),"",IF(OR(B223="",NOT(ISNUMBER(D223)),COUNTIF(Stock!$A$2:$A$20,B223)=0,AND(C223&lt;&gt;"Received",C223&lt;&gt;"Sold",C223&lt;&gt;"Adjustment")),"Check","OK"))</f>
        <v/>
      </c>
    </row>
    <row r="224">
      <c r="A224" s="5" t="n"/>
      <c r="F224">
        <f>IF(AND(A224="",B224="",C224="",D224=""),"",IF(OR(B224="",NOT(ISNUMBER(D224)),COUNTIF(Stock!$A$2:$A$20,B224)=0,AND(C224&lt;&gt;"Received",C224&lt;&gt;"Sold",C224&lt;&gt;"Adjustment")),"Check","OK"))</f>
        <v/>
      </c>
    </row>
    <row r="225">
      <c r="A225" s="5" t="n"/>
      <c r="F225">
        <f>IF(AND(A225="",B225="",C225="",D225=""),"",IF(OR(B225="",NOT(ISNUMBER(D225)),COUNTIF(Stock!$A$2:$A$20,B225)=0,AND(C225&lt;&gt;"Received",C225&lt;&gt;"Sold",C225&lt;&gt;"Adjustment")),"Check","OK"))</f>
        <v/>
      </c>
    </row>
    <row r="226">
      <c r="A226" s="5" t="n"/>
      <c r="F226">
        <f>IF(AND(A226="",B226="",C226="",D226=""),"",IF(OR(B226="",NOT(ISNUMBER(D226)),COUNTIF(Stock!$A$2:$A$20,B226)=0,AND(C226&lt;&gt;"Received",C226&lt;&gt;"Sold",C226&lt;&gt;"Adjustment")),"Check","OK"))</f>
        <v/>
      </c>
    </row>
    <row r="227">
      <c r="A227" s="5" t="n"/>
      <c r="F227">
        <f>IF(AND(A227="",B227="",C227="",D227=""),"",IF(OR(B227="",NOT(ISNUMBER(D227)),COUNTIF(Stock!$A$2:$A$20,B227)=0,AND(C227&lt;&gt;"Received",C227&lt;&gt;"Sold",C227&lt;&gt;"Adjustment")),"Check","OK"))</f>
        <v/>
      </c>
    </row>
    <row r="228">
      <c r="A228" s="5" t="n"/>
      <c r="F228">
        <f>IF(AND(A228="",B228="",C228="",D228=""),"",IF(OR(B228="",NOT(ISNUMBER(D228)),COUNTIF(Stock!$A$2:$A$20,B228)=0,AND(C228&lt;&gt;"Received",C228&lt;&gt;"Sold",C228&lt;&gt;"Adjustment")),"Check","OK"))</f>
        <v/>
      </c>
    </row>
    <row r="229">
      <c r="A229" s="5" t="n"/>
      <c r="F229">
        <f>IF(AND(A229="",B229="",C229="",D229=""),"",IF(OR(B229="",NOT(ISNUMBER(D229)),COUNTIF(Stock!$A$2:$A$20,B229)=0,AND(C229&lt;&gt;"Received",C229&lt;&gt;"Sold",C229&lt;&gt;"Adjustment")),"Check","OK"))</f>
        <v/>
      </c>
    </row>
    <row r="230">
      <c r="A230" s="5" t="n"/>
      <c r="F230">
        <f>IF(AND(A230="",B230="",C230="",D230=""),"",IF(OR(B230="",NOT(ISNUMBER(D230)),COUNTIF(Stock!$A$2:$A$20,B230)=0,AND(C230&lt;&gt;"Received",C230&lt;&gt;"Sold",C230&lt;&gt;"Adjustment")),"Check","OK"))</f>
        <v/>
      </c>
    </row>
    <row r="231">
      <c r="A231" s="5" t="n"/>
      <c r="F231">
        <f>IF(AND(A231="",B231="",C231="",D231=""),"",IF(OR(B231="",NOT(ISNUMBER(D231)),COUNTIF(Stock!$A$2:$A$20,B231)=0,AND(C231&lt;&gt;"Received",C231&lt;&gt;"Sold",C231&lt;&gt;"Adjustment")),"Check","OK"))</f>
        <v/>
      </c>
    </row>
    <row r="232">
      <c r="A232" s="5" t="n"/>
      <c r="F232">
        <f>IF(AND(A232="",B232="",C232="",D232=""),"",IF(OR(B232="",NOT(ISNUMBER(D232)),COUNTIF(Stock!$A$2:$A$20,B232)=0,AND(C232&lt;&gt;"Received",C232&lt;&gt;"Sold",C232&lt;&gt;"Adjustment")),"Check","OK"))</f>
        <v/>
      </c>
    </row>
    <row r="233">
      <c r="A233" s="5" t="n"/>
      <c r="F233">
        <f>IF(AND(A233="",B233="",C233="",D233=""),"",IF(OR(B233="",NOT(ISNUMBER(D233)),COUNTIF(Stock!$A$2:$A$20,B233)=0,AND(C233&lt;&gt;"Received",C233&lt;&gt;"Sold",C233&lt;&gt;"Adjustment")),"Check","OK"))</f>
        <v/>
      </c>
    </row>
    <row r="234">
      <c r="A234" s="5" t="n"/>
      <c r="F234">
        <f>IF(AND(A234="",B234="",C234="",D234=""),"",IF(OR(B234="",NOT(ISNUMBER(D234)),COUNTIF(Stock!$A$2:$A$20,B234)=0,AND(C234&lt;&gt;"Received",C234&lt;&gt;"Sold",C234&lt;&gt;"Adjustment")),"Check","OK"))</f>
        <v/>
      </c>
    </row>
    <row r="235">
      <c r="A235" s="5" t="n"/>
      <c r="F235">
        <f>IF(AND(A235="",B235="",C235="",D235=""),"",IF(OR(B235="",NOT(ISNUMBER(D235)),COUNTIF(Stock!$A$2:$A$20,B235)=0,AND(C235&lt;&gt;"Received",C235&lt;&gt;"Sold",C235&lt;&gt;"Adjustment")),"Check","OK"))</f>
        <v/>
      </c>
    </row>
    <row r="236">
      <c r="A236" s="5" t="n"/>
      <c r="F236">
        <f>IF(AND(A236="",B236="",C236="",D236=""),"",IF(OR(B236="",NOT(ISNUMBER(D236)),COUNTIF(Stock!$A$2:$A$20,B236)=0,AND(C236&lt;&gt;"Received",C236&lt;&gt;"Sold",C236&lt;&gt;"Adjustment")),"Check","OK"))</f>
        <v/>
      </c>
    </row>
    <row r="237">
      <c r="A237" s="5" t="n"/>
      <c r="F237">
        <f>IF(AND(A237="",B237="",C237="",D237=""),"",IF(OR(B237="",NOT(ISNUMBER(D237)),COUNTIF(Stock!$A$2:$A$20,B237)=0,AND(C237&lt;&gt;"Received",C237&lt;&gt;"Sold",C237&lt;&gt;"Adjustment")),"Check","OK"))</f>
        <v/>
      </c>
    </row>
    <row r="238">
      <c r="A238" s="5" t="n"/>
      <c r="F238">
        <f>IF(AND(A238="",B238="",C238="",D238=""),"",IF(OR(B238="",NOT(ISNUMBER(D238)),COUNTIF(Stock!$A$2:$A$20,B238)=0,AND(C238&lt;&gt;"Received",C238&lt;&gt;"Sold",C238&lt;&gt;"Adjustment")),"Check","OK"))</f>
        <v/>
      </c>
    </row>
    <row r="239">
      <c r="A239" s="5" t="n"/>
      <c r="F239">
        <f>IF(AND(A239="",B239="",C239="",D239=""),"",IF(OR(B239="",NOT(ISNUMBER(D239)),COUNTIF(Stock!$A$2:$A$20,B239)=0,AND(C239&lt;&gt;"Received",C239&lt;&gt;"Sold",C239&lt;&gt;"Adjustment")),"Check","OK"))</f>
        <v/>
      </c>
    </row>
    <row r="240">
      <c r="A240" s="5" t="n"/>
      <c r="F240">
        <f>IF(AND(A240="",B240="",C240="",D240=""),"",IF(OR(B240="",NOT(ISNUMBER(D240)),COUNTIF(Stock!$A$2:$A$20,B240)=0,AND(C240&lt;&gt;"Received",C240&lt;&gt;"Sold",C240&lt;&gt;"Adjustment")),"Check","OK"))</f>
        <v/>
      </c>
    </row>
    <row r="241">
      <c r="A241" s="5" t="n"/>
      <c r="F241">
        <f>IF(AND(A241="",B241="",C241="",D241=""),"",IF(OR(B241="",NOT(ISNUMBER(D241)),COUNTIF(Stock!$A$2:$A$20,B241)=0,AND(C241&lt;&gt;"Received",C241&lt;&gt;"Sold",C241&lt;&gt;"Adjustment")),"Check","OK"))</f>
        <v/>
      </c>
    </row>
    <row r="242">
      <c r="A242" s="5" t="n"/>
      <c r="F242">
        <f>IF(AND(A242="",B242="",C242="",D242=""),"",IF(OR(B242="",NOT(ISNUMBER(D242)),COUNTIF(Stock!$A$2:$A$20,B242)=0,AND(C242&lt;&gt;"Received",C242&lt;&gt;"Sold",C242&lt;&gt;"Adjustment")),"Check","OK"))</f>
        <v/>
      </c>
    </row>
    <row r="243">
      <c r="A243" s="5" t="n"/>
      <c r="F243">
        <f>IF(AND(A243="",B243="",C243="",D243=""),"",IF(OR(B243="",NOT(ISNUMBER(D243)),COUNTIF(Stock!$A$2:$A$20,B243)=0,AND(C243&lt;&gt;"Received",C243&lt;&gt;"Sold",C243&lt;&gt;"Adjustment")),"Check","OK"))</f>
        <v/>
      </c>
    </row>
    <row r="244">
      <c r="A244" s="5" t="n"/>
      <c r="F244">
        <f>IF(AND(A244="",B244="",C244="",D244=""),"",IF(OR(B244="",NOT(ISNUMBER(D244)),COUNTIF(Stock!$A$2:$A$20,B244)=0,AND(C244&lt;&gt;"Received",C244&lt;&gt;"Sold",C244&lt;&gt;"Adjustment")),"Check","OK"))</f>
        <v/>
      </c>
    </row>
    <row r="245">
      <c r="A245" s="5" t="n"/>
      <c r="F245">
        <f>IF(AND(A245="",B245="",C245="",D245=""),"",IF(OR(B245="",NOT(ISNUMBER(D245)),COUNTIF(Stock!$A$2:$A$20,B245)=0,AND(C245&lt;&gt;"Received",C245&lt;&gt;"Sold",C245&lt;&gt;"Adjustment")),"Check","OK"))</f>
        <v/>
      </c>
    </row>
    <row r="246">
      <c r="A246" s="5" t="n"/>
      <c r="F246">
        <f>IF(AND(A246="",B246="",C246="",D246=""),"",IF(OR(B246="",NOT(ISNUMBER(D246)),COUNTIF(Stock!$A$2:$A$20,B246)=0,AND(C246&lt;&gt;"Received",C246&lt;&gt;"Sold",C246&lt;&gt;"Adjustment")),"Check","OK"))</f>
        <v/>
      </c>
    </row>
    <row r="247">
      <c r="A247" s="5" t="n"/>
      <c r="F247">
        <f>IF(AND(A247="",B247="",C247="",D247=""),"",IF(OR(B247="",NOT(ISNUMBER(D247)),COUNTIF(Stock!$A$2:$A$20,B247)=0,AND(C247&lt;&gt;"Received",C247&lt;&gt;"Sold",C247&lt;&gt;"Adjustment")),"Check","OK"))</f>
        <v/>
      </c>
    </row>
    <row r="248">
      <c r="A248" s="5" t="n"/>
      <c r="F248">
        <f>IF(AND(A248="",B248="",C248="",D248=""),"",IF(OR(B248="",NOT(ISNUMBER(D248)),COUNTIF(Stock!$A$2:$A$20,B248)=0,AND(C248&lt;&gt;"Received",C248&lt;&gt;"Sold",C248&lt;&gt;"Adjustment")),"Check","OK"))</f>
        <v/>
      </c>
    </row>
    <row r="249">
      <c r="A249" s="5" t="n"/>
      <c r="F249">
        <f>IF(AND(A249="",B249="",C249="",D249=""),"",IF(OR(B249="",NOT(ISNUMBER(D249)),COUNTIF(Stock!$A$2:$A$20,B249)=0,AND(C249&lt;&gt;"Received",C249&lt;&gt;"Sold",C249&lt;&gt;"Adjustment")),"Check","OK"))</f>
        <v/>
      </c>
    </row>
    <row r="250">
      <c r="A250" s="5" t="n"/>
      <c r="F250">
        <f>IF(AND(A250="",B250="",C250="",D250=""),"",IF(OR(B250="",NOT(ISNUMBER(D250)),COUNTIF(Stock!$A$2:$A$20,B250)=0,AND(C250&lt;&gt;"Received",C250&lt;&gt;"Sold",C250&lt;&gt;"Adjustment")),"Check","OK"))</f>
        <v/>
      </c>
    </row>
    <row r="251">
      <c r="A251" s="5" t="n"/>
      <c r="F251">
        <f>IF(AND(A251="",B251="",C251="",D251=""),"",IF(OR(B251="",NOT(ISNUMBER(D251)),COUNTIF(Stock!$A$2:$A$20,B251)=0,AND(C251&lt;&gt;"Received",C251&lt;&gt;"Sold",C251&lt;&gt;"Adjustment")),"Check","OK"))</f>
        <v/>
      </c>
    </row>
    <row r="252">
      <c r="A252" s="5" t="n"/>
      <c r="F252">
        <f>IF(AND(A252="",B252="",C252="",D252=""),"",IF(OR(B252="",NOT(ISNUMBER(D252)),COUNTIF(Stock!$A$2:$A$20,B252)=0,AND(C252&lt;&gt;"Received",C252&lt;&gt;"Sold",C252&lt;&gt;"Adjustment")),"Check","OK"))</f>
        <v/>
      </c>
    </row>
    <row r="253">
      <c r="A253" s="5" t="n"/>
      <c r="F253">
        <f>IF(AND(A253="",B253="",C253="",D253=""),"",IF(OR(B253="",NOT(ISNUMBER(D253)),COUNTIF(Stock!$A$2:$A$20,B253)=0,AND(C253&lt;&gt;"Received",C253&lt;&gt;"Sold",C253&lt;&gt;"Adjustment")),"Check","OK"))</f>
        <v/>
      </c>
    </row>
    <row r="254">
      <c r="A254" s="5" t="n"/>
      <c r="F254">
        <f>IF(AND(A254="",B254="",C254="",D254=""),"",IF(OR(B254="",NOT(ISNUMBER(D254)),COUNTIF(Stock!$A$2:$A$20,B254)=0,AND(C254&lt;&gt;"Received",C254&lt;&gt;"Sold",C254&lt;&gt;"Adjustment")),"Check","OK"))</f>
        <v/>
      </c>
    </row>
    <row r="255">
      <c r="A255" s="5" t="n"/>
      <c r="F255">
        <f>IF(AND(A255="",B255="",C255="",D255=""),"",IF(OR(B255="",NOT(ISNUMBER(D255)),COUNTIF(Stock!$A$2:$A$20,B255)=0,AND(C255&lt;&gt;"Received",C255&lt;&gt;"Sold",C255&lt;&gt;"Adjustment")),"Check","OK"))</f>
        <v/>
      </c>
    </row>
    <row r="256">
      <c r="A256" s="5" t="n"/>
      <c r="F256">
        <f>IF(AND(A256="",B256="",C256="",D256=""),"",IF(OR(B256="",NOT(ISNUMBER(D256)),COUNTIF(Stock!$A$2:$A$20,B256)=0,AND(C256&lt;&gt;"Received",C256&lt;&gt;"Sold",C256&lt;&gt;"Adjustment")),"Check","OK"))</f>
        <v/>
      </c>
    </row>
    <row r="257">
      <c r="A257" s="5" t="n"/>
      <c r="F257">
        <f>IF(AND(A257="",B257="",C257="",D257=""),"",IF(OR(B257="",NOT(ISNUMBER(D257)),COUNTIF(Stock!$A$2:$A$20,B257)=0,AND(C257&lt;&gt;"Received",C257&lt;&gt;"Sold",C257&lt;&gt;"Adjustment")),"Check","OK"))</f>
        <v/>
      </c>
    </row>
    <row r="258">
      <c r="A258" s="5" t="n"/>
      <c r="F258">
        <f>IF(AND(A258="",B258="",C258="",D258=""),"",IF(OR(B258="",NOT(ISNUMBER(D258)),COUNTIF(Stock!$A$2:$A$20,B258)=0,AND(C258&lt;&gt;"Received",C258&lt;&gt;"Sold",C258&lt;&gt;"Adjustment")),"Check","OK"))</f>
        <v/>
      </c>
    </row>
    <row r="259">
      <c r="A259" s="5" t="n"/>
      <c r="F259">
        <f>IF(AND(A259="",B259="",C259="",D259=""),"",IF(OR(B259="",NOT(ISNUMBER(D259)),COUNTIF(Stock!$A$2:$A$20,B259)=0,AND(C259&lt;&gt;"Received",C259&lt;&gt;"Sold",C259&lt;&gt;"Adjustment")),"Check","OK"))</f>
        <v/>
      </c>
    </row>
    <row r="260">
      <c r="A260" s="5" t="n"/>
      <c r="F260">
        <f>IF(AND(A260="",B260="",C260="",D260=""),"",IF(OR(B260="",NOT(ISNUMBER(D260)),COUNTIF(Stock!$A$2:$A$20,B260)=0,AND(C260&lt;&gt;"Received",C260&lt;&gt;"Sold",C260&lt;&gt;"Adjustment")),"Check","OK"))</f>
        <v/>
      </c>
    </row>
    <row r="261">
      <c r="A261" s="5" t="n"/>
      <c r="F261">
        <f>IF(AND(A261="",B261="",C261="",D261=""),"",IF(OR(B261="",NOT(ISNUMBER(D261)),COUNTIF(Stock!$A$2:$A$20,B261)=0,AND(C261&lt;&gt;"Received",C261&lt;&gt;"Sold",C261&lt;&gt;"Adjustment")),"Check","OK"))</f>
        <v/>
      </c>
    </row>
    <row r="262">
      <c r="A262" s="5" t="n"/>
      <c r="F262">
        <f>IF(AND(A262="",B262="",C262="",D262=""),"",IF(OR(B262="",NOT(ISNUMBER(D262)),COUNTIF(Stock!$A$2:$A$20,B262)=0,AND(C262&lt;&gt;"Received",C262&lt;&gt;"Sold",C262&lt;&gt;"Adjustment")),"Check","OK"))</f>
        <v/>
      </c>
    </row>
    <row r="263">
      <c r="A263" s="5" t="n"/>
      <c r="F263">
        <f>IF(AND(A263="",B263="",C263="",D263=""),"",IF(OR(B263="",NOT(ISNUMBER(D263)),COUNTIF(Stock!$A$2:$A$20,B263)=0,AND(C263&lt;&gt;"Received",C263&lt;&gt;"Sold",C263&lt;&gt;"Adjustment")),"Check","OK"))</f>
        <v/>
      </c>
    </row>
    <row r="264">
      <c r="A264" s="5" t="n"/>
      <c r="F264">
        <f>IF(AND(A264="",B264="",C264="",D264=""),"",IF(OR(B264="",NOT(ISNUMBER(D264)),COUNTIF(Stock!$A$2:$A$20,B264)=0,AND(C264&lt;&gt;"Received",C264&lt;&gt;"Sold",C264&lt;&gt;"Adjustment")),"Check","OK"))</f>
        <v/>
      </c>
    </row>
    <row r="265">
      <c r="A265" s="5" t="n"/>
      <c r="F265">
        <f>IF(AND(A265="",B265="",C265="",D265=""),"",IF(OR(B265="",NOT(ISNUMBER(D265)),COUNTIF(Stock!$A$2:$A$20,B265)=0,AND(C265&lt;&gt;"Received",C265&lt;&gt;"Sold",C265&lt;&gt;"Adjustment")),"Check","OK"))</f>
        <v/>
      </c>
    </row>
    <row r="266">
      <c r="A266" s="5" t="n"/>
      <c r="F266">
        <f>IF(AND(A266="",B266="",C266="",D266=""),"",IF(OR(B266="",NOT(ISNUMBER(D266)),COUNTIF(Stock!$A$2:$A$20,B266)=0,AND(C266&lt;&gt;"Received",C266&lt;&gt;"Sold",C266&lt;&gt;"Adjustment")),"Check","OK"))</f>
        <v/>
      </c>
    </row>
    <row r="267">
      <c r="A267" s="5" t="n"/>
      <c r="F267">
        <f>IF(AND(A267="",B267="",C267="",D267=""),"",IF(OR(B267="",NOT(ISNUMBER(D267)),COUNTIF(Stock!$A$2:$A$20,B267)=0,AND(C267&lt;&gt;"Received",C267&lt;&gt;"Sold",C267&lt;&gt;"Adjustment")),"Check","OK"))</f>
        <v/>
      </c>
    </row>
    <row r="268">
      <c r="A268" s="5" t="n"/>
      <c r="F268">
        <f>IF(AND(A268="",B268="",C268="",D268=""),"",IF(OR(B268="",NOT(ISNUMBER(D268)),COUNTIF(Stock!$A$2:$A$20,B268)=0,AND(C268&lt;&gt;"Received",C268&lt;&gt;"Sold",C268&lt;&gt;"Adjustment")),"Check","OK"))</f>
        <v/>
      </c>
    </row>
    <row r="269">
      <c r="A269" s="5" t="n"/>
      <c r="F269">
        <f>IF(AND(A269="",B269="",C269="",D269=""),"",IF(OR(B269="",NOT(ISNUMBER(D269)),COUNTIF(Stock!$A$2:$A$20,B269)=0,AND(C269&lt;&gt;"Received",C269&lt;&gt;"Sold",C269&lt;&gt;"Adjustment")),"Check","OK"))</f>
        <v/>
      </c>
    </row>
    <row r="270">
      <c r="A270" s="5" t="n"/>
      <c r="F270">
        <f>IF(AND(A270="",B270="",C270="",D270=""),"",IF(OR(B270="",NOT(ISNUMBER(D270)),COUNTIF(Stock!$A$2:$A$20,B270)=0,AND(C270&lt;&gt;"Received",C270&lt;&gt;"Sold",C270&lt;&gt;"Adjustment")),"Check","OK"))</f>
        <v/>
      </c>
    </row>
    <row r="271">
      <c r="A271" s="5" t="n"/>
      <c r="F271">
        <f>IF(AND(A271="",B271="",C271="",D271=""),"",IF(OR(B271="",NOT(ISNUMBER(D271)),COUNTIF(Stock!$A$2:$A$20,B271)=0,AND(C271&lt;&gt;"Received",C271&lt;&gt;"Sold",C271&lt;&gt;"Adjustment")),"Check","OK"))</f>
        <v/>
      </c>
    </row>
    <row r="272">
      <c r="A272" s="5" t="n"/>
      <c r="F272">
        <f>IF(AND(A272="",B272="",C272="",D272=""),"",IF(OR(B272="",NOT(ISNUMBER(D272)),COUNTIF(Stock!$A$2:$A$20,B272)=0,AND(C272&lt;&gt;"Received",C272&lt;&gt;"Sold",C272&lt;&gt;"Adjustment")),"Check","OK"))</f>
        <v/>
      </c>
    </row>
    <row r="273">
      <c r="A273" s="5" t="n"/>
      <c r="F273">
        <f>IF(AND(A273="",B273="",C273="",D273=""),"",IF(OR(B273="",NOT(ISNUMBER(D273)),COUNTIF(Stock!$A$2:$A$20,B273)=0,AND(C273&lt;&gt;"Received",C273&lt;&gt;"Sold",C273&lt;&gt;"Adjustment")),"Check","OK"))</f>
        <v/>
      </c>
    </row>
    <row r="274">
      <c r="A274" s="5" t="n"/>
      <c r="F274">
        <f>IF(AND(A274="",B274="",C274="",D274=""),"",IF(OR(B274="",NOT(ISNUMBER(D274)),COUNTIF(Stock!$A$2:$A$20,B274)=0,AND(C274&lt;&gt;"Received",C274&lt;&gt;"Sold",C274&lt;&gt;"Adjustment")),"Check","OK"))</f>
        <v/>
      </c>
    </row>
    <row r="275">
      <c r="A275" s="5" t="n"/>
      <c r="F275">
        <f>IF(AND(A275="",B275="",C275="",D275=""),"",IF(OR(B275="",NOT(ISNUMBER(D275)),COUNTIF(Stock!$A$2:$A$20,B275)=0,AND(C275&lt;&gt;"Received",C275&lt;&gt;"Sold",C275&lt;&gt;"Adjustment")),"Check","OK"))</f>
        <v/>
      </c>
    </row>
    <row r="276">
      <c r="A276" s="5" t="n"/>
      <c r="F276">
        <f>IF(AND(A276="",B276="",C276="",D276=""),"",IF(OR(B276="",NOT(ISNUMBER(D276)),COUNTIF(Stock!$A$2:$A$20,B276)=0,AND(C276&lt;&gt;"Received",C276&lt;&gt;"Sold",C276&lt;&gt;"Adjustment")),"Check","OK"))</f>
        <v/>
      </c>
    </row>
    <row r="277">
      <c r="A277" s="5" t="n"/>
      <c r="F277">
        <f>IF(AND(A277="",B277="",C277="",D277=""),"",IF(OR(B277="",NOT(ISNUMBER(D277)),COUNTIF(Stock!$A$2:$A$20,B277)=0,AND(C277&lt;&gt;"Received",C277&lt;&gt;"Sold",C277&lt;&gt;"Adjustment")),"Check","OK"))</f>
        <v/>
      </c>
    </row>
    <row r="278">
      <c r="A278" s="5" t="n"/>
      <c r="F278">
        <f>IF(AND(A278="",B278="",C278="",D278=""),"",IF(OR(B278="",NOT(ISNUMBER(D278)),COUNTIF(Stock!$A$2:$A$20,B278)=0,AND(C278&lt;&gt;"Received",C278&lt;&gt;"Sold",C278&lt;&gt;"Adjustment")),"Check","OK"))</f>
        <v/>
      </c>
    </row>
    <row r="279">
      <c r="A279" s="5" t="n"/>
      <c r="F279">
        <f>IF(AND(A279="",B279="",C279="",D279=""),"",IF(OR(B279="",NOT(ISNUMBER(D279)),COUNTIF(Stock!$A$2:$A$20,B279)=0,AND(C279&lt;&gt;"Received",C279&lt;&gt;"Sold",C279&lt;&gt;"Adjustment")),"Check","OK"))</f>
        <v/>
      </c>
    </row>
    <row r="280">
      <c r="A280" s="5" t="n"/>
      <c r="F280">
        <f>IF(AND(A280="",B280="",C280="",D280=""),"",IF(OR(B280="",NOT(ISNUMBER(D280)),COUNTIF(Stock!$A$2:$A$20,B280)=0,AND(C280&lt;&gt;"Received",C280&lt;&gt;"Sold",C280&lt;&gt;"Adjustment")),"Check","OK"))</f>
        <v/>
      </c>
    </row>
    <row r="281">
      <c r="A281" s="5" t="n"/>
      <c r="F281">
        <f>IF(AND(A281="",B281="",C281="",D281=""),"",IF(OR(B281="",NOT(ISNUMBER(D281)),COUNTIF(Stock!$A$2:$A$20,B281)=0,AND(C281&lt;&gt;"Received",C281&lt;&gt;"Sold",C281&lt;&gt;"Adjustment")),"Check","OK"))</f>
        <v/>
      </c>
    </row>
    <row r="282">
      <c r="A282" s="5" t="n"/>
      <c r="F282">
        <f>IF(AND(A282="",B282="",C282="",D282=""),"",IF(OR(B282="",NOT(ISNUMBER(D282)),COUNTIF(Stock!$A$2:$A$20,B282)=0,AND(C282&lt;&gt;"Received",C282&lt;&gt;"Sold",C282&lt;&gt;"Adjustment")),"Check","OK"))</f>
        <v/>
      </c>
    </row>
    <row r="283">
      <c r="A283" s="5" t="n"/>
      <c r="F283">
        <f>IF(AND(A283="",B283="",C283="",D283=""),"",IF(OR(B283="",NOT(ISNUMBER(D283)),COUNTIF(Stock!$A$2:$A$20,B283)=0,AND(C283&lt;&gt;"Received",C283&lt;&gt;"Sold",C283&lt;&gt;"Adjustment")),"Check","OK"))</f>
        <v/>
      </c>
    </row>
    <row r="284">
      <c r="A284" s="5" t="n"/>
      <c r="F284">
        <f>IF(AND(A284="",B284="",C284="",D284=""),"",IF(OR(B284="",NOT(ISNUMBER(D284)),COUNTIF(Stock!$A$2:$A$20,B284)=0,AND(C284&lt;&gt;"Received",C284&lt;&gt;"Sold",C284&lt;&gt;"Adjustment")),"Check","OK"))</f>
        <v/>
      </c>
    </row>
    <row r="285">
      <c r="A285" s="5" t="n"/>
      <c r="F285">
        <f>IF(AND(A285="",B285="",C285="",D285=""),"",IF(OR(B285="",NOT(ISNUMBER(D285)),COUNTIF(Stock!$A$2:$A$20,B285)=0,AND(C285&lt;&gt;"Received",C285&lt;&gt;"Sold",C285&lt;&gt;"Adjustment")),"Check","OK"))</f>
        <v/>
      </c>
    </row>
    <row r="286">
      <c r="A286" s="5" t="n"/>
      <c r="F286">
        <f>IF(AND(A286="",B286="",C286="",D286=""),"",IF(OR(B286="",NOT(ISNUMBER(D286)),COUNTIF(Stock!$A$2:$A$20,B286)=0,AND(C286&lt;&gt;"Received",C286&lt;&gt;"Sold",C286&lt;&gt;"Adjustment")),"Check","OK"))</f>
        <v/>
      </c>
    </row>
    <row r="287">
      <c r="A287" s="5" t="n"/>
      <c r="F287">
        <f>IF(AND(A287="",B287="",C287="",D287=""),"",IF(OR(B287="",NOT(ISNUMBER(D287)),COUNTIF(Stock!$A$2:$A$20,B287)=0,AND(C287&lt;&gt;"Received",C287&lt;&gt;"Sold",C287&lt;&gt;"Adjustment")),"Check","OK"))</f>
        <v/>
      </c>
    </row>
    <row r="288">
      <c r="A288" s="5" t="n"/>
      <c r="F288">
        <f>IF(AND(A288="",B288="",C288="",D288=""),"",IF(OR(B288="",NOT(ISNUMBER(D288)),COUNTIF(Stock!$A$2:$A$20,B288)=0,AND(C288&lt;&gt;"Received",C288&lt;&gt;"Sold",C288&lt;&gt;"Adjustment")),"Check","OK"))</f>
        <v/>
      </c>
    </row>
    <row r="289">
      <c r="A289" s="5" t="n"/>
      <c r="F289">
        <f>IF(AND(A289="",B289="",C289="",D289=""),"",IF(OR(B289="",NOT(ISNUMBER(D289)),COUNTIF(Stock!$A$2:$A$20,B289)=0,AND(C289&lt;&gt;"Received",C289&lt;&gt;"Sold",C289&lt;&gt;"Adjustment")),"Check","OK"))</f>
        <v/>
      </c>
    </row>
    <row r="290">
      <c r="A290" s="5" t="n"/>
      <c r="F290">
        <f>IF(AND(A290="",B290="",C290="",D290=""),"",IF(OR(B290="",NOT(ISNUMBER(D290)),COUNTIF(Stock!$A$2:$A$20,B290)=0,AND(C290&lt;&gt;"Received",C290&lt;&gt;"Sold",C290&lt;&gt;"Adjustment")),"Check","OK"))</f>
        <v/>
      </c>
    </row>
    <row r="291">
      <c r="A291" s="5" t="n"/>
      <c r="F291">
        <f>IF(AND(A291="",B291="",C291="",D291=""),"",IF(OR(B291="",NOT(ISNUMBER(D291)),COUNTIF(Stock!$A$2:$A$20,B291)=0,AND(C291&lt;&gt;"Received",C291&lt;&gt;"Sold",C291&lt;&gt;"Adjustment")),"Check","OK"))</f>
        <v/>
      </c>
    </row>
    <row r="292">
      <c r="A292" s="5" t="n"/>
      <c r="F292">
        <f>IF(AND(A292="",B292="",C292="",D292=""),"",IF(OR(B292="",NOT(ISNUMBER(D292)),COUNTIF(Stock!$A$2:$A$20,B292)=0,AND(C292&lt;&gt;"Received",C292&lt;&gt;"Sold",C292&lt;&gt;"Adjustment")),"Check","OK"))</f>
        <v/>
      </c>
    </row>
    <row r="293">
      <c r="A293" s="5" t="n"/>
      <c r="F293">
        <f>IF(AND(A293="",B293="",C293="",D293=""),"",IF(OR(B293="",NOT(ISNUMBER(D293)),COUNTIF(Stock!$A$2:$A$20,B293)=0,AND(C293&lt;&gt;"Received",C293&lt;&gt;"Sold",C293&lt;&gt;"Adjustment")),"Check","OK"))</f>
        <v/>
      </c>
    </row>
    <row r="294">
      <c r="A294" s="5" t="n"/>
      <c r="F294">
        <f>IF(AND(A294="",B294="",C294="",D294=""),"",IF(OR(B294="",NOT(ISNUMBER(D294)),COUNTIF(Stock!$A$2:$A$20,B294)=0,AND(C294&lt;&gt;"Received",C294&lt;&gt;"Sold",C294&lt;&gt;"Adjustment")),"Check","OK"))</f>
        <v/>
      </c>
    </row>
    <row r="295">
      <c r="A295" s="5" t="n"/>
      <c r="F295">
        <f>IF(AND(A295="",B295="",C295="",D295=""),"",IF(OR(B295="",NOT(ISNUMBER(D295)),COUNTIF(Stock!$A$2:$A$20,B295)=0,AND(C295&lt;&gt;"Received",C295&lt;&gt;"Sold",C295&lt;&gt;"Adjustment")),"Check","OK"))</f>
        <v/>
      </c>
    </row>
    <row r="296">
      <c r="A296" s="5" t="n"/>
      <c r="F296">
        <f>IF(AND(A296="",B296="",C296="",D296=""),"",IF(OR(B296="",NOT(ISNUMBER(D296)),COUNTIF(Stock!$A$2:$A$20,B296)=0,AND(C296&lt;&gt;"Received",C296&lt;&gt;"Sold",C296&lt;&gt;"Adjustment")),"Check","OK"))</f>
        <v/>
      </c>
    </row>
    <row r="297">
      <c r="A297" s="5" t="n"/>
      <c r="F297">
        <f>IF(AND(A297="",B297="",C297="",D297=""),"",IF(OR(B297="",NOT(ISNUMBER(D297)),COUNTIF(Stock!$A$2:$A$20,B297)=0,AND(C297&lt;&gt;"Received",C297&lt;&gt;"Sold",C297&lt;&gt;"Adjustment")),"Check","OK"))</f>
        <v/>
      </c>
    </row>
    <row r="298">
      <c r="A298" s="5" t="n"/>
      <c r="F298">
        <f>IF(AND(A298="",B298="",C298="",D298=""),"",IF(OR(B298="",NOT(ISNUMBER(D298)),COUNTIF(Stock!$A$2:$A$20,B298)=0,AND(C298&lt;&gt;"Received",C298&lt;&gt;"Sold",C298&lt;&gt;"Adjustment")),"Check","OK"))</f>
        <v/>
      </c>
    </row>
    <row r="299">
      <c r="A299" s="5" t="n"/>
      <c r="F299">
        <f>IF(AND(A299="",B299="",C299="",D299=""),"",IF(OR(B299="",NOT(ISNUMBER(D299)),COUNTIF(Stock!$A$2:$A$20,B299)=0,AND(C299&lt;&gt;"Received",C299&lt;&gt;"Sold",C299&lt;&gt;"Adjustment")),"Check","OK"))</f>
        <v/>
      </c>
    </row>
    <row r="300">
      <c r="A300" s="5" t="n"/>
      <c r="F300">
        <f>IF(AND(A300="",B300="",C300="",D300=""),"",IF(OR(B300="",NOT(ISNUMBER(D300)),COUNTIF(Stock!$A$2:$A$20,B300)=0,AND(C300&lt;&gt;"Received",C300&lt;&gt;"Sold",C300&lt;&gt;"Adjustment")),"Check","OK"))</f>
        <v/>
      </c>
    </row>
    <row r="301">
      <c r="A301" s="5" t="n"/>
      <c r="F301">
        <f>IF(AND(A301="",B301="",C301="",D301=""),"",IF(OR(B301="",NOT(ISNUMBER(D301)),COUNTIF(Stock!$A$2:$A$20,B301)=0,AND(C301&lt;&gt;"Received",C301&lt;&gt;"Sold",C301&lt;&gt;"Adjustment")),"Check","OK"))</f>
        <v/>
      </c>
    </row>
    <row r="302">
      <c r="A302" s="5" t="n"/>
      <c r="F302">
        <f>IF(AND(A302="",B302="",C302="",D302=""),"",IF(OR(B302="",NOT(ISNUMBER(D302)),COUNTIF(Stock!$A$2:$A$20,B302)=0,AND(C302&lt;&gt;"Received",C302&lt;&gt;"Sold",C302&lt;&gt;"Adjustment")),"Check","OK"))</f>
        <v/>
      </c>
    </row>
    <row r="303">
      <c r="A303" s="5" t="n"/>
      <c r="F303">
        <f>IF(AND(A303="",B303="",C303="",D303=""),"",IF(OR(B303="",NOT(ISNUMBER(D303)),COUNTIF(Stock!$A$2:$A$20,B303)=0,AND(C303&lt;&gt;"Received",C303&lt;&gt;"Sold",C303&lt;&gt;"Adjustment")),"Check","OK"))</f>
        <v/>
      </c>
    </row>
    <row r="304">
      <c r="A304" s="5" t="n"/>
      <c r="F304">
        <f>IF(AND(A304="",B304="",C304="",D304=""),"",IF(OR(B304="",NOT(ISNUMBER(D304)),COUNTIF(Stock!$A$2:$A$20,B304)=0,AND(C304&lt;&gt;"Received",C304&lt;&gt;"Sold",C304&lt;&gt;"Adjustment")),"Check","OK"))</f>
        <v/>
      </c>
    </row>
    <row r="305">
      <c r="A305" s="5" t="n"/>
      <c r="F305">
        <f>IF(AND(A305="",B305="",C305="",D305=""),"",IF(OR(B305="",NOT(ISNUMBER(D305)),COUNTIF(Stock!$A$2:$A$20,B305)=0,AND(C305&lt;&gt;"Received",C305&lt;&gt;"Sold",C305&lt;&gt;"Adjustment")),"Check","OK"))</f>
        <v/>
      </c>
    </row>
    <row r="306">
      <c r="A306" s="5" t="n"/>
      <c r="F306">
        <f>IF(AND(A306="",B306="",C306="",D306=""),"",IF(OR(B306="",NOT(ISNUMBER(D306)),COUNTIF(Stock!$A$2:$A$20,B306)=0,AND(C306&lt;&gt;"Received",C306&lt;&gt;"Sold",C306&lt;&gt;"Adjustment")),"Check","OK"))</f>
        <v/>
      </c>
    </row>
    <row r="307">
      <c r="A307" s="5" t="n"/>
      <c r="F307">
        <f>IF(AND(A307="",B307="",C307="",D307=""),"",IF(OR(B307="",NOT(ISNUMBER(D307)),COUNTIF(Stock!$A$2:$A$20,B307)=0,AND(C307&lt;&gt;"Received",C307&lt;&gt;"Sold",C307&lt;&gt;"Adjustment")),"Check","OK"))</f>
        <v/>
      </c>
    </row>
    <row r="308">
      <c r="A308" s="5" t="n"/>
      <c r="F308">
        <f>IF(AND(A308="",B308="",C308="",D308=""),"",IF(OR(B308="",NOT(ISNUMBER(D308)),COUNTIF(Stock!$A$2:$A$20,B308)=0,AND(C308&lt;&gt;"Received",C308&lt;&gt;"Sold",C308&lt;&gt;"Adjustment")),"Check","OK"))</f>
        <v/>
      </c>
    </row>
    <row r="309">
      <c r="A309" s="5" t="n"/>
      <c r="F309">
        <f>IF(AND(A309="",B309="",C309="",D309=""),"",IF(OR(B309="",NOT(ISNUMBER(D309)),COUNTIF(Stock!$A$2:$A$20,B309)=0,AND(C309&lt;&gt;"Received",C309&lt;&gt;"Sold",C309&lt;&gt;"Adjustment")),"Check","OK"))</f>
        <v/>
      </c>
    </row>
    <row r="310">
      <c r="A310" s="5" t="n"/>
      <c r="F310">
        <f>IF(AND(A310="",B310="",C310="",D310=""),"",IF(OR(B310="",NOT(ISNUMBER(D310)),COUNTIF(Stock!$A$2:$A$20,B310)=0,AND(C310&lt;&gt;"Received",C310&lt;&gt;"Sold",C310&lt;&gt;"Adjustment")),"Check","OK"))</f>
        <v/>
      </c>
    </row>
    <row r="311">
      <c r="A311" s="5" t="n"/>
      <c r="F311">
        <f>IF(AND(A311="",B311="",C311="",D311=""),"",IF(OR(B311="",NOT(ISNUMBER(D311)),COUNTIF(Stock!$A$2:$A$20,B311)=0,AND(C311&lt;&gt;"Received",C311&lt;&gt;"Sold",C311&lt;&gt;"Adjustment")),"Check","OK"))</f>
        <v/>
      </c>
    </row>
    <row r="312">
      <c r="A312" s="5" t="n"/>
      <c r="F312">
        <f>IF(AND(A312="",B312="",C312="",D312=""),"",IF(OR(B312="",NOT(ISNUMBER(D312)),COUNTIF(Stock!$A$2:$A$20,B312)=0,AND(C312&lt;&gt;"Received",C312&lt;&gt;"Sold",C312&lt;&gt;"Adjustment")),"Check","OK"))</f>
        <v/>
      </c>
    </row>
    <row r="313">
      <c r="A313" s="5" t="n"/>
      <c r="F313">
        <f>IF(AND(A313="",B313="",C313="",D313=""),"",IF(OR(B313="",NOT(ISNUMBER(D313)),COUNTIF(Stock!$A$2:$A$20,B313)=0,AND(C313&lt;&gt;"Received",C313&lt;&gt;"Sold",C313&lt;&gt;"Adjustment")),"Check","OK"))</f>
        <v/>
      </c>
    </row>
    <row r="314">
      <c r="A314" s="5" t="n"/>
      <c r="F314">
        <f>IF(AND(A314="",B314="",C314="",D314=""),"",IF(OR(B314="",NOT(ISNUMBER(D314)),COUNTIF(Stock!$A$2:$A$20,B314)=0,AND(C314&lt;&gt;"Received",C314&lt;&gt;"Sold",C314&lt;&gt;"Adjustment")),"Check","OK"))</f>
        <v/>
      </c>
    </row>
    <row r="315">
      <c r="A315" s="5" t="n"/>
      <c r="F315">
        <f>IF(AND(A315="",B315="",C315="",D315=""),"",IF(OR(B315="",NOT(ISNUMBER(D315)),COUNTIF(Stock!$A$2:$A$20,B315)=0,AND(C315&lt;&gt;"Received",C315&lt;&gt;"Sold",C315&lt;&gt;"Adjustment")),"Check","OK"))</f>
        <v/>
      </c>
    </row>
    <row r="316">
      <c r="A316" s="5" t="n"/>
      <c r="F316">
        <f>IF(AND(A316="",B316="",C316="",D316=""),"",IF(OR(B316="",NOT(ISNUMBER(D316)),COUNTIF(Stock!$A$2:$A$20,B316)=0,AND(C316&lt;&gt;"Received",C316&lt;&gt;"Sold",C316&lt;&gt;"Adjustment")),"Check","OK"))</f>
        <v/>
      </c>
    </row>
    <row r="317">
      <c r="A317" s="5" t="n"/>
      <c r="F317">
        <f>IF(AND(A317="",B317="",C317="",D317=""),"",IF(OR(B317="",NOT(ISNUMBER(D317)),COUNTIF(Stock!$A$2:$A$20,B317)=0,AND(C317&lt;&gt;"Received",C317&lt;&gt;"Sold",C317&lt;&gt;"Adjustment")),"Check","OK"))</f>
        <v/>
      </c>
    </row>
    <row r="318">
      <c r="A318" s="5" t="n"/>
      <c r="F318">
        <f>IF(AND(A318="",B318="",C318="",D318=""),"",IF(OR(B318="",NOT(ISNUMBER(D318)),COUNTIF(Stock!$A$2:$A$20,B318)=0,AND(C318&lt;&gt;"Received",C318&lt;&gt;"Sold",C318&lt;&gt;"Adjustment")),"Check","OK"))</f>
        <v/>
      </c>
    </row>
    <row r="319">
      <c r="A319" s="5" t="n"/>
      <c r="F319">
        <f>IF(AND(A319="",B319="",C319="",D319=""),"",IF(OR(B319="",NOT(ISNUMBER(D319)),COUNTIF(Stock!$A$2:$A$20,B319)=0,AND(C319&lt;&gt;"Received",C319&lt;&gt;"Sold",C319&lt;&gt;"Adjustment")),"Check","OK"))</f>
        <v/>
      </c>
    </row>
    <row r="320">
      <c r="A320" s="5" t="n"/>
      <c r="F320">
        <f>IF(AND(A320="",B320="",C320="",D320=""),"",IF(OR(B320="",NOT(ISNUMBER(D320)),COUNTIF(Stock!$A$2:$A$20,B320)=0,AND(C320&lt;&gt;"Received",C320&lt;&gt;"Sold",C320&lt;&gt;"Adjustment")),"Check","OK"))</f>
        <v/>
      </c>
    </row>
    <row r="321">
      <c r="A321" s="5" t="n"/>
      <c r="F321">
        <f>IF(AND(A321="",B321="",C321="",D321=""),"",IF(OR(B321="",NOT(ISNUMBER(D321)),COUNTIF(Stock!$A$2:$A$20,B321)=0,AND(C321&lt;&gt;"Received",C321&lt;&gt;"Sold",C321&lt;&gt;"Adjustment")),"Check","OK"))</f>
        <v/>
      </c>
    </row>
    <row r="322">
      <c r="A322" s="5" t="n"/>
      <c r="F322">
        <f>IF(AND(A322="",B322="",C322="",D322=""),"",IF(OR(B322="",NOT(ISNUMBER(D322)),COUNTIF(Stock!$A$2:$A$20,B322)=0,AND(C322&lt;&gt;"Received",C322&lt;&gt;"Sold",C322&lt;&gt;"Adjustment")),"Check","OK"))</f>
        <v/>
      </c>
    </row>
    <row r="323">
      <c r="A323" s="5" t="n"/>
      <c r="F323">
        <f>IF(AND(A323="",B323="",C323="",D323=""),"",IF(OR(B323="",NOT(ISNUMBER(D323)),COUNTIF(Stock!$A$2:$A$20,B323)=0,AND(C323&lt;&gt;"Received",C323&lt;&gt;"Sold",C323&lt;&gt;"Adjustment")),"Check","OK"))</f>
        <v/>
      </c>
    </row>
    <row r="324">
      <c r="A324" s="5" t="n"/>
      <c r="F324">
        <f>IF(AND(A324="",B324="",C324="",D324=""),"",IF(OR(B324="",NOT(ISNUMBER(D324)),COUNTIF(Stock!$A$2:$A$20,B324)=0,AND(C324&lt;&gt;"Received",C324&lt;&gt;"Sold",C324&lt;&gt;"Adjustment")),"Check","OK"))</f>
        <v/>
      </c>
    </row>
    <row r="325">
      <c r="A325" s="5" t="n"/>
      <c r="F325">
        <f>IF(AND(A325="",B325="",C325="",D325=""),"",IF(OR(B325="",NOT(ISNUMBER(D325)),COUNTIF(Stock!$A$2:$A$20,B325)=0,AND(C325&lt;&gt;"Received",C325&lt;&gt;"Sold",C325&lt;&gt;"Adjustment")),"Check","OK"))</f>
        <v/>
      </c>
    </row>
    <row r="326">
      <c r="A326" s="5" t="n"/>
      <c r="F326">
        <f>IF(AND(A326="",B326="",C326="",D326=""),"",IF(OR(B326="",NOT(ISNUMBER(D326)),COUNTIF(Stock!$A$2:$A$20,B326)=0,AND(C326&lt;&gt;"Received",C326&lt;&gt;"Sold",C326&lt;&gt;"Adjustment")),"Check","OK"))</f>
        <v/>
      </c>
    </row>
    <row r="327">
      <c r="A327" s="5" t="n"/>
      <c r="F327">
        <f>IF(AND(A327="",B327="",C327="",D327=""),"",IF(OR(B327="",NOT(ISNUMBER(D327)),COUNTIF(Stock!$A$2:$A$20,B327)=0,AND(C327&lt;&gt;"Received",C327&lt;&gt;"Sold",C327&lt;&gt;"Adjustment")),"Check","OK"))</f>
        <v/>
      </c>
    </row>
    <row r="328">
      <c r="A328" s="5" t="n"/>
      <c r="F328">
        <f>IF(AND(A328="",B328="",C328="",D328=""),"",IF(OR(B328="",NOT(ISNUMBER(D328)),COUNTIF(Stock!$A$2:$A$20,B328)=0,AND(C328&lt;&gt;"Received",C328&lt;&gt;"Sold",C328&lt;&gt;"Adjustment")),"Check","OK"))</f>
        <v/>
      </c>
    </row>
    <row r="329">
      <c r="A329" s="5" t="n"/>
      <c r="F329">
        <f>IF(AND(A329="",B329="",C329="",D329=""),"",IF(OR(B329="",NOT(ISNUMBER(D329)),COUNTIF(Stock!$A$2:$A$20,B329)=0,AND(C329&lt;&gt;"Received",C329&lt;&gt;"Sold",C329&lt;&gt;"Adjustment")),"Check","OK"))</f>
        <v/>
      </c>
    </row>
    <row r="330">
      <c r="A330" s="5" t="n"/>
      <c r="F330">
        <f>IF(AND(A330="",B330="",C330="",D330=""),"",IF(OR(B330="",NOT(ISNUMBER(D330)),COUNTIF(Stock!$A$2:$A$20,B330)=0,AND(C330&lt;&gt;"Received",C330&lt;&gt;"Sold",C330&lt;&gt;"Adjustment")),"Check","OK"))</f>
        <v/>
      </c>
    </row>
    <row r="331">
      <c r="A331" s="5" t="n"/>
      <c r="F331">
        <f>IF(AND(A331="",B331="",C331="",D331=""),"",IF(OR(B331="",NOT(ISNUMBER(D331)),COUNTIF(Stock!$A$2:$A$20,B331)=0,AND(C331&lt;&gt;"Received",C331&lt;&gt;"Sold",C331&lt;&gt;"Adjustment")),"Check","OK"))</f>
        <v/>
      </c>
    </row>
    <row r="332">
      <c r="A332" s="5" t="n"/>
      <c r="F332">
        <f>IF(AND(A332="",B332="",C332="",D332=""),"",IF(OR(B332="",NOT(ISNUMBER(D332)),COUNTIF(Stock!$A$2:$A$20,B332)=0,AND(C332&lt;&gt;"Received",C332&lt;&gt;"Sold",C332&lt;&gt;"Adjustment")),"Check","OK"))</f>
        <v/>
      </c>
    </row>
    <row r="333">
      <c r="A333" s="5" t="n"/>
      <c r="F333">
        <f>IF(AND(A333="",B333="",C333="",D333=""),"",IF(OR(B333="",NOT(ISNUMBER(D333)),COUNTIF(Stock!$A$2:$A$20,B333)=0,AND(C333&lt;&gt;"Received",C333&lt;&gt;"Sold",C333&lt;&gt;"Adjustment")),"Check","OK"))</f>
        <v/>
      </c>
    </row>
    <row r="334">
      <c r="A334" s="5" t="n"/>
      <c r="F334">
        <f>IF(AND(A334="",B334="",C334="",D334=""),"",IF(OR(B334="",NOT(ISNUMBER(D334)),COUNTIF(Stock!$A$2:$A$20,B334)=0,AND(C334&lt;&gt;"Received",C334&lt;&gt;"Sold",C334&lt;&gt;"Adjustment")),"Check","OK"))</f>
        <v/>
      </c>
    </row>
    <row r="335">
      <c r="A335" s="5" t="n"/>
      <c r="F335">
        <f>IF(AND(A335="",B335="",C335="",D335=""),"",IF(OR(B335="",NOT(ISNUMBER(D335)),COUNTIF(Stock!$A$2:$A$20,B335)=0,AND(C335&lt;&gt;"Received",C335&lt;&gt;"Sold",C335&lt;&gt;"Adjustment")),"Check","OK"))</f>
        <v/>
      </c>
    </row>
    <row r="336">
      <c r="A336" s="5" t="n"/>
      <c r="F336">
        <f>IF(AND(A336="",B336="",C336="",D336=""),"",IF(OR(B336="",NOT(ISNUMBER(D336)),COUNTIF(Stock!$A$2:$A$20,B336)=0,AND(C336&lt;&gt;"Received",C336&lt;&gt;"Sold",C336&lt;&gt;"Adjustment")),"Check","OK"))</f>
        <v/>
      </c>
    </row>
    <row r="337">
      <c r="A337" s="5" t="n"/>
      <c r="F337">
        <f>IF(AND(A337="",B337="",C337="",D337=""),"",IF(OR(B337="",NOT(ISNUMBER(D337)),COUNTIF(Stock!$A$2:$A$20,B337)=0,AND(C337&lt;&gt;"Received",C337&lt;&gt;"Sold",C337&lt;&gt;"Adjustment")),"Check","OK"))</f>
        <v/>
      </c>
    </row>
    <row r="338">
      <c r="A338" s="5" t="n"/>
      <c r="F338">
        <f>IF(AND(A338="",B338="",C338="",D338=""),"",IF(OR(B338="",NOT(ISNUMBER(D338)),COUNTIF(Stock!$A$2:$A$20,B338)=0,AND(C338&lt;&gt;"Received",C338&lt;&gt;"Sold",C338&lt;&gt;"Adjustment")),"Check","OK"))</f>
        <v/>
      </c>
    </row>
    <row r="339">
      <c r="A339" s="5" t="n"/>
      <c r="F339">
        <f>IF(AND(A339="",B339="",C339="",D339=""),"",IF(OR(B339="",NOT(ISNUMBER(D339)),COUNTIF(Stock!$A$2:$A$20,B339)=0,AND(C339&lt;&gt;"Received",C339&lt;&gt;"Sold",C339&lt;&gt;"Adjustment")),"Check","OK"))</f>
        <v/>
      </c>
    </row>
    <row r="340">
      <c r="A340" s="5" t="n"/>
      <c r="F340">
        <f>IF(AND(A340="",B340="",C340="",D340=""),"",IF(OR(B340="",NOT(ISNUMBER(D340)),COUNTIF(Stock!$A$2:$A$20,B340)=0,AND(C340&lt;&gt;"Received",C340&lt;&gt;"Sold",C340&lt;&gt;"Adjustment")),"Check","OK"))</f>
        <v/>
      </c>
    </row>
    <row r="341">
      <c r="A341" s="5" t="n"/>
      <c r="F341">
        <f>IF(AND(A341="",B341="",C341="",D341=""),"",IF(OR(B341="",NOT(ISNUMBER(D341)),COUNTIF(Stock!$A$2:$A$20,B341)=0,AND(C341&lt;&gt;"Received",C341&lt;&gt;"Sold",C341&lt;&gt;"Adjustment")),"Check","OK"))</f>
        <v/>
      </c>
    </row>
    <row r="342">
      <c r="A342" s="5" t="n"/>
      <c r="F342">
        <f>IF(AND(A342="",B342="",C342="",D342=""),"",IF(OR(B342="",NOT(ISNUMBER(D342)),COUNTIF(Stock!$A$2:$A$20,B342)=0,AND(C342&lt;&gt;"Received",C342&lt;&gt;"Sold",C342&lt;&gt;"Adjustment")),"Check","OK"))</f>
        <v/>
      </c>
    </row>
    <row r="343">
      <c r="A343" s="5" t="n"/>
      <c r="F343">
        <f>IF(AND(A343="",B343="",C343="",D343=""),"",IF(OR(B343="",NOT(ISNUMBER(D343)),COUNTIF(Stock!$A$2:$A$20,B343)=0,AND(C343&lt;&gt;"Received",C343&lt;&gt;"Sold",C343&lt;&gt;"Adjustment")),"Check","OK"))</f>
        <v/>
      </c>
    </row>
    <row r="344">
      <c r="A344" s="5" t="n"/>
      <c r="F344">
        <f>IF(AND(A344="",B344="",C344="",D344=""),"",IF(OR(B344="",NOT(ISNUMBER(D344)),COUNTIF(Stock!$A$2:$A$20,B344)=0,AND(C344&lt;&gt;"Received",C344&lt;&gt;"Sold",C344&lt;&gt;"Adjustment")),"Check","OK"))</f>
        <v/>
      </c>
    </row>
    <row r="345">
      <c r="A345" s="5" t="n"/>
      <c r="F345">
        <f>IF(AND(A345="",B345="",C345="",D345=""),"",IF(OR(B345="",NOT(ISNUMBER(D345)),COUNTIF(Stock!$A$2:$A$20,B345)=0,AND(C345&lt;&gt;"Received",C345&lt;&gt;"Sold",C345&lt;&gt;"Adjustment")),"Check","OK"))</f>
        <v/>
      </c>
    </row>
    <row r="346">
      <c r="A346" s="5" t="n"/>
      <c r="F346">
        <f>IF(AND(A346="",B346="",C346="",D346=""),"",IF(OR(B346="",NOT(ISNUMBER(D346)),COUNTIF(Stock!$A$2:$A$20,B346)=0,AND(C346&lt;&gt;"Received",C346&lt;&gt;"Sold",C346&lt;&gt;"Adjustment")),"Check","OK"))</f>
        <v/>
      </c>
    </row>
    <row r="347">
      <c r="A347" s="5" t="n"/>
      <c r="F347">
        <f>IF(AND(A347="",B347="",C347="",D347=""),"",IF(OR(B347="",NOT(ISNUMBER(D347)),COUNTIF(Stock!$A$2:$A$20,B347)=0,AND(C347&lt;&gt;"Received",C347&lt;&gt;"Sold",C347&lt;&gt;"Adjustment")),"Check","OK"))</f>
        <v/>
      </c>
    </row>
    <row r="348">
      <c r="A348" s="5" t="n"/>
      <c r="F348">
        <f>IF(AND(A348="",B348="",C348="",D348=""),"",IF(OR(B348="",NOT(ISNUMBER(D348)),COUNTIF(Stock!$A$2:$A$20,B348)=0,AND(C348&lt;&gt;"Received",C348&lt;&gt;"Sold",C348&lt;&gt;"Adjustment")),"Check","OK"))</f>
        <v/>
      </c>
    </row>
    <row r="349">
      <c r="A349" s="5" t="n"/>
      <c r="F349">
        <f>IF(AND(A349="",B349="",C349="",D349=""),"",IF(OR(B349="",NOT(ISNUMBER(D349)),COUNTIF(Stock!$A$2:$A$20,B349)=0,AND(C349&lt;&gt;"Received",C349&lt;&gt;"Sold",C349&lt;&gt;"Adjustment")),"Check","OK"))</f>
        <v/>
      </c>
    </row>
    <row r="350">
      <c r="A350" s="5" t="n"/>
      <c r="F350">
        <f>IF(AND(A350="",B350="",C350="",D350=""),"",IF(OR(B350="",NOT(ISNUMBER(D350)),COUNTIF(Stock!$A$2:$A$20,B350)=0,AND(C350&lt;&gt;"Received",C350&lt;&gt;"Sold",C350&lt;&gt;"Adjustment")),"Check","OK"))</f>
        <v/>
      </c>
    </row>
    <row r="351">
      <c r="A351" s="5" t="n"/>
      <c r="F351">
        <f>IF(AND(A351="",B351="",C351="",D351=""),"",IF(OR(B351="",NOT(ISNUMBER(D351)),COUNTIF(Stock!$A$2:$A$20,B351)=0,AND(C351&lt;&gt;"Received",C351&lt;&gt;"Sold",C351&lt;&gt;"Adjustment")),"Check","OK"))</f>
        <v/>
      </c>
    </row>
    <row r="352">
      <c r="A352" s="5" t="n"/>
      <c r="F352">
        <f>IF(AND(A352="",B352="",C352="",D352=""),"",IF(OR(B352="",NOT(ISNUMBER(D352)),COUNTIF(Stock!$A$2:$A$20,B352)=0,AND(C352&lt;&gt;"Received",C352&lt;&gt;"Sold",C352&lt;&gt;"Adjustment")),"Check","OK"))</f>
        <v/>
      </c>
    </row>
    <row r="353">
      <c r="A353" s="5" t="n"/>
      <c r="F353">
        <f>IF(AND(A353="",B353="",C353="",D353=""),"",IF(OR(B353="",NOT(ISNUMBER(D353)),COUNTIF(Stock!$A$2:$A$20,B353)=0,AND(C353&lt;&gt;"Received",C353&lt;&gt;"Sold",C353&lt;&gt;"Adjustment")),"Check","OK"))</f>
        <v/>
      </c>
    </row>
    <row r="354">
      <c r="A354" s="5" t="n"/>
      <c r="F354">
        <f>IF(AND(A354="",B354="",C354="",D354=""),"",IF(OR(B354="",NOT(ISNUMBER(D354)),COUNTIF(Stock!$A$2:$A$20,B354)=0,AND(C354&lt;&gt;"Received",C354&lt;&gt;"Sold",C354&lt;&gt;"Adjustment")),"Check","OK"))</f>
        <v/>
      </c>
    </row>
    <row r="355">
      <c r="A355" s="5" t="n"/>
      <c r="F355">
        <f>IF(AND(A355="",B355="",C355="",D355=""),"",IF(OR(B355="",NOT(ISNUMBER(D355)),COUNTIF(Stock!$A$2:$A$20,B355)=0,AND(C355&lt;&gt;"Received",C355&lt;&gt;"Sold",C355&lt;&gt;"Adjustment")),"Check","OK"))</f>
        <v/>
      </c>
    </row>
    <row r="356">
      <c r="A356" s="5" t="n"/>
      <c r="F356">
        <f>IF(AND(A356="",B356="",C356="",D356=""),"",IF(OR(B356="",NOT(ISNUMBER(D356)),COUNTIF(Stock!$A$2:$A$20,B356)=0,AND(C356&lt;&gt;"Received",C356&lt;&gt;"Sold",C356&lt;&gt;"Adjustment")),"Check","OK"))</f>
        <v/>
      </c>
    </row>
    <row r="357">
      <c r="A357" s="5" t="n"/>
      <c r="F357">
        <f>IF(AND(A357="",B357="",C357="",D357=""),"",IF(OR(B357="",NOT(ISNUMBER(D357)),COUNTIF(Stock!$A$2:$A$20,B357)=0,AND(C357&lt;&gt;"Received",C357&lt;&gt;"Sold",C357&lt;&gt;"Adjustment")),"Check","OK"))</f>
        <v/>
      </c>
    </row>
    <row r="358">
      <c r="A358" s="5" t="n"/>
      <c r="F358">
        <f>IF(AND(A358="",B358="",C358="",D358=""),"",IF(OR(B358="",NOT(ISNUMBER(D358)),COUNTIF(Stock!$A$2:$A$20,B358)=0,AND(C358&lt;&gt;"Received",C358&lt;&gt;"Sold",C358&lt;&gt;"Adjustment")),"Check","OK"))</f>
        <v/>
      </c>
    </row>
    <row r="359">
      <c r="A359" s="5" t="n"/>
      <c r="F359">
        <f>IF(AND(A359="",B359="",C359="",D359=""),"",IF(OR(B359="",NOT(ISNUMBER(D359)),COUNTIF(Stock!$A$2:$A$20,B359)=0,AND(C359&lt;&gt;"Received",C359&lt;&gt;"Sold",C359&lt;&gt;"Adjustment")),"Check","OK"))</f>
        <v/>
      </c>
    </row>
    <row r="360">
      <c r="A360" s="5" t="n"/>
      <c r="F360">
        <f>IF(AND(A360="",B360="",C360="",D360=""),"",IF(OR(B360="",NOT(ISNUMBER(D360)),COUNTIF(Stock!$A$2:$A$20,B360)=0,AND(C360&lt;&gt;"Received",C360&lt;&gt;"Sold",C360&lt;&gt;"Adjustment")),"Check","OK"))</f>
        <v/>
      </c>
    </row>
    <row r="361">
      <c r="A361" s="5" t="n"/>
      <c r="F361">
        <f>IF(AND(A361="",B361="",C361="",D361=""),"",IF(OR(B361="",NOT(ISNUMBER(D361)),COUNTIF(Stock!$A$2:$A$20,B361)=0,AND(C361&lt;&gt;"Received",C361&lt;&gt;"Sold",C361&lt;&gt;"Adjustment")),"Check","OK"))</f>
        <v/>
      </c>
    </row>
    <row r="362">
      <c r="A362" s="5" t="n"/>
      <c r="F362">
        <f>IF(AND(A362="",B362="",C362="",D362=""),"",IF(OR(B362="",NOT(ISNUMBER(D362)),COUNTIF(Stock!$A$2:$A$20,B362)=0,AND(C362&lt;&gt;"Received",C362&lt;&gt;"Sold",C362&lt;&gt;"Adjustment")),"Check","OK"))</f>
        <v/>
      </c>
    </row>
    <row r="363">
      <c r="A363" s="5" t="n"/>
      <c r="F363">
        <f>IF(AND(A363="",B363="",C363="",D363=""),"",IF(OR(B363="",NOT(ISNUMBER(D363)),COUNTIF(Stock!$A$2:$A$20,B363)=0,AND(C363&lt;&gt;"Received",C363&lt;&gt;"Sold",C363&lt;&gt;"Adjustment")),"Check","OK"))</f>
        <v/>
      </c>
    </row>
    <row r="364">
      <c r="A364" s="5" t="n"/>
      <c r="F364">
        <f>IF(AND(A364="",B364="",C364="",D364=""),"",IF(OR(B364="",NOT(ISNUMBER(D364)),COUNTIF(Stock!$A$2:$A$20,B364)=0,AND(C364&lt;&gt;"Received",C364&lt;&gt;"Sold",C364&lt;&gt;"Adjustment")),"Check","OK"))</f>
        <v/>
      </c>
    </row>
    <row r="365">
      <c r="A365" s="5" t="n"/>
      <c r="F365">
        <f>IF(AND(A365="",B365="",C365="",D365=""),"",IF(OR(B365="",NOT(ISNUMBER(D365)),COUNTIF(Stock!$A$2:$A$20,B365)=0,AND(C365&lt;&gt;"Received",C365&lt;&gt;"Sold",C365&lt;&gt;"Adjustment")),"Check","OK"))</f>
        <v/>
      </c>
    </row>
    <row r="366">
      <c r="A366" s="5" t="n"/>
      <c r="F366">
        <f>IF(AND(A366="",B366="",C366="",D366=""),"",IF(OR(B366="",NOT(ISNUMBER(D366)),COUNTIF(Stock!$A$2:$A$20,B366)=0,AND(C366&lt;&gt;"Received",C366&lt;&gt;"Sold",C366&lt;&gt;"Adjustment")),"Check","OK"))</f>
        <v/>
      </c>
    </row>
    <row r="367">
      <c r="A367" s="5" t="n"/>
      <c r="F367">
        <f>IF(AND(A367="",B367="",C367="",D367=""),"",IF(OR(B367="",NOT(ISNUMBER(D367)),COUNTIF(Stock!$A$2:$A$20,B367)=0,AND(C367&lt;&gt;"Received",C367&lt;&gt;"Sold",C367&lt;&gt;"Adjustment")),"Check","OK"))</f>
        <v/>
      </c>
    </row>
    <row r="368">
      <c r="A368" s="5" t="n"/>
      <c r="F368">
        <f>IF(AND(A368="",B368="",C368="",D368=""),"",IF(OR(B368="",NOT(ISNUMBER(D368)),COUNTIF(Stock!$A$2:$A$20,B368)=0,AND(C368&lt;&gt;"Received",C368&lt;&gt;"Sold",C368&lt;&gt;"Adjustment")),"Check","OK"))</f>
        <v/>
      </c>
    </row>
    <row r="369">
      <c r="A369" s="5" t="n"/>
      <c r="F369">
        <f>IF(AND(A369="",B369="",C369="",D369=""),"",IF(OR(B369="",NOT(ISNUMBER(D369)),COUNTIF(Stock!$A$2:$A$20,B369)=0,AND(C369&lt;&gt;"Received",C369&lt;&gt;"Sold",C369&lt;&gt;"Adjustment")),"Check","OK"))</f>
        <v/>
      </c>
    </row>
    <row r="370">
      <c r="A370" s="5" t="n"/>
      <c r="F370">
        <f>IF(AND(A370="",B370="",C370="",D370=""),"",IF(OR(B370="",NOT(ISNUMBER(D370)),COUNTIF(Stock!$A$2:$A$20,B370)=0,AND(C370&lt;&gt;"Received",C370&lt;&gt;"Sold",C370&lt;&gt;"Adjustment")),"Check","OK"))</f>
        <v/>
      </c>
    </row>
    <row r="371">
      <c r="A371" s="5" t="n"/>
      <c r="F371">
        <f>IF(AND(A371="",B371="",C371="",D371=""),"",IF(OR(B371="",NOT(ISNUMBER(D371)),COUNTIF(Stock!$A$2:$A$20,B371)=0,AND(C371&lt;&gt;"Received",C371&lt;&gt;"Sold",C371&lt;&gt;"Adjustment")),"Check","OK"))</f>
        <v/>
      </c>
    </row>
    <row r="372">
      <c r="A372" s="5" t="n"/>
      <c r="F372">
        <f>IF(AND(A372="",B372="",C372="",D372=""),"",IF(OR(B372="",NOT(ISNUMBER(D372)),COUNTIF(Stock!$A$2:$A$20,B372)=0,AND(C372&lt;&gt;"Received",C372&lt;&gt;"Sold",C372&lt;&gt;"Adjustment")),"Check","OK"))</f>
        <v/>
      </c>
    </row>
    <row r="373">
      <c r="A373" s="5" t="n"/>
      <c r="F373">
        <f>IF(AND(A373="",B373="",C373="",D373=""),"",IF(OR(B373="",NOT(ISNUMBER(D373)),COUNTIF(Stock!$A$2:$A$20,B373)=0,AND(C373&lt;&gt;"Received",C373&lt;&gt;"Sold",C373&lt;&gt;"Adjustment")),"Check","OK"))</f>
        <v/>
      </c>
    </row>
    <row r="374">
      <c r="A374" s="5" t="n"/>
      <c r="F374">
        <f>IF(AND(A374="",B374="",C374="",D374=""),"",IF(OR(B374="",NOT(ISNUMBER(D374)),COUNTIF(Stock!$A$2:$A$20,B374)=0,AND(C374&lt;&gt;"Received",C374&lt;&gt;"Sold",C374&lt;&gt;"Adjustment")),"Check","OK"))</f>
        <v/>
      </c>
    </row>
    <row r="375">
      <c r="A375" s="5" t="n"/>
      <c r="F375">
        <f>IF(AND(A375="",B375="",C375="",D375=""),"",IF(OR(B375="",NOT(ISNUMBER(D375)),COUNTIF(Stock!$A$2:$A$20,B375)=0,AND(C375&lt;&gt;"Received",C375&lt;&gt;"Sold",C375&lt;&gt;"Adjustment")),"Check","OK"))</f>
        <v/>
      </c>
    </row>
    <row r="376">
      <c r="A376" s="5" t="n"/>
      <c r="F376">
        <f>IF(AND(A376="",B376="",C376="",D376=""),"",IF(OR(B376="",NOT(ISNUMBER(D376)),COUNTIF(Stock!$A$2:$A$20,B376)=0,AND(C376&lt;&gt;"Received",C376&lt;&gt;"Sold",C376&lt;&gt;"Adjustment")),"Check","OK"))</f>
        <v/>
      </c>
    </row>
    <row r="377">
      <c r="A377" s="5" t="n"/>
      <c r="F377">
        <f>IF(AND(A377="",B377="",C377="",D377=""),"",IF(OR(B377="",NOT(ISNUMBER(D377)),COUNTIF(Stock!$A$2:$A$20,B377)=0,AND(C377&lt;&gt;"Received",C377&lt;&gt;"Sold",C377&lt;&gt;"Adjustment")),"Check","OK"))</f>
        <v/>
      </c>
    </row>
    <row r="378">
      <c r="A378" s="5" t="n"/>
      <c r="F378">
        <f>IF(AND(A378="",B378="",C378="",D378=""),"",IF(OR(B378="",NOT(ISNUMBER(D378)),COUNTIF(Stock!$A$2:$A$20,B378)=0,AND(C378&lt;&gt;"Received",C378&lt;&gt;"Sold",C378&lt;&gt;"Adjustment")),"Check","OK"))</f>
        <v/>
      </c>
    </row>
    <row r="379">
      <c r="A379" s="5" t="n"/>
      <c r="F379">
        <f>IF(AND(A379="",B379="",C379="",D379=""),"",IF(OR(B379="",NOT(ISNUMBER(D379)),COUNTIF(Stock!$A$2:$A$20,B379)=0,AND(C379&lt;&gt;"Received",C379&lt;&gt;"Sold",C379&lt;&gt;"Adjustment")),"Check","OK"))</f>
        <v/>
      </c>
    </row>
    <row r="380">
      <c r="A380" s="5" t="n"/>
      <c r="F380">
        <f>IF(AND(A380="",B380="",C380="",D380=""),"",IF(OR(B380="",NOT(ISNUMBER(D380)),COUNTIF(Stock!$A$2:$A$20,B380)=0,AND(C380&lt;&gt;"Received",C380&lt;&gt;"Sold",C380&lt;&gt;"Adjustment")),"Check","OK"))</f>
        <v/>
      </c>
    </row>
    <row r="381">
      <c r="A381" s="5" t="n"/>
      <c r="F381">
        <f>IF(AND(A381="",B381="",C381="",D381=""),"",IF(OR(B381="",NOT(ISNUMBER(D381)),COUNTIF(Stock!$A$2:$A$20,B381)=0,AND(C381&lt;&gt;"Received",C381&lt;&gt;"Sold",C381&lt;&gt;"Adjustment")),"Check","OK"))</f>
        <v/>
      </c>
    </row>
    <row r="382">
      <c r="A382" s="5" t="n"/>
      <c r="F382">
        <f>IF(AND(A382="",B382="",C382="",D382=""),"",IF(OR(B382="",NOT(ISNUMBER(D382)),COUNTIF(Stock!$A$2:$A$20,B382)=0,AND(C382&lt;&gt;"Received",C382&lt;&gt;"Sold",C382&lt;&gt;"Adjustment")),"Check","OK"))</f>
        <v/>
      </c>
    </row>
    <row r="383">
      <c r="A383" s="5" t="n"/>
      <c r="F383">
        <f>IF(AND(A383="",B383="",C383="",D383=""),"",IF(OR(B383="",NOT(ISNUMBER(D383)),COUNTIF(Stock!$A$2:$A$20,B383)=0,AND(C383&lt;&gt;"Received",C383&lt;&gt;"Sold",C383&lt;&gt;"Adjustment")),"Check","OK"))</f>
        <v/>
      </c>
    </row>
    <row r="384">
      <c r="A384" s="5" t="n"/>
      <c r="F384">
        <f>IF(AND(A384="",B384="",C384="",D384=""),"",IF(OR(B384="",NOT(ISNUMBER(D384)),COUNTIF(Stock!$A$2:$A$20,B384)=0,AND(C384&lt;&gt;"Received",C384&lt;&gt;"Sold",C384&lt;&gt;"Adjustment")),"Check","OK"))</f>
        <v/>
      </c>
    </row>
    <row r="385">
      <c r="A385" s="5" t="n"/>
      <c r="F385">
        <f>IF(AND(A385="",B385="",C385="",D385=""),"",IF(OR(B385="",NOT(ISNUMBER(D385)),COUNTIF(Stock!$A$2:$A$20,B385)=0,AND(C385&lt;&gt;"Received",C385&lt;&gt;"Sold",C385&lt;&gt;"Adjustment")),"Check","OK"))</f>
        <v/>
      </c>
    </row>
    <row r="386">
      <c r="A386" s="5" t="n"/>
      <c r="F386">
        <f>IF(AND(A386="",B386="",C386="",D386=""),"",IF(OR(B386="",NOT(ISNUMBER(D386)),COUNTIF(Stock!$A$2:$A$20,B386)=0,AND(C386&lt;&gt;"Received",C386&lt;&gt;"Sold",C386&lt;&gt;"Adjustment")),"Check","OK"))</f>
        <v/>
      </c>
    </row>
    <row r="387">
      <c r="A387" s="5" t="n"/>
      <c r="F387">
        <f>IF(AND(A387="",B387="",C387="",D387=""),"",IF(OR(B387="",NOT(ISNUMBER(D387)),COUNTIF(Stock!$A$2:$A$20,B387)=0,AND(C387&lt;&gt;"Received",C387&lt;&gt;"Sold",C387&lt;&gt;"Adjustment")),"Check","OK"))</f>
        <v/>
      </c>
    </row>
    <row r="388">
      <c r="A388" s="5" t="n"/>
      <c r="F388">
        <f>IF(AND(A388="",B388="",C388="",D388=""),"",IF(OR(B388="",NOT(ISNUMBER(D388)),COUNTIF(Stock!$A$2:$A$20,B388)=0,AND(C388&lt;&gt;"Received",C388&lt;&gt;"Sold",C388&lt;&gt;"Adjustment")),"Check","OK"))</f>
        <v/>
      </c>
    </row>
    <row r="389">
      <c r="A389" s="5" t="n"/>
      <c r="F389">
        <f>IF(AND(A389="",B389="",C389="",D389=""),"",IF(OR(B389="",NOT(ISNUMBER(D389)),COUNTIF(Stock!$A$2:$A$20,B389)=0,AND(C389&lt;&gt;"Received",C389&lt;&gt;"Sold",C389&lt;&gt;"Adjustment")),"Check","OK"))</f>
        <v/>
      </c>
    </row>
    <row r="390">
      <c r="A390" s="5" t="n"/>
      <c r="F390">
        <f>IF(AND(A390="",B390="",C390="",D390=""),"",IF(OR(B390="",NOT(ISNUMBER(D390)),COUNTIF(Stock!$A$2:$A$20,B390)=0,AND(C390&lt;&gt;"Received",C390&lt;&gt;"Sold",C390&lt;&gt;"Adjustment")),"Check","OK"))</f>
        <v/>
      </c>
    </row>
    <row r="391">
      <c r="A391" s="5" t="n"/>
      <c r="F391">
        <f>IF(AND(A391="",B391="",C391="",D391=""),"",IF(OR(B391="",NOT(ISNUMBER(D391)),COUNTIF(Stock!$A$2:$A$20,B391)=0,AND(C391&lt;&gt;"Received",C391&lt;&gt;"Sold",C391&lt;&gt;"Adjustment")),"Check","OK"))</f>
        <v/>
      </c>
    </row>
    <row r="392">
      <c r="A392" s="5" t="n"/>
      <c r="F392">
        <f>IF(AND(A392="",B392="",C392="",D392=""),"",IF(OR(B392="",NOT(ISNUMBER(D392)),COUNTIF(Stock!$A$2:$A$20,B392)=0,AND(C392&lt;&gt;"Received",C392&lt;&gt;"Sold",C392&lt;&gt;"Adjustment")),"Check","OK"))</f>
        <v/>
      </c>
    </row>
    <row r="393">
      <c r="A393" s="5" t="n"/>
      <c r="F393">
        <f>IF(AND(A393="",B393="",C393="",D393=""),"",IF(OR(B393="",NOT(ISNUMBER(D393)),COUNTIF(Stock!$A$2:$A$20,B393)=0,AND(C393&lt;&gt;"Received",C393&lt;&gt;"Sold",C393&lt;&gt;"Adjustment")),"Check","OK"))</f>
        <v/>
      </c>
    </row>
    <row r="394">
      <c r="A394" s="5" t="n"/>
      <c r="F394">
        <f>IF(AND(A394="",B394="",C394="",D394=""),"",IF(OR(B394="",NOT(ISNUMBER(D394)),COUNTIF(Stock!$A$2:$A$20,B394)=0,AND(C394&lt;&gt;"Received",C394&lt;&gt;"Sold",C394&lt;&gt;"Adjustment")),"Check","OK"))</f>
        <v/>
      </c>
    </row>
    <row r="395">
      <c r="A395" s="5" t="n"/>
      <c r="F395">
        <f>IF(AND(A395="",B395="",C395="",D395=""),"",IF(OR(B395="",NOT(ISNUMBER(D395)),COUNTIF(Stock!$A$2:$A$20,B395)=0,AND(C395&lt;&gt;"Received",C395&lt;&gt;"Sold",C395&lt;&gt;"Adjustment")),"Check","OK"))</f>
        <v/>
      </c>
    </row>
    <row r="396">
      <c r="A396" s="5" t="n"/>
      <c r="F396">
        <f>IF(AND(A396="",B396="",C396="",D396=""),"",IF(OR(B396="",NOT(ISNUMBER(D396)),COUNTIF(Stock!$A$2:$A$20,B396)=0,AND(C396&lt;&gt;"Received",C396&lt;&gt;"Sold",C396&lt;&gt;"Adjustment")),"Check","OK"))</f>
        <v/>
      </c>
    </row>
    <row r="397">
      <c r="A397" s="5" t="n"/>
      <c r="F397">
        <f>IF(AND(A397="",B397="",C397="",D397=""),"",IF(OR(B397="",NOT(ISNUMBER(D397)),COUNTIF(Stock!$A$2:$A$20,B397)=0,AND(C397&lt;&gt;"Received",C397&lt;&gt;"Sold",C397&lt;&gt;"Adjustment")),"Check","OK"))</f>
        <v/>
      </c>
    </row>
    <row r="398">
      <c r="A398" s="5" t="n"/>
      <c r="F398">
        <f>IF(AND(A398="",B398="",C398="",D398=""),"",IF(OR(B398="",NOT(ISNUMBER(D398)),COUNTIF(Stock!$A$2:$A$20,B398)=0,AND(C398&lt;&gt;"Received",C398&lt;&gt;"Sold",C398&lt;&gt;"Adjustment")),"Check","OK"))</f>
        <v/>
      </c>
    </row>
    <row r="399">
      <c r="A399" s="5" t="n"/>
      <c r="F399">
        <f>IF(AND(A399="",B399="",C399="",D399=""),"",IF(OR(B399="",NOT(ISNUMBER(D399)),COUNTIF(Stock!$A$2:$A$20,B399)=0,AND(C399&lt;&gt;"Received",C399&lt;&gt;"Sold",C399&lt;&gt;"Adjustment")),"Check","OK"))</f>
        <v/>
      </c>
    </row>
    <row r="400">
      <c r="A400" s="5" t="n"/>
      <c r="F400">
        <f>IF(AND(A400="",B400="",C400="",D400=""),"",IF(OR(B400="",NOT(ISNUMBER(D400)),COUNTIF(Stock!$A$2:$A$20,B400)=0,AND(C400&lt;&gt;"Received",C400&lt;&gt;"Sold",C400&lt;&gt;"Adjustment")),"Check","OK"))</f>
        <v/>
      </c>
    </row>
    <row r="401">
      <c r="A401" s="5" t="n"/>
      <c r="F401">
        <f>IF(AND(A401="",B401="",C401="",D401=""),"",IF(OR(B401="",NOT(ISNUMBER(D401)),COUNTIF(Stock!$A$2:$A$20,B401)=0,AND(C401&lt;&gt;"Received",C401&lt;&gt;"Sold",C401&lt;&gt;"Adjustment")),"Check","OK"))</f>
        <v/>
      </c>
    </row>
    <row r="402">
      <c r="A402" s="5" t="n"/>
      <c r="F402">
        <f>IF(AND(A402="",B402="",C402="",D402=""),"",IF(OR(B402="",NOT(ISNUMBER(D402)),COUNTIF(Stock!$A$2:$A$20,B402)=0,AND(C402&lt;&gt;"Received",C402&lt;&gt;"Sold",C402&lt;&gt;"Adjustment")),"Check","OK"))</f>
        <v/>
      </c>
    </row>
    <row r="403">
      <c r="A403" s="5" t="n"/>
      <c r="F403">
        <f>IF(AND(A403="",B403="",C403="",D403=""),"",IF(OR(B403="",NOT(ISNUMBER(D403)),COUNTIF(Stock!$A$2:$A$20,B403)=0,AND(C403&lt;&gt;"Received",C403&lt;&gt;"Sold",C403&lt;&gt;"Adjustment")),"Check","OK"))</f>
        <v/>
      </c>
    </row>
    <row r="404">
      <c r="A404" s="5" t="n"/>
      <c r="F404">
        <f>IF(AND(A404="",B404="",C404="",D404=""),"",IF(OR(B404="",NOT(ISNUMBER(D404)),COUNTIF(Stock!$A$2:$A$20,B404)=0,AND(C404&lt;&gt;"Received",C404&lt;&gt;"Sold",C404&lt;&gt;"Adjustment")),"Check","OK"))</f>
        <v/>
      </c>
    </row>
    <row r="405">
      <c r="A405" s="5" t="n"/>
      <c r="F405">
        <f>IF(AND(A405="",B405="",C405="",D405=""),"",IF(OR(B405="",NOT(ISNUMBER(D405)),COUNTIF(Stock!$A$2:$A$20,B405)=0,AND(C405&lt;&gt;"Received",C405&lt;&gt;"Sold",C405&lt;&gt;"Adjustment")),"Check","OK"))</f>
        <v/>
      </c>
    </row>
    <row r="406">
      <c r="A406" s="5" t="n"/>
      <c r="F406">
        <f>IF(AND(A406="",B406="",C406="",D406=""),"",IF(OR(B406="",NOT(ISNUMBER(D406)),COUNTIF(Stock!$A$2:$A$20,B406)=0,AND(C406&lt;&gt;"Received",C406&lt;&gt;"Sold",C406&lt;&gt;"Adjustment")),"Check","OK"))</f>
        <v/>
      </c>
    </row>
    <row r="407">
      <c r="A407" s="5" t="n"/>
      <c r="F407">
        <f>IF(AND(A407="",B407="",C407="",D407=""),"",IF(OR(B407="",NOT(ISNUMBER(D407)),COUNTIF(Stock!$A$2:$A$20,B407)=0,AND(C407&lt;&gt;"Received",C407&lt;&gt;"Sold",C407&lt;&gt;"Adjustment")),"Check","OK"))</f>
        <v/>
      </c>
    </row>
    <row r="408">
      <c r="A408" s="5" t="n"/>
      <c r="F408">
        <f>IF(AND(A408="",B408="",C408="",D408=""),"",IF(OR(B408="",NOT(ISNUMBER(D408)),COUNTIF(Stock!$A$2:$A$20,B408)=0,AND(C408&lt;&gt;"Received",C408&lt;&gt;"Sold",C408&lt;&gt;"Adjustment")),"Check","OK"))</f>
        <v/>
      </c>
    </row>
    <row r="409">
      <c r="A409" s="5" t="n"/>
      <c r="F409">
        <f>IF(AND(A409="",B409="",C409="",D409=""),"",IF(OR(B409="",NOT(ISNUMBER(D409)),COUNTIF(Stock!$A$2:$A$20,B409)=0,AND(C409&lt;&gt;"Received",C409&lt;&gt;"Sold",C409&lt;&gt;"Adjustment")),"Check","OK"))</f>
        <v/>
      </c>
    </row>
    <row r="410">
      <c r="A410" s="5" t="n"/>
      <c r="F410">
        <f>IF(AND(A410="",B410="",C410="",D410=""),"",IF(OR(B410="",NOT(ISNUMBER(D410)),COUNTIF(Stock!$A$2:$A$20,B410)=0,AND(C410&lt;&gt;"Received",C410&lt;&gt;"Sold",C410&lt;&gt;"Adjustment")),"Check","OK"))</f>
        <v/>
      </c>
    </row>
    <row r="411">
      <c r="A411" s="5" t="n"/>
      <c r="F411">
        <f>IF(AND(A411="",B411="",C411="",D411=""),"",IF(OR(B411="",NOT(ISNUMBER(D411)),COUNTIF(Stock!$A$2:$A$20,B411)=0,AND(C411&lt;&gt;"Received",C411&lt;&gt;"Sold",C411&lt;&gt;"Adjustment")),"Check","OK"))</f>
        <v/>
      </c>
    </row>
    <row r="412">
      <c r="A412" s="5" t="n"/>
      <c r="F412">
        <f>IF(AND(A412="",B412="",C412="",D412=""),"",IF(OR(B412="",NOT(ISNUMBER(D412)),COUNTIF(Stock!$A$2:$A$20,B412)=0,AND(C412&lt;&gt;"Received",C412&lt;&gt;"Sold",C412&lt;&gt;"Adjustment")),"Check","OK"))</f>
        <v/>
      </c>
    </row>
    <row r="413">
      <c r="A413" s="5" t="n"/>
      <c r="F413">
        <f>IF(AND(A413="",B413="",C413="",D413=""),"",IF(OR(B413="",NOT(ISNUMBER(D413)),COUNTIF(Stock!$A$2:$A$20,B413)=0,AND(C413&lt;&gt;"Received",C413&lt;&gt;"Sold",C413&lt;&gt;"Adjustment")),"Check","OK"))</f>
        <v/>
      </c>
    </row>
    <row r="414">
      <c r="A414" s="5" t="n"/>
      <c r="F414">
        <f>IF(AND(A414="",B414="",C414="",D414=""),"",IF(OR(B414="",NOT(ISNUMBER(D414)),COUNTIF(Stock!$A$2:$A$20,B414)=0,AND(C414&lt;&gt;"Received",C414&lt;&gt;"Sold",C414&lt;&gt;"Adjustment")),"Check","OK"))</f>
        <v/>
      </c>
    </row>
    <row r="415">
      <c r="A415" s="5" t="n"/>
      <c r="F415">
        <f>IF(AND(A415="",B415="",C415="",D415=""),"",IF(OR(B415="",NOT(ISNUMBER(D415)),COUNTIF(Stock!$A$2:$A$20,B415)=0,AND(C415&lt;&gt;"Received",C415&lt;&gt;"Sold",C415&lt;&gt;"Adjustment")),"Check","OK"))</f>
        <v/>
      </c>
    </row>
    <row r="416">
      <c r="A416" s="5" t="n"/>
      <c r="F416">
        <f>IF(AND(A416="",B416="",C416="",D416=""),"",IF(OR(B416="",NOT(ISNUMBER(D416)),COUNTIF(Stock!$A$2:$A$20,B416)=0,AND(C416&lt;&gt;"Received",C416&lt;&gt;"Sold",C416&lt;&gt;"Adjustment")),"Check","OK"))</f>
        <v/>
      </c>
    </row>
    <row r="417">
      <c r="A417" s="5" t="n"/>
      <c r="F417">
        <f>IF(AND(A417="",B417="",C417="",D417=""),"",IF(OR(B417="",NOT(ISNUMBER(D417)),COUNTIF(Stock!$A$2:$A$20,B417)=0,AND(C417&lt;&gt;"Received",C417&lt;&gt;"Sold",C417&lt;&gt;"Adjustment")),"Check","OK"))</f>
        <v/>
      </c>
    </row>
    <row r="418">
      <c r="A418" s="5" t="n"/>
      <c r="F418">
        <f>IF(AND(A418="",B418="",C418="",D418=""),"",IF(OR(B418="",NOT(ISNUMBER(D418)),COUNTIF(Stock!$A$2:$A$20,B418)=0,AND(C418&lt;&gt;"Received",C418&lt;&gt;"Sold",C418&lt;&gt;"Adjustment")),"Check","OK"))</f>
        <v/>
      </c>
    </row>
    <row r="419">
      <c r="A419" s="5" t="n"/>
      <c r="F419">
        <f>IF(AND(A419="",B419="",C419="",D419=""),"",IF(OR(B419="",NOT(ISNUMBER(D419)),COUNTIF(Stock!$A$2:$A$20,B419)=0,AND(C419&lt;&gt;"Received",C419&lt;&gt;"Sold",C419&lt;&gt;"Adjustment")),"Check","OK"))</f>
        <v/>
      </c>
    </row>
    <row r="420">
      <c r="A420" s="5" t="n"/>
      <c r="F420">
        <f>IF(AND(A420="",B420="",C420="",D420=""),"",IF(OR(B420="",NOT(ISNUMBER(D420)),COUNTIF(Stock!$A$2:$A$20,B420)=0,AND(C420&lt;&gt;"Received",C420&lt;&gt;"Sold",C420&lt;&gt;"Adjustment")),"Check","OK"))</f>
        <v/>
      </c>
    </row>
    <row r="421">
      <c r="A421" s="5" t="n"/>
      <c r="F421">
        <f>IF(AND(A421="",B421="",C421="",D421=""),"",IF(OR(B421="",NOT(ISNUMBER(D421)),COUNTIF(Stock!$A$2:$A$20,B421)=0,AND(C421&lt;&gt;"Received",C421&lt;&gt;"Sold",C421&lt;&gt;"Adjustment")),"Check","OK"))</f>
        <v/>
      </c>
    </row>
    <row r="422">
      <c r="A422" s="5" t="n"/>
      <c r="F422">
        <f>IF(AND(A422="",B422="",C422="",D422=""),"",IF(OR(B422="",NOT(ISNUMBER(D422)),COUNTIF(Stock!$A$2:$A$20,B422)=0,AND(C422&lt;&gt;"Received",C422&lt;&gt;"Sold",C422&lt;&gt;"Adjustment")),"Check","OK"))</f>
        <v/>
      </c>
    </row>
    <row r="423">
      <c r="A423" s="5" t="n"/>
      <c r="F423">
        <f>IF(AND(A423="",B423="",C423="",D423=""),"",IF(OR(B423="",NOT(ISNUMBER(D423)),COUNTIF(Stock!$A$2:$A$20,B423)=0,AND(C423&lt;&gt;"Received",C423&lt;&gt;"Sold",C423&lt;&gt;"Adjustment")),"Check","OK"))</f>
        <v/>
      </c>
    </row>
    <row r="424">
      <c r="A424" s="5" t="n"/>
      <c r="F424">
        <f>IF(AND(A424="",B424="",C424="",D424=""),"",IF(OR(B424="",NOT(ISNUMBER(D424)),COUNTIF(Stock!$A$2:$A$20,B424)=0,AND(C424&lt;&gt;"Received",C424&lt;&gt;"Sold",C424&lt;&gt;"Adjustment")),"Check","OK"))</f>
        <v/>
      </c>
    </row>
    <row r="425">
      <c r="A425" s="5" t="n"/>
      <c r="F425">
        <f>IF(AND(A425="",B425="",C425="",D425=""),"",IF(OR(B425="",NOT(ISNUMBER(D425)),COUNTIF(Stock!$A$2:$A$20,B425)=0,AND(C425&lt;&gt;"Received",C425&lt;&gt;"Sold",C425&lt;&gt;"Adjustment")),"Check","OK"))</f>
        <v/>
      </c>
    </row>
    <row r="426">
      <c r="A426" s="5" t="n"/>
      <c r="F426">
        <f>IF(AND(A426="",B426="",C426="",D426=""),"",IF(OR(B426="",NOT(ISNUMBER(D426)),COUNTIF(Stock!$A$2:$A$20,B426)=0,AND(C426&lt;&gt;"Received",C426&lt;&gt;"Sold",C426&lt;&gt;"Adjustment")),"Check","OK"))</f>
        <v/>
      </c>
    </row>
    <row r="427">
      <c r="A427" s="5" t="n"/>
      <c r="F427">
        <f>IF(AND(A427="",B427="",C427="",D427=""),"",IF(OR(B427="",NOT(ISNUMBER(D427)),COUNTIF(Stock!$A$2:$A$20,B427)=0,AND(C427&lt;&gt;"Received",C427&lt;&gt;"Sold",C427&lt;&gt;"Adjustment")),"Check","OK"))</f>
        <v/>
      </c>
    </row>
    <row r="428">
      <c r="A428" s="5" t="n"/>
      <c r="F428">
        <f>IF(AND(A428="",B428="",C428="",D428=""),"",IF(OR(B428="",NOT(ISNUMBER(D428)),COUNTIF(Stock!$A$2:$A$20,B428)=0,AND(C428&lt;&gt;"Received",C428&lt;&gt;"Sold",C428&lt;&gt;"Adjustment")),"Check","OK"))</f>
        <v/>
      </c>
    </row>
    <row r="429">
      <c r="A429" s="5" t="n"/>
      <c r="F429">
        <f>IF(AND(A429="",B429="",C429="",D429=""),"",IF(OR(B429="",NOT(ISNUMBER(D429)),COUNTIF(Stock!$A$2:$A$20,B429)=0,AND(C429&lt;&gt;"Received",C429&lt;&gt;"Sold",C429&lt;&gt;"Adjustment")),"Check","OK"))</f>
        <v/>
      </c>
    </row>
    <row r="430">
      <c r="A430" s="5" t="n"/>
      <c r="F430">
        <f>IF(AND(A430="",B430="",C430="",D430=""),"",IF(OR(B430="",NOT(ISNUMBER(D430)),COUNTIF(Stock!$A$2:$A$20,B430)=0,AND(C430&lt;&gt;"Received",C430&lt;&gt;"Sold",C430&lt;&gt;"Adjustment")),"Check","OK"))</f>
        <v/>
      </c>
    </row>
    <row r="431">
      <c r="A431" s="5" t="n"/>
      <c r="F431">
        <f>IF(AND(A431="",B431="",C431="",D431=""),"",IF(OR(B431="",NOT(ISNUMBER(D431)),COUNTIF(Stock!$A$2:$A$20,B431)=0,AND(C431&lt;&gt;"Received",C431&lt;&gt;"Sold",C431&lt;&gt;"Adjustment")),"Check","OK"))</f>
        <v/>
      </c>
    </row>
    <row r="432">
      <c r="A432" s="5" t="n"/>
      <c r="F432">
        <f>IF(AND(A432="",B432="",C432="",D432=""),"",IF(OR(B432="",NOT(ISNUMBER(D432)),COUNTIF(Stock!$A$2:$A$20,B432)=0,AND(C432&lt;&gt;"Received",C432&lt;&gt;"Sold",C432&lt;&gt;"Adjustment")),"Check","OK"))</f>
        <v/>
      </c>
    </row>
    <row r="433">
      <c r="A433" s="5" t="n"/>
      <c r="F433">
        <f>IF(AND(A433="",B433="",C433="",D433=""),"",IF(OR(B433="",NOT(ISNUMBER(D433)),COUNTIF(Stock!$A$2:$A$20,B433)=0,AND(C433&lt;&gt;"Received",C433&lt;&gt;"Sold",C433&lt;&gt;"Adjustment")),"Check","OK"))</f>
        <v/>
      </c>
    </row>
    <row r="434">
      <c r="A434" s="5" t="n"/>
      <c r="F434">
        <f>IF(AND(A434="",B434="",C434="",D434=""),"",IF(OR(B434="",NOT(ISNUMBER(D434)),COUNTIF(Stock!$A$2:$A$20,B434)=0,AND(C434&lt;&gt;"Received",C434&lt;&gt;"Sold",C434&lt;&gt;"Adjustment")),"Check","OK"))</f>
        <v/>
      </c>
    </row>
    <row r="435">
      <c r="A435" s="5" t="n"/>
      <c r="F435">
        <f>IF(AND(A435="",B435="",C435="",D435=""),"",IF(OR(B435="",NOT(ISNUMBER(D435)),COUNTIF(Stock!$A$2:$A$20,B435)=0,AND(C435&lt;&gt;"Received",C435&lt;&gt;"Sold",C435&lt;&gt;"Adjustment")),"Check","OK"))</f>
        <v/>
      </c>
    </row>
    <row r="436">
      <c r="A436" s="5" t="n"/>
      <c r="F436">
        <f>IF(AND(A436="",B436="",C436="",D436=""),"",IF(OR(B436="",NOT(ISNUMBER(D436)),COUNTIF(Stock!$A$2:$A$20,B436)=0,AND(C436&lt;&gt;"Received",C436&lt;&gt;"Sold",C436&lt;&gt;"Adjustment")),"Check","OK"))</f>
        <v/>
      </c>
    </row>
    <row r="437">
      <c r="A437" s="5" t="n"/>
      <c r="F437">
        <f>IF(AND(A437="",B437="",C437="",D437=""),"",IF(OR(B437="",NOT(ISNUMBER(D437)),COUNTIF(Stock!$A$2:$A$20,B437)=0,AND(C437&lt;&gt;"Received",C437&lt;&gt;"Sold",C437&lt;&gt;"Adjustment")),"Check","OK"))</f>
        <v/>
      </c>
    </row>
    <row r="438">
      <c r="A438" s="5" t="n"/>
      <c r="F438">
        <f>IF(AND(A438="",B438="",C438="",D438=""),"",IF(OR(B438="",NOT(ISNUMBER(D438)),COUNTIF(Stock!$A$2:$A$20,B438)=0,AND(C438&lt;&gt;"Received",C438&lt;&gt;"Sold",C438&lt;&gt;"Adjustment")),"Check","OK"))</f>
        <v/>
      </c>
    </row>
    <row r="439">
      <c r="A439" s="5" t="n"/>
      <c r="F439">
        <f>IF(AND(A439="",B439="",C439="",D439=""),"",IF(OR(B439="",NOT(ISNUMBER(D439)),COUNTIF(Stock!$A$2:$A$20,B439)=0,AND(C439&lt;&gt;"Received",C439&lt;&gt;"Sold",C439&lt;&gt;"Adjustment")),"Check","OK"))</f>
        <v/>
      </c>
    </row>
    <row r="440">
      <c r="A440" s="5" t="n"/>
      <c r="F440">
        <f>IF(AND(A440="",B440="",C440="",D440=""),"",IF(OR(B440="",NOT(ISNUMBER(D440)),COUNTIF(Stock!$A$2:$A$20,B440)=0,AND(C440&lt;&gt;"Received",C440&lt;&gt;"Sold",C440&lt;&gt;"Adjustment")),"Check","OK"))</f>
        <v/>
      </c>
    </row>
    <row r="441">
      <c r="A441" s="5" t="n"/>
      <c r="F441">
        <f>IF(AND(A441="",B441="",C441="",D441=""),"",IF(OR(B441="",NOT(ISNUMBER(D441)),COUNTIF(Stock!$A$2:$A$20,B441)=0,AND(C441&lt;&gt;"Received",C441&lt;&gt;"Sold",C441&lt;&gt;"Adjustment")),"Check","OK"))</f>
        <v/>
      </c>
    </row>
    <row r="442">
      <c r="A442" s="5" t="n"/>
      <c r="F442">
        <f>IF(AND(A442="",B442="",C442="",D442=""),"",IF(OR(B442="",NOT(ISNUMBER(D442)),COUNTIF(Stock!$A$2:$A$20,B442)=0,AND(C442&lt;&gt;"Received",C442&lt;&gt;"Sold",C442&lt;&gt;"Adjustment")),"Check","OK"))</f>
        <v/>
      </c>
    </row>
    <row r="443">
      <c r="A443" s="5" t="n"/>
      <c r="F443">
        <f>IF(AND(A443="",B443="",C443="",D443=""),"",IF(OR(B443="",NOT(ISNUMBER(D443)),COUNTIF(Stock!$A$2:$A$20,B443)=0,AND(C443&lt;&gt;"Received",C443&lt;&gt;"Sold",C443&lt;&gt;"Adjustment")),"Check","OK"))</f>
        <v/>
      </c>
    </row>
    <row r="444">
      <c r="A444" s="5" t="n"/>
      <c r="F444">
        <f>IF(AND(A444="",B444="",C444="",D444=""),"",IF(OR(B444="",NOT(ISNUMBER(D444)),COUNTIF(Stock!$A$2:$A$20,B444)=0,AND(C444&lt;&gt;"Received",C444&lt;&gt;"Sold",C444&lt;&gt;"Adjustment")),"Check","OK"))</f>
        <v/>
      </c>
    </row>
    <row r="445">
      <c r="A445" s="5" t="n"/>
      <c r="F445">
        <f>IF(AND(A445="",B445="",C445="",D445=""),"",IF(OR(B445="",NOT(ISNUMBER(D445)),COUNTIF(Stock!$A$2:$A$20,B445)=0,AND(C445&lt;&gt;"Received",C445&lt;&gt;"Sold",C445&lt;&gt;"Adjustment")),"Check","OK"))</f>
        <v/>
      </c>
    </row>
    <row r="446">
      <c r="A446" s="5" t="n"/>
      <c r="F446">
        <f>IF(AND(A446="",B446="",C446="",D446=""),"",IF(OR(B446="",NOT(ISNUMBER(D446)),COUNTIF(Stock!$A$2:$A$20,B446)=0,AND(C446&lt;&gt;"Received",C446&lt;&gt;"Sold",C446&lt;&gt;"Adjustment")),"Check","OK"))</f>
        <v/>
      </c>
    </row>
    <row r="447">
      <c r="A447" s="5" t="n"/>
      <c r="F447">
        <f>IF(AND(A447="",B447="",C447="",D447=""),"",IF(OR(B447="",NOT(ISNUMBER(D447)),COUNTIF(Stock!$A$2:$A$20,B447)=0,AND(C447&lt;&gt;"Received",C447&lt;&gt;"Sold",C447&lt;&gt;"Adjustment")),"Check","OK"))</f>
        <v/>
      </c>
    </row>
    <row r="448">
      <c r="A448" s="5" t="n"/>
      <c r="F448">
        <f>IF(AND(A448="",B448="",C448="",D448=""),"",IF(OR(B448="",NOT(ISNUMBER(D448)),COUNTIF(Stock!$A$2:$A$20,B448)=0,AND(C448&lt;&gt;"Received",C448&lt;&gt;"Sold",C448&lt;&gt;"Adjustment")),"Check","OK"))</f>
        <v/>
      </c>
    </row>
    <row r="449">
      <c r="A449" s="5" t="n"/>
      <c r="F449">
        <f>IF(AND(A449="",B449="",C449="",D449=""),"",IF(OR(B449="",NOT(ISNUMBER(D449)),COUNTIF(Stock!$A$2:$A$20,B449)=0,AND(C449&lt;&gt;"Received",C449&lt;&gt;"Sold",C449&lt;&gt;"Adjustment")),"Check","OK"))</f>
        <v/>
      </c>
    </row>
    <row r="450">
      <c r="A450" s="5" t="n"/>
      <c r="F450">
        <f>IF(AND(A450="",B450="",C450="",D450=""),"",IF(OR(B450="",NOT(ISNUMBER(D450)),COUNTIF(Stock!$A$2:$A$20,B450)=0,AND(C450&lt;&gt;"Received",C450&lt;&gt;"Sold",C450&lt;&gt;"Adjustment")),"Check","OK"))</f>
        <v/>
      </c>
    </row>
    <row r="451">
      <c r="A451" s="5" t="n"/>
      <c r="F451">
        <f>IF(AND(A451="",B451="",C451="",D451=""),"",IF(OR(B451="",NOT(ISNUMBER(D451)),COUNTIF(Stock!$A$2:$A$20,B451)=0,AND(C451&lt;&gt;"Received",C451&lt;&gt;"Sold",C451&lt;&gt;"Adjustment")),"Check","OK"))</f>
        <v/>
      </c>
    </row>
    <row r="452">
      <c r="A452" s="5" t="n"/>
      <c r="F452">
        <f>IF(AND(A452="",B452="",C452="",D452=""),"",IF(OR(B452="",NOT(ISNUMBER(D452)),COUNTIF(Stock!$A$2:$A$20,B452)=0,AND(C452&lt;&gt;"Received",C452&lt;&gt;"Sold",C452&lt;&gt;"Adjustment")),"Check","OK"))</f>
        <v/>
      </c>
    </row>
    <row r="453">
      <c r="A453" s="5" t="n"/>
      <c r="F453">
        <f>IF(AND(A453="",B453="",C453="",D453=""),"",IF(OR(B453="",NOT(ISNUMBER(D453)),COUNTIF(Stock!$A$2:$A$20,B453)=0,AND(C453&lt;&gt;"Received",C453&lt;&gt;"Sold",C453&lt;&gt;"Adjustment")),"Check","OK"))</f>
        <v/>
      </c>
    </row>
    <row r="454">
      <c r="A454" s="5" t="n"/>
      <c r="F454">
        <f>IF(AND(A454="",B454="",C454="",D454=""),"",IF(OR(B454="",NOT(ISNUMBER(D454)),COUNTIF(Stock!$A$2:$A$20,B454)=0,AND(C454&lt;&gt;"Received",C454&lt;&gt;"Sold",C454&lt;&gt;"Adjustment")),"Check","OK"))</f>
        <v/>
      </c>
    </row>
    <row r="455">
      <c r="A455" s="5" t="n"/>
      <c r="F455">
        <f>IF(AND(A455="",B455="",C455="",D455=""),"",IF(OR(B455="",NOT(ISNUMBER(D455)),COUNTIF(Stock!$A$2:$A$20,B455)=0,AND(C455&lt;&gt;"Received",C455&lt;&gt;"Sold",C455&lt;&gt;"Adjustment")),"Check","OK"))</f>
        <v/>
      </c>
    </row>
    <row r="456">
      <c r="A456" s="5" t="n"/>
      <c r="F456">
        <f>IF(AND(A456="",B456="",C456="",D456=""),"",IF(OR(B456="",NOT(ISNUMBER(D456)),COUNTIF(Stock!$A$2:$A$20,B456)=0,AND(C456&lt;&gt;"Received",C456&lt;&gt;"Sold",C456&lt;&gt;"Adjustment")),"Check","OK"))</f>
        <v/>
      </c>
    </row>
    <row r="457">
      <c r="A457" s="5" t="n"/>
      <c r="F457">
        <f>IF(AND(A457="",B457="",C457="",D457=""),"",IF(OR(B457="",NOT(ISNUMBER(D457)),COUNTIF(Stock!$A$2:$A$20,B457)=0,AND(C457&lt;&gt;"Received",C457&lt;&gt;"Sold",C457&lt;&gt;"Adjustment")),"Check","OK"))</f>
        <v/>
      </c>
    </row>
    <row r="458">
      <c r="A458" s="5" t="n"/>
      <c r="F458">
        <f>IF(AND(A458="",B458="",C458="",D458=""),"",IF(OR(B458="",NOT(ISNUMBER(D458)),COUNTIF(Stock!$A$2:$A$20,B458)=0,AND(C458&lt;&gt;"Received",C458&lt;&gt;"Sold",C458&lt;&gt;"Adjustment")),"Check","OK"))</f>
        <v/>
      </c>
    </row>
    <row r="459">
      <c r="A459" s="5" t="n"/>
      <c r="F459">
        <f>IF(AND(A459="",B459="",C459="",D459=""),"",IF(OR(B459="",NOT(ISNUMBER(D459)),COUNTIF(Stock!$A$2:$A$20,B459)=0,AND(C459&lt;&gt;"Received",C459&lt;&gt;"Sold",C459&lt;&gt;"Adjustment")),"Check","OK"))</f>
        <v/>
      </c>
    </row>
    <row r="460">
      <c r="A460" s="5" t="n"/>
      <c r="F460">
        <f>IF(AND(A460="",B460="",C460="",D460=""),"",IF(OR(B460="",NOT(ISNUMBER(D460)),COUNTIF(Stock!$A$2:$A$20,B460)=0,AND(C460&lt;&gt;"Received",C460&lt;&gt;"Sold",C460&lt;&gt;"Adjustment")),"Check","OK"))</f>
        <v/>
      </c>
    </row>
    <row r="461">
      <c r="A461" s="5" t="n"/>
      <c r="F461">
        <f>IF(AND(A461="",B461="",C461="",D461=""),"",IF(OR(B461="",NOT(ISNUMBER(D461)),COUNTIF(Stock!$A$2:$A$20,B461)=0,AND(C461&lt;&gt;"Received",C461&lt;&gt;"Sold",C461&lt;&gt;"Adjustment")),"Check","OK"))</f>
        <v/>
      </c>
    </row>
    <row r="462">
      <c r="A462" s="5" t="n"/>
      <c r="F462">
        <f>IF(AND(A462="",B462="",C462="",D462=""),"",IF(OR(B462="",NOT(ISNUMBER(D462)),COUNTIF(Stock!$A$2:$A$20,B462)=0,AND(C462&lt;&gt;"Received",C462&lt;&gt;"Sold",C462&lt;&gt;"Adjustment")),"Check","OK"))</f>
        <v/>
      </c>
    </row>
    <row r="463">
      <c r="A463" s="5" t="n"/>
      <c r="F463">
        <f>IF(AND(A463="",B463="",C463="",D463=""),"",IF(OR(B463="",NOT(ISNUMBER(D463)),COUNTIF(Stock!$A$2:$A$20,B463)=0,AND(C463&lt;&gt;"Received",C463&lt;&gt;"Sold",C463&lt;&gt;"Adjustment")),"Check","OK"))</f>
        <v/>
      </c>
    </row>
    <row r="464">
      <c r="A464" s="5" t="n"/>
      <c r="F464">
        <f>IF(AND(A464="",B464="",C464="",D464=""),"",IF(OR(B464="",NOT(ISNUMBER(D464)),COUNTIF(Stock!$A$2:$A$20,B464)=0,AND(C464&lt;&gt;"Received",C464&lt;&gt;"Sold",C464&lt;&gt;"Adjustment")),"Check","OK"))</f>
        <v/>
      </c>
    </row>
    <row r="465">
      <c r="A465" s="5" t="n"/>
      <c r="F465">
        <f>IF(AND(A465="",B465="",C465="",D465=""),"",IF(OR(B465="",NOT(ISNUMBER(D465)),COUNTIF(Stock!$A$2:$A$20,B465)=0,AND(C465&lt;&gt;"Received",C465&lt;&gt;"Sold",C465&lt;&gt;"Adjustment")),"Check","OK"))</f>
        <v/>
      </c>
    </row>
    <row r="466">
      <c r="A466" s="5" t="n"/>
      <c r="F466">
        <f>IF(AND(A466="",B466="",C466="",D466=""),"",IF(OR(B466="",NOT(ISNUMBER(D466)),COUNTIF(Stock!$A$2:$A$20,B466)=0,AND(C466&lt;&gt;"Received",C466&lt;&gt;"Sold",C466&lt;&gt;"Adjustment")),"Check","OK"))</f>
        <v/>
      </c>
    </row>
    <row r="467">
      <c r="A467" s="5" t="n"/>
      <c r="F467">
        <f>IF(AND(A467="",B467="",C467="",D467=""),"",IF(OR(B467="",NOT(ISNUMBER(D467)),COUNTIF(Stock!$A$2:$A$20,B467)=0,AND(C467&lt;&gt;"Received",C467&lt;&gt;"Sold",C467&lt;&gt;"Adjustment")),"Check","OK"))</f>
        <v/>
      </c>
    </row>
    <row r="468">
      <c r="A468" s="5" t="n"/>
      <c r="F468">
        <f>IF(AND(A468="",B468="",C468="",D468=""),"",IF(OR(B468="",NOT(ISNUMBER(D468)),COUNTIF(Stock!$A$2:$A$20,B468)=0,AND(C468&lt;&gt;"Received",C468&lt;&gt;"Sold",C468&lt;&gt;"Adjustment")),"Check","OK"))</f>
        <v/>
      </c>
    </row>
    <row r="469">
      <c r="A469" s="5" t="n"/>
      <c r="F469">
        <f>IF(AND(A469="",B469="",C469="",D469=""),"",IF(OR(B469="",NOT(ISNUMBER(D469)),COUNTIF(Stock!$A$2:$A$20,B469)=0,AND(C469&lt;&gt;"Received",C469&lt;&gt;"Sold",C469&lt;&gt;"Adjustment")),"Check","OK"))</f>
        <v/>
      </c>
    </row>
    <row r="470">
      <c r="A470" s="5" t="n"/>
      <c r="F470">
        <f>IF(AND(A470="",B470="",C470="",D470=""),"",IF(OR(B470="",NOT(ISNUMBER(D470)),COUNTIF(Stock!$A$2:$A$20,B470)=0,AND(C470&lt;&gt;"Received",C470&lt;&gt;"Sold",C470&lt;&gt;"Adjustment")),"Check","OK"))</f>
        <v/>
      </c>
    </row>
    <row r="471">
      <c r="A471" s="5" t="n"/>
      <c r="F471">
        <f>IF(AND(A471="",B471="",C471="",D471=""),"",IF(OR(B471="",NOT(ISNUMBER(D471)),COUNTIF(Stock!$A$2:$A$20,B471)=0,AND(C471&lt;&gt;"Received",C471&lt;&gt;"Sold",C471&lt;&gt;"Adjustment")),"Check","OK"))</f>
        <v/>
      </c>
    </row>
    <row r="472">
      <c r="A472" s="5" t="n"/>
      <c r="F472">
        <f>IF(AND(A472="",B472="",C472="",D472=""),"",IF(OR(B472="",NOT(ISNUMBER(D472)),COUNTIF(Stock!$A$2:$A$20,B472)=0,AND(C472&lt;&gt;"Received",C472&lt;&gt;"Sold",C472&lt;&gt;"Adjustment")),"Check","OK"))</f>
        <v/>
      </c>
    </row>
    <row r="473">
      <c r="A473" s="5" t="n"/>
      <c r="F473">
        <f>IF(AND(A473="",B473="",C473="",D473=""),"",IF(OR(B473="",NOT(ISNUMBER(D473)),COUNTIF(Stock!$A$2:$A$20,B473)=0,AND(C473&lt;&gt;"Received",C473&lt;&gt;"Sold",C473&lt;&gt;"Adjustment")),"Check","OK"))</f>
        <v/>
      </c>
    </row>
    <row r="474">
      <c r="A474" s="5" t="n"/>
      <c r="F474">
        <f>IF(AND(A474="",B474="",C474="",D474=""),"",IF(OR(B474="",NOT(ISNUMBER(D474)),COUNTIF(Stock!$A$2:$A$20,B474)=0,AND(C474&lt;&gt;"Received",C474&lt;&gt;"Sold",C474&lt;&gt;"Adjustment")),"Check","OK"))</f>
        <v/>
      </c>
    </row>
    <row r="475">
      <c r="A475" s="5" t="n"/>
      <c r="F475">
        <f>IF(AND(A475="",B475="",C475="",D475=""),"",IF(OR(B475="",NOT(ISNUMBER(D475)),COUNTIF(Stock!$A$2:$A$20,B475)=0,AND(C475&lt;&gt;"Received",C475&lt;&gt;"Sold",C475&lt;&gt;"Adjustment")),"Check","OK"))</f>
        <v/>
      </c>
    </row>
    <row r="476">
      <c r="A476" s="5" t="n"/>
      <c r="F476">
        <f>IF(AND(A476="",B476="",C476="",D476=""),"",IF(OR(B476="",NOT(ISNUMBER(D476)),COUNTIF(Stock!$A$2:$A$20,B476)=0,AND(C476&lt;&gt;"Received",C476&lt;&gt;"Sold",C476&lt;&gt;"Adjustment")),"Check","OK"))</f>
        <v/>
      </c>
    </row>
    <row r="477">
      <c r="A477" s="5" t="n"/>
      <c r="F477">
        <f>IF(AND(A477="",B477="",C477="",D477=""),"",IF(OR(B477="",NOT(ISNUMBER(D477)),COUNTIF(Stock!$A$2:$A$20,B477)=0,AND(C477&lt;&gt;"Received",C477&lt;&gt;"Sold",C477&lt;&gt;"Adjustment")),"Check","OK"))</f>
        <v/>
      </c>
    </row>
    <row r="478">
      <c r="A478" s="5" t="n"/>
      <c r="F478">
        <f>IF(AND(A478="",B478="",C478="",D478=""),"",IF(OR(B478="",NOT(ISNUMBER(D478)),COUNTIF(Stock!$A$2:$A$20,B478)=0,AND(C478&lt;&gt;"Received",C478&lt;&gt;"Sold",C478&lt;&gt;"Adjustment")),"Check","OK"))</f>
        <v/>
      </c>
    </row>
    <row r="479">
      <c r="A479" s="5" t="n"/>
      <c r="F479">
        <f>IF(AND(A479="",B479="",C479="",D479=""),"",IF(OR(B479="",NOT(ISNUMBER(D479)),COUNTIF(Stock!$A$2:$A$20,B479)=0,AND(C479&lt;&gt;"Received",C479&lt;&gt;"Sold",C479&lt;&gt;"Adjustment")),"Check","OK"))</f>
        <v/>
      </c>
    </row>
    <row r="480">
      <c r="A480" s="5" t="n"/>
      <c r="F480">
        <f>IF(AND(A480="",B480="",C480="",D480=""),"",IF(OR(B480="",NOT(ISNUMBER(D480)),COUNTIF(Stock!$A$2:$A$20,B480)=0,AND(C480&lt;&gt;"Received",C480&lt;&gt;"Sold",C480&lt;&gt;"Adjustment")),"Check","OK"))</f>
        <v/>
      </c>
    </row>
    <row r="481">
      <c r="A481" s="5" t="n"/>
      <c r="F481">
        <f>IF(AND(A481="",B481="",C481="",D481=""),"",IF(OR(B481="",NOT(ISNUMBER(D481)),COUNTIF(Stock!$A$2:$A$20,B481)=0,AND(C481&lt;&gt;"Received",C481&lt;&gt;"Sold",C481&lt;&gt;"Adjustment")),"Check","OK"))</f>
        <v/>
      </c>
    </row>
    <row r="482">
      <c r="A482" s="5" t="n"/>
      <c r="F482">
        <f>IF(AND(A482="",B482="",C482="",D482=""),"",IF(OR(B482="",NOT(ISNUMBER(D482)),COUNTIF(Stock!$A$2:$A$20,B482)=0,AND(C482&lt;&gt;"Received",C482&lt;&gt;"Sold",C482&lt;&gt;"Adjustment")),"Check","OK"))</f>
        <v/>
      </c>
    </row>
    <row r="483">
      <c r="A483" s="5" t="n"/>
      <c r="F483">
        <f>IF(AND(A483="",B483="",C483="",D483=""),"",IF(OR(B483="",NOT(ISNUMBER(D483)),COUNTIF(Stock!$A$2:$A$20,B483)=0,AND(C483&lt;&gt;"Received",C483&lt;&gt;"Sold",C483&lt;&gt;"Adjustment")),"Check","OK"))</f>
        <v/>
      </c>
    </row>
    <row r="484">
      <c r="A484" s="5" t="n"/>
      <c r="F484">
        <f>IF(AND(A484="",B484="",C484="",D484=""),"",IF(OR(B484="",NOT(ISNUMBER(D484)),COUNTIF(Stock!$A$2:$A$20,B484)=0,AND(C484&lt;&gt;"Received",C484&lt;&gt;"Sold",C484&lt;&gt;"Adjustment")),"Check","OK"))</f>
        <v/>
      </c>
    </row>
    <row r="485">
      <c r="A485" s="5" t="n"/>
      <c r="F485">
        <f>IF(AND(A485="",B485="",C485="",D485=""),"",IF(OR(B485="",NOT(ISNUMBER(D485)),COUNTIF(Stock!$A$2:$A$20,B485)=0,AND(C485&lt;&gt;"Received",C485&lt;&gt;"Sold",C485&lt;&gt;"Adjustment")),"Check","OK"))</f>
        <v/>
      </c>
    </row>
    <row r="486">
      <c r="A486" s="5" t="n"/>
      <c r="F486">
        <f>IF(AND(A486="",B486="",C486="",D486=""),"",IF(OR(B486="",NOT(ISNUMBER(D486)),COUNTIF(Stock!$A$2:$A$20,B486)=0,AND(C486&lt;&gt;"Received",C486&lt;&gt;"Sold",C486&lt;&gt;"Adjustment")),"Check","OK"))</f>
        <v/>
      </c>
    </row>
    <row r="487">
      <c r="A487" s="5" t="n"/>
      <c r="F487">
        <f>IF(AND(A487="",B487="",C487="",D487=""),"",IF(OR(B487="",NOT(ISNUMBER(D487)),COUNTIF(Stock!$A$2:$A$20,B487)=0,AND(C487&lt;&gt;"Received",C487&lt;&gt;"Sold",C487&lt;&gt;"Adjustment")),"Check","OK"))</f>
        <v/>
      </c>
    </row>
    <row r="488">
      <c r="A488" s="5" t="n"/>
      <c r="F488">
        <f>IF(AND(A488="",B488="",C488="",D488=""),"",IF(OR(B488="",NOT(ISNUMBER(D488)),COUNTIF(Stock!$A$2:$A$20,B488)=0,AND(C488&lt;&gt;"Received",C488&lt;&gt;"Sold",C488&lt;&gt;"Adjustment")),"Check","OK"))</f>
        <v/>
      </c>
    </row>
    <row r="489">
      <c r="A489" s="5" t="n"/>
      <c r="F489">
        <f>IF(AND(A489="",B489="",C489="",D489=""),"",IF(OR(B489="",NOT(ISNUMBER(D489)),COUNTIF(Stock!$A$2:$A$20,B489)=0,AND(C489&lt;&gt;"Received",C489&lt;&gt;"Sold",C489&lt;&gt;"Adjustment")),"Check","OK"))</f>
        <v/>
      </c>
    </row>
    <row r="490">
      <c r="A490" s="5" t="n"/>
      <c r="F490">
        <f>IF(AND(A490="",B490="",C490="",D490=""),"",IF(OR(B490="",NOT(ISNUMBER(D490)),COUNTIF(Stock!$A$2:$A$20,B490)=0,AND(C490&lt;&gt;"Received",C490&lt;&gt;"Sold",C490&lt;&gt;"Adjustment")),"Check","OK"))</f>
        <v/>
      </c>
    </row>
    <row r="491">
      <c r="A491" s="5" t="n"/>
      <c r="F491">
        <f>IF(AND(A491="",B491="",C491="",D491=""),"",IF(OR(B491="",NOT(ISNUMBER(D491)),COUNTIF(Stock!$A$2:$A$20,B491)=0,AND(C491&lt;&gt;"Received",C491&lt;&gt;"Sold",C491&lt;&gt;"Adjustment")),"Check","OK"))</f>
        <v/>
      </c>
    </row>
    <row r="492">
      <c r="A492" s="5" t="n"/>
      <c r="F492">
        <f>IF(AND(A492="",B492="",C492="",D492=""),"",IF(OR(B492="",NOT(ISNUMBER(D492)),COUNTIF(Stock!$A$2:$A$20,B492)=0,AND(C492&lt;&gt;"Received",C492&lt;&gt;"Sold",C492&lt;&gt;"Adjustment")),"Check","OK"))</f>
        <v/>
      </c>
    </row>
    <row r="493">
      <c r="A493" s="5" t="n"/>
      <c r="F493">
        <f>IF(AND(A493="",B493="",C493="",D493=""),"",IF(OR(B493="",NOT(ISNUMBER(D493)),COUNTIF(Stock!$A$2:$A$20,B493)=0,AND(C493&lt;&gt;"Received",C493&lt;&gt;"Sold",C493&lt;&gt;"Adjustment")),"Check","OK"))</f>
        <v/>
      </c>
    </row>
    <row r="494">
      <c r="A494" s="5" t="n"/>
      <c r="F494">
        <f>IF(AND(A494="",B494="",C494="",D494=""),"",IF(OR(B494="",NOT(ISNUMBER(D494)),COUNTIF(Stock!$A$2:$A$20,B494)=0,AND(C494&lt;&gt;"Received",C494&lt;&gt;"Sold",C494&lt;&gt;"Adjustment")),"Check","OK"))</f>
        <v/>
      </c>
    </row>
    <row r="495">
      <c r="A495" s="5" t="n"/>
      <c r="F495">
        <f>IF(AND(A495="",B495="",C495="",D495=""),"",IF(OR(B495="",NOT(ISNUMBER(D495)),COUNTIF(Stock!$A$2:$A$20,B495)=0,AND(C495&lt;&gt;"Received",C495&lt;&gt;"Sold",C495&lt;&gt;"Adjustment")),"Check","OK"))</f>
        <v/>
      </c>
    </row>
    <row r="496">
      <c r="A496" s="5" t="n"/>
      <c r="F496">
        <f>IF(AND(A496="",B496="",C496="",D496=""),"",IF(OR(B496="",NOT(ISNUMBER(D496)),COUNTIF(Stock!$A$2:$A$20,B496)=0,AND(C496&lt;&gt;"Received",C496&lt;&gt;"Sold",C496&lt;&gt;"Adjustment")),"Check","OK"))</f>
        <v/>
      </c>
    </row>
    <row r="497">
      <c r="A497" s="5" t="n"/>
      <c r="F497">
        <f>IF(AND(A497="",B497="",C497="",D497=""),"",IF(OR(B497="",NOT(ISNUMBER(D497)),COUNTIF(Stock!$A$2:$A$20,B497)=0,AND(C497&lt;&gt;"Received",C497&lt;&gt;"Sold",C497&lt;&gt;"Adjustment")),"Check","OK"))</f>
        <v/>
      </c>
    </row>
    <row r="498">
      <c r="A498" s="5" t="n"/>
      <c r="F498">
        <f>IF(AND(A498="",B498="",C498="",D498=""),"",IF(OR(B498="",NOT(ISNUMBER(D498)),COUNTIF(Stock!$A$2:$A$20,B498)=0,AND(C498&lt;&gt;"Received",C498&lt;&gt;"Sold",C498&lt;&gt;"Adjustment")),"Check","OK"))</f>
        <v/>
      </c>
    </row>
    <row r="499">
      <c r="A499" s="5" t="n"/>
      <c r="F499">
        <f>IF(AND(A499="",B499="",C499="",D499=""),"",IF(OR(B499="",NOT(ISNUMBER(D499)),COUNTIF(Stock!$A$2:$A$20,B499)=0,AND(C499&lt;&gt;"Received",C499&lt;&gt;"Sold",C499&lt;&gt;"Adjustment")),"Check","OK"))</f>
        <v/>
      </c>
    </row>
    <row r="500">
      <c r="A500" s="5" t="n"/>
      <c r="F500">
        <f>IF(AND(A500="",B500="",C500="",D500=""),"",IF(OR(B500="",NOT(ISNUMBER(D500)),COUNTIF(Stock!$A$2:$A$20,B500)=0,AND(C500&lt;&gt;"Received",C500&lt;&gt;"Sold",C500&lt;&gt;"Adjustment")),"Check","OK"))</f>
        <v/>
      </c>
    </row>
  </sheetData>
  <conditionalFormatting sqref="F2:F500">
    <cfRule type="expression" priority="1" dxfId="0">
      <formula>F2="Check"</formula>
    </cfRule>
  </conditionalFormatting>
  <dataValidations count="2">
    <dataValidation sqref="C2:C500" showDropDown="0" showInputMessage="0" showErrorMessage="0" allowBlank="1" type="list">
      <formula1>"Received,Sold,Adjustment"</formula1>
    </dataValidation>
    <dataValidation sqref="B2:B500" showDropDown="0" showInputMessage="0" showErrorMessage="0" allowBlank="1" type="list">
      <formula1>=Stock!$A$2:$A$20</formula1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2" customWidth="1" min="4" max="4"/>
    <col width="10" customWidth="1" min="5" max="5"/>
    <col width="10" customWidth="1" min="6" max="6"/>
    <col width="10" customWidth="1" min="7" max="7"/>
    <col width="4" customWidth="1" min="8" max="8"/>
    <col width="40" customWidth="1" min="9" max="9"/>
    <col width="11" customWidth="1" min="10" max="10"/>
  </cols>
  <sheetData>
    <row r="1" ht="30" customHeight="1">
      <c r="A1" s="1" t="inlineStr">
        <is>
          <t>SKU</t>
        </is>
      </c>
      <c r="B1" s="1" t="inlineStr">
        <is>
          <t>Received</t>
        </is>
      </c>
      <c r="C1" s="1" t="inlineStr">
        <is>
          <t>Sold</t>
        </is>
      </c>
      <c r="D1" s="1" t="inlineStr">
        <is>
          <t>Adjustments</t>
        </is>
      </c>
      <c r="E1" s="1" t="inlineStr">
        <is>
          <t>On hand</t>
        </is>
      </c>
      <c r="F1" s="1" t="inlineStr">
        <is>
          <t>Minimum</t>
        </is>
      </c>
      <c r="G1" s="1" t="inlineStr">
        <is>
          <t>Status</t>
        </is>
      </c>
      <c r="I1" s="6" t="inlineStr">
        <is>
          <t>Totals and check</t>
        </is>
      </c>
    </row>
    <row r="2">
      <c r="A2" s="3" t="inlineStr">
        <is>
          <t>SOAP-OAT</t>
        </is>
      </c>
      <c r="B2" s="4">
        <f>IF(A2="","",SUMIFS(Log!$D$2:$D$500,Log!$B$2:$B$500,A2,Log!$C$2:$C$500,"Received"))</f>
        <v/>
      </c>
      <c r="C2" s="4">
        <f>IF(A2="","",SUMIFS(Log!$D$2:$D$500,Log!$B$2:$B$500,A2,Log!$C$2:$C$500,"Sold"))</f>
        <v/>
      </c>
      <c r="D2" s="4">
        <f>IF(A2="","",SUMIFS(Log!$D$2:$D$500,Log!$B$2:$B$500,A2,Log!$C$2:$C$500,"Adjustment"))</f>
        <v/>
      </c>
      <c r="E2" s="4">
        <f>IF(A2="","",B2-C2+D2)</f>
        <v/>
      </c>
      <c r="F2" s="3" t="n">
        <v>10</v>
      </c>
      <c r="G2" s="4">
        <f>IF(A2="","",IF(E2&lt;0,"Check",IF(NOT(ISNUMBER(F2)),"OK",IF(E2&lt;=F2,"Reorder","OK"))))</f>
        <v/>
      </c>
      <c r="I2" t="inlineStr">
        <is>
          <t>Received in the whole log</t>
        </is>
      </c>
      <c r="J2" s="7">
        <f>SUMIFS(Log!$D$2:$D$500,Log!$C$2:$C$500,"Received")</f>
        <v/>
      </c>
    </row>
    <row r="3">
      <c r="A3" s="3" t="inlineStr">
        <is>
          <t>SOAP-LAV</t>
        </is>
      </c>
      <c r="B3" s="4">
        <f>IF(A3="","",SUMIFS(Log!$D$2:$D$500,Log!$B$2:$B$500,A3,Log!$C$2:$C$500,"Received"))</f>
        <v/>
      </c>
      <c r="C3" s="4">
        <f>IF(A3="","",SUMIFS(Log!$D$2:$D$500,Log!$B$2:$B$500,A3,Log!$C$2:$C$500,"Sold"))</f>
        <v/>
      </c>
      <c r="D3" s="4">
        <f>IF(A3="","",SUMIFS(Log!$D$2:$D$500,Log!$B$2:$B$500,A3,Log!$C$2:$C$500,"Adjustment"))</f>
        <v/>
      </c>
      <c r="E3" s="4">
        <f>IF(A3="","",B3-C3+D3)</f>
        <v/>
      </c>
      <c r="F3" s="3" t="n">
        <v>10</v>
      </c>
      <c r="G3" s="4">
        <f>IF(A3="","",IF(E3&lt;0,"Check",IF(NOT(ISNUMBER(F3)),"OK",IF(E3&lt;=F3,"Reorder","OK"))))</f>
        <v/>
      </c>
      <c r="I3" t="inlineStr">
        <is>
          <t>Sold in the whole log</t>
        </is>
      </c>
      <c r="J3" s="7">
        <f>SUMIFS(Log!$D$2:$D$500,Log!$C$2:$C$500,"Sold")</f>
        <v/>
      </c>
    </row>
    <row r="4">
      <c r="A4" s="3" t="inlineStr">
        <is>
          <t>CNDL-CED</t>
        </is>
      </c>
      <c r="B4" s="4">
        <f>IF(A4="","",SUMIFS(Log!$D$2:$D$500,Log!$B$2:$B$500,A4,Log!$C$2:$C$500,"Received"))</f>
        <v/>
      </c>
      <c r="C4" s="4">
        <f>IF(A4="","",SUMIFS(Log!$D$2:$D$500,Log!$B$2:$B$500,A4,Log!$C$2:$C$500,"Sold"))</f>
        <v/>
      </c>
      <c r="D4" s="4">
        <f>IF(A4="","",SUMIFS(Log!$D$2:$D$500,Log!$B$2:$B$500,A4,Log!$C$2:$C$500,"Adjustment"))</f>
        <v/>
      </c>
      <c r="E4" s="4">
        <f>IF(A4="","",B4-C4+D4)</f>
        <v/>
      </c>
      <c r="F4" s="3" t="n">
        <v>6</v>
      </c>
      <c r="G4" s="4">
        <f>IF(A4="","",IF(E4&lt;0,"Check",IF(NOT(ISNUMBER(F4)),"OK",IF(E4&lt;=F4,"Reorder","OK"))))</f>
        <v/>
      </c>
      <c r="I4" t="inlineStr">
        <is>
          <t>Adjustments in the whole log</t>
        </is>
      </c>
      <c r="J4" s="7">
        <f>SUMIFS(Log!$D$2:$D$500,Log!$C$2:$C$500,"Adjustment")</f>
        <v/>
      </c>
    </row>
    <row r="5">
      <c r="A5" s="3" t="inlineStr">
        <is>
          <t>CNDL-VAN</t>
        </is>
      </c>
      <c r="B5" s="4">
        <f>IF(A5="","",SUMIFS(Log!$D$2:$D$500,Log!$B$2:$B$500,A5,Log!$C$2:$C$500,"Received"))</f>
        <v/>
      </c>
      <c r="C5" s="4">
        <f>IF(A5="","",SUMIFS(Log!$D$2:$D$500,Log!$B$2:$B$500,A5,Log!$C$2:$C$500,"Sold"))</f>
        <v/>
      </c>
      <c r="D5" s="4">
        <f>IF(A5="","",SUMIFS(Log!$D$2:$D$500,Log!$B$2:$B$500,A5,Log!$C$2:$C$500,"Adjustment"))</f>
        <v/>
      </c>
      <c r="E5" s="4">
        <f>IF(A5="","",B5-C5+D5)</f>
        <v/>
      </c>
      <c r="F5" s="3" t="n">
        <v>6</v>
      </c>
      <c r="G5" s="4">
        <f>IF(A5="","",IF(E5&lt;0,"Check",IF(NOT(ISNUMBER(F5)),"OK",IF(E5&lt;=F5,"Reorder","OK"))))</f>
        <v/>
      </c>
      <c r="I5" t="inlineStr">
        <is>
          <t>Log total (received - sold + adjustments)</t>
        </is>
      </c>
      <c r="J5" s="7">
        <f>J2-J3+J4</f>
        <v/>
      </c>
    </row>
    <row r="6">
      <c r="A6" s="3" t="inlineStr">
        <is>
          <t>BALM-LIP</t>
        </is>
      </c>
      <c r="B6" s="4">
        <f>IF(A6="","",SUMIFS(Log!$D$2:$D$500,Log!$B$2:$B$500,A6,Log!$C$2:$C$500,"Received"))</f>
        <v/>
      </c>
      <c r="C6" s="4">
        <f>IF(A6="","",SUMIFS(Log!$D$2:$D$500,Log!$B$2:$B$500,A6,Log!$C$2:$C$500,"Sold"))</f>
        <v/>
      </c>
      <c r="D6" s="4">
        <f>IF(A6="","",SUMIFS(Log!$D$2:$D$500,Log!$B$2:$B$500,A6,Log!$C$2:$C$500,"Adjustment"))</f>
        <v/>
      </c>
      <c r="E6" s="4">
        <f>IF(A6="","",B6-C6+D6)</f>
        <v/>
      </c>
      <c r="F6" s="3" t="n">
        <v>8</v>
      </c>
      <c r="G6" s="4">
        <f>IF(A6="","",IF(E6&lt;0,"Check",IF(NOT(ISNUMBER(F6)),"OK",IF(E6&lt;=F6,"Reorder","OK"))))</f>
        <v/>
      </c>
      <c r="I6" t="inlineStr">
        <is>
          <t>On hand, all SKUs on this tab</t>
        </is>
      </c>
      <c r="J6" s="7">
        <f>SUM(E2:E20)</f>
        <v/>
      </c>
    </row>
    <row r="7">
      <c r="A7" s="3" t="n"/>
      <c r="B7" s="4">
        <f>IF(A7="","",SUMIFS(Log!$D$2:$D$500,Log!$B$2:$B$500,A7,Log!$C$2:$C$500,"Received"))</f>
        <v/>
      </c>
      <c r="C7" s="4">
        <f>IF(A7="","",SUMIFS(Log!$D$2:$D$500,Log!$B$2:$B$500,A7,Log!$C$2:$C$500,"Sold"))</f>
        <v/>
      </c>
      <c r="D7" s="4">
        <f>IF(A7="","",SUMIFS(Log!$D$2:$D$500,Log!$B$2:$B$500,A7,Log!$C$2:$C$500,"Adjustment"))</f>
        <v/>
      </c>
      <c r="E7" s="4">
        <f>IF(A7="","",B7-C7+D7)</f>
        <v/>
      </c>
      <c r="F7" s="3" t="n"/>
      <c r="G7" s="4">
        <f>IF(A7="","",IF(E7&lt;0,"Check",IF(NOT(ISNUMBER(F7)),"OK",IF(E7&lt;=F7,"Reorder","OK"))))</f>
        <v/>
      </c>
      <c r="I7" t="inlineStr">
        <is>
          <t>Log rows to check</t>
        </is>
      </c>
      <c r="J7" s="7">
        <f>COUNTIF(Log!$F$2:$F$500,"Check")</f>
        <v/>
      </c>
    </row>
    <row r="8">
      <c r="A8" s="3" t="n"/>
      <c r="B8" s="4">
        <f>IF(A8="","",SUMIFS(Log!$D$2:$D$500,Log!$B$2:$B$500,A8,Log!$C$2:$C$500,"Received"))</f>
        <v/>
      </c>
      <c r="C8" s="4">
        <f>IF(A8="","",SUMIFS(Log!$D$2:$D$500,Log!$B$2:$B$500,A8,Log!$C$2:$C$500,"Sold"))</f>
        <v/>
      </c>
      <c r="D8" s="4">
        <f>IF(A8="","",SUMIFS(Log!$D$2:$D$500,Log!$B$2:$B$500,A8,Log!$C$2:$C$500,"Adjustment"))</f>
        <v/>
      </c>
      <c r="E8" s="4">
        <f>IF(A8="","",B8-C8+D8)</f>
        <v/>
      </c>
      <c r="F8" s="3" t="n"/>
      <c r="G8" s="4">
        <f>IF(A8="","",IF(E8&lt;0,"Check",IF(NOT(ISNUMBER(F8)),"OK",IF(E8&lt;=F8,"Reorder","OK"))))</f>
        <v/>
      </c>
      <c r="I8" t="inlineStr">
        <is>
          <t>SKUs to reorder</t>
        </is>
      </c>
      <c r="J8" s="7">
        <f>COUNTIF(G2:G20,"Reorder")</f>
        <v/>
      </c>
    </row>
    <row r="9">
      <c r="A9" s="3" t="n"/>
      <c r="B9" s="4">
        <f>IF(A9="","",SUMIFS(Log!$D$2:$D$500,Log!$B$2:$B$500,A9,Log!$C$2:$C$500,"Received"))</f>
        <v/>
      </c>
      <c r="C9" s="4">
        <f>IF(A9="","",SUMIFS(Log!$D$2:$D$500,Log!$B$2:$B$500,A9,Log!$C$2:$C$500,"Sold"))</f>
        <v/>
      </c>
      <c r="D9" s="4">
        <f>IF(A9="","",SUMIFS(Log!$D$2:$D$500,Log!$B$2:$B$500,A9,Log!$C$2:$C$500,"Adjustment"))</f>
        <v/>
      </c>
      <c r="E9" s="4">
        <f>IF(A9="","",B9-C9+D9)</f>
        <v/>
      </c>
      <c r="F9" s="3" t="n"/>
      <c r="G9" s="4">
        <f>IF(A9="","",IF(E9&lt;0,"Check",IF(NOT(ISNUMBER(F9)),"OK",IF(E9&lt;=F9,"Reorder","OK"))))</f>
        <v/>
      </c>
      <c r="I9" t="inlineStr">
        <is>
          <t>Check: on hand = log total, nothing to check</t>
        </is>
      </c>
      <c r="J9" s="7">
        <f>IF(AND(J6=J5,J7=0,COUNTIF(G2:G20,"Check")=0),"OK","CHECK")</f>
        <v/>
      </c>
    </row>
    <row r="10">
      <c r="A10" s="3" t="n"/>
      <c r="B10" s="4">
        <f>IF(A10="","",SUMIFS(Log!$D$2:$D$500,Log!$B$2:$B$500,A10,Log!$C$2:$C$500,"Received"))</f>
        <v/>
      </c>
      <c r="C10" s="4">
        <f>IF(A10="","",SUMIFS(Log!$D$2:$D$500,Log!$B$2:$B$500,A10,Log!$C$2:$C$500,"Sold"))</f>
        <v/>
      </c>
      <c r="D10" s="4">
        <f>IF(A10="","",SUMIFS(Log!$D$2:$D$500,Log!$B$2:$B$500,A10,Log!$C$2:$C$500,"Adjustment"))</f>
        <v/>
      </c>
      <c r="E10" s="4">
        <f>IF(A10="","",B10-C10+D10)</f>
        <v/>
      </c>
      <c r="F10" s="3" t="n"/>
      <c r="G10" s="4">
        <f>IF(A10="","",IF(E10&lt;0,"Check",IF(NOT(ISNUMBER(F10)),"OK",IF(E10&lt;=F10,"Reorder","OK"))))</f>
        <v/>
      </c>
    </row>
    <row r="11">
      <c r="A11" s="3" t="n"/>
      <c r="B11" s="4">
        <f>IF(A11="","",SUMIFS(Log!$D$2:$D$500,Log!$B$2:$B$500,A11,Log!$C$2:$C$500,"Received"))</f>
        <v/>
      </c>
      <c r="C11" s="4">
        <f>IF(A11="","",SUMIFS(Log!$D$2:$D$500,Log!$B$2:$B$500,A11,Log!$C$2:$C$500,"Sold"))</f>
        <v/>
      </c>
      <c r="D11" s="4">
        <f>IF(A11="","",SUMIFS(Log!$D$2:$D$500,Log!$B$2:$B$500,A11,Log!$C$2:$C$500,"Adjustment"))</f>
        <v/>
      </c>
      <c r="E11" s="4">
        <f>IF(A11="","",B11-C11+D11)</f>
        <v/>
      </c>
      <c r="F11" s="3" t="n"/>
      <c r="G11" s="4">
        <f>IF(A11="","",IF(E11&lt;0,"Check",IF(NOT(ISNUMBER(F11)),"OK",IF(E11&lt;=F11,"Reorder","OK"))))</f>
        <v/>
      </c>
    </row>
    <row r="12">
      <c r="A12" s="3" t="n"/>
      <c r="B12" s="4">
        <f>IF(A12="","",SUMIFS(Log!$D$2:$D$500,Log!$B$2:$B$500,A12,Log!$C$2:$C$500,"Received"))</f>
        <v/>
      </c>
      <c r="C12" s="4">
        <f>IF(A12="","",SUMIFS(Log!$D$2:$D$500,Log!$B$2:$B$500,A12,Log!$C$2:$C$500,"Sold"))</f>
        <v/>
      </c>
      <c r="D12" s="4">
        <f>IF(A12="","",SUMIFS(Log!$D$2:$D$500,Log!$B$2:$B$500,A12,Log!$C$2:$C$500,"Adjustment"))</f>
        <v/>
      </c>
      <c r="E12" s="4">
        <f>IF(A12="","",B12-C12+D12)</f>
        <v/>
      </c>
      <c r="F12" s="3" t="n"/>
      <c r="G12" s="4">
        <f>IF(A12="","",IF(E12&lt;0,"Check",IF(NOT(ISNUMBER(F12)),"OK",IF(E12&lt;=F12,"Reorder","OK"))))</f>
        <v/>
      </c>
    </row>
    <row r="13">
      <c r="A13" s="3" t="n"/>
      <c r="B13" s="4">
        <f>IF(A13="","",SUMIFS(Log!$D$2:$D$500,Log!$B$2:$B$500,A13,Log!$C$2:$C$500,"Received"))</f>
        <v/>
      </c>
      <c r="C13" s="4">
        <f>IF(A13="","",SUMIFS(Log!$D$2:$D$500,Log!$B$2:$B$500,A13,Log!$C$2:$C$500,"Sold"))</f>
        <v/>
      </c>
      <c r="D13" s="4">
        <f>IF(A13="","",SUMIFS(Log!$D$2:$D$500,Log!$B$2:$B$500,A13,Log!$C$2:$C$500,"Adjustment"))</f>
        <v/>
      </c>
      <c r="E13" s="4">
        <f>IF(A13="","",B13-C13+D13)</f>
        <v/>
      </c>
      <c r="F13" s="3" t="n"/>
      <c r="G13" s="4">
        <f>IF(A13="","",IF(E13&lt;0,"Check",IF(NOT(ISNUMBER(F13)),"OK",IF(E13&lt;=F13,"Reorder","OK"))))</f>
        <v/>
      </c>
    </row>
    <row r="14">
      <c r="A14" s="3" t="n"/>
      <c r="B14" s="4">
        <f>IF(A14="","",SUMIFS(Log!$D$2:$D$500,Log!$B$2:$B$500,A14,Log!$C$2:$C$500,"Received"))</f>
        <v/>
      </c>
      <c r="C14" s="4">
        <f>IF(A14="","",SUMIFS(Log!$D$2:$D$500,Log!$B$2:$B$500,A14,Log!$C$2:$C$500,"Sold"))</f>
        <v/>
      </c>
      <c r="D14" s="4">
        <f>IF(A14="","",SUMIFS(Log!$D$2:$D$500,Log!$B$2:$B$500,A14,Log!$C$2:$C$500,"Adjustment"))</f>
        <v/>
      </c>
      <c r="E14" s="4">
        <f>IF(A14="","",B14-C14+D14)</f>
        <v/>
      </c>
      <c r="F14" s="3" t="n"/>
      <c r="G14" s="4">
        <f>IF(A14="","",IF(E14&lt;0,"Check",IF(NOT(ISNUMBER(F14)),"OK",IF(E14&lt;=F14,"Reorder","OK"))))</f>
        <v/>
      </c>
    </row>
    <row r="15">
      <c r="A15" s="3" t="n"/>
      <c r="B15" s="4">
        <f>IF(A15="","",SUMIFS(Log!$D$2:$D$500,Log!$B$2:$B$500,A15,Log!$C$2:$C$500,"Received"))</f>
        <v/>
      </c>
      <c r="C15" s="4">
        <f>IF(A15="","",SUMIFS(Log!$D$2:$D$500,Log!$B$2:$B$500,A15,Log!$C$2:$C$500,"Sold"))</f>
        <v/>
      </c>
      <c r="D15" s="4">
        <f>IF(A15="","",SUMIFS(Log!$D$2:$D$500,Log!$B$2:$B$500,A15,Log!$C$2:$C$500,"Adjustment"))</f>
        <v/>
      </c>
      <c r="E15" s="4">
        <f>IF(A15="","",B15-C15+D15)</f>
        <v/>
      </c>
      <c r="F15" s="3" t="n"/>
      <c r="G15" s="4">
        <f>IF(A15="","",IF(E15&lt;0,"Check",IF(NOT(ISNUMBER(F15)),"OK",IF(E15&lt;=F15,"Reorder","OK"))))</f>
        <v/>
      </c>
    </row>
    <row r="16">
      <c r="A16" s="3" t="n"/>
      <c r="B16" s="4">
        <f>IF(A16="","",SUMIFS(Log!$D$2:$D$500,Log!$B$2:$B$500,A16,Log!$C$2:$C$500,"Received"))</f>
        <v/>
      </c>
      <c r="C16" s="4">
        <f>IF(A16="","",SUMIFS(Log!$D$2:$D$500,Log!$B$2:$B$500,A16,Log!$C$2:$C$500,"Sold"))</f>
        <v/>
      </c>
      <c r="D16" s="4">
        <f>IF(A16="","",SUMIFS(Log!$D$2:$D$500,Log!$B$2:$B$500,A16,Log!$C$2:$C$500,"Adjustment"))</f>
        <v/>
      </c>
      <c r="E16" s="4">
        <f>IF(A16="","",B16-C16+D16)</f>
        <v/>
      </c>
      <c r="F16" s="3" t="n"/>
      <c r="G16" s="4">
        <f>IF(A16="","",IF(E16&lt;0,"Check",IF(NOT(ISNUMBER(F16)),"OK",IF(E16&lt;=F16,"Reorder","OK"))))</f>
        <v/>
      </c>
    </row>
    <row r="17">
      <c r="A17" s="3" t="n"/>
      <c r="B17" s="4">
        <f>IF(A17="","",SUMIFS(Log!$D$2:$D$500,Log!$B$2:$B$500,A17,Log!$C$2:$C$500,"Received"))</f>
        <v/>
      </c>
      <c r="C17" s="4">
        <f>IF(A17="","",SUMIFS(Log!$D$2:$D$500,Log!$B$2:$B$500,A17,Log!$C$2:$C$500,"Sold"))</f>
        <v/>
      </c>
      <c r="D17" s="4">
        <f>IF(A17="","",SUMIFS(Log!$D$2:$D$500,Log!$B$2:$B$500,A17,Log!$C$2:$C$500,"Adjustment"))</f>
        <v/>
      </c>
      <c r="E17" s="4">
        <f>IF(A17="","",B17-C17+D17)</f>
        <v/>
      </c>
      <c r="F17" s="3" t="n"/>
      <c r="G17" s="4">
        <f>IF(A17="","",IF(E17&lt;0,"Check",IF(NOT(ISNUMBER(F17)),"OK",IF(E17&lt;=F17,"Reorder","OK"))))</f>
        <v/>
      </c>
    </row>
    <row r="18">
      <c r="A18" s="3" t="n"/>
      <c r="B18" s="4">
        <f>IF(A18="","",SUMIFS(Log!$D$2:$D$500,Log!$B$2:$B$500,A18,Log!$C$2:$C$500,"Received"))</f>
        <v/>
      </c>
      <c r="C18" s="4">
        <f>IF(A18="","",SUMIFS(Log!$D$2:$D$500,Log!$B$2:$B$500,A18,Log!$C$2:$C$500,"Sold"))</f>
        <v/>
      </c>
      <c r="D18" s="4">
        <f>IF(A18="","",SUMIFS(Log!$D$2:$D$500,Log!$B$2:$B$500,A18,Log!$C$2:$C$500,"Adjustment"))</f>
        <v/>
      </c>
      <c r="E18" s="4">
        <f>IF(A18="","",B18-C18+D18)</f>
        <v/>
      </c>
      <c r="F18" s="3" t="n"/>
      <c r="G18" s="4">
        <f>IF(A18="","",IF(E18&lt;0,"Check",IF(NOT(ISNUMBER(F18)),"OK",IF(E18&lt;=F18,"Reorder","OK"))))</f>
        <v/>
      </c>
    </row>
    <row r="19">
      <c r="A19" s="3" t="n"/>
      <c r="B19" s="4">
        <f>IF(A19="","",SUMIFS(Log!$D$2:$D$500,Log!$B$2:$B$500,A19,Log!$C$2:$C$500,"Received"))</f>
        <v/>
      </c>
      <c r="C19" s="4">
        <f>IF(A19="","",SUMIFS(Log!$D$2:$D$500,Log!$B$2:$B$500,A19,Log!$C$2:$C$500,"Sold"))</f>
        <v/>
      </c>
      <c r="D19" s="4">
        <f>IF(A19="","",SUMIFS(Log!$D$2:$D$500,Log!$B$2:$B$500,A19,Log!$C$2:$C$500,"Adjustment"))</f>
        <v/>
      </c>
      <c r="E19" s="4">
        <f>IF(A19="","",B19-C19+D19)</f>
        <v/>
      </c>
      <c r="F19" s="3" t="n"/>
      <c r="G19" s="4">
        <f>IF(A19="","",IF(E19&lt;0,"Check",IF(NOT(ISNUMBER(F19)),"OK",IF(E19&lt;=F19,"Reorder","OK"))))</f>
        <v/>
      </c>
    </row>
    <row r="20">
      <c r="A20" s="3" t="n"/>
      <c r="B20" s="4">
        <f>IF(A20="","",SUMIFS(Log!$D$2:$D$500,Log!$B$2:$B$500,A20,Log!$C$2:$C$500,"Received"))</f>
        <v/>
      </c>
      <c r="C20" s="4">
        <f>IF(A20="","",SUMIFS(Log!$D$2:$D$500,Log!$B$2:$B$500,A20,Log!$C$2:$C$500,"Sold"))</f>
        <v/>
      </c>
      <c r="D20" s="4">
        <f>IF(A20="","",SUMIFS(Log!$D$2:$D$500,Log!$B$2:$B$500,A20,Log!$C$2:$C$500,"Adjustment"))</f>
        <v/>
      </c>
      <c r="E20" s="4">
        <f>IF(A20="","",B20-C20+D20)</f>
        <v/>
      </c>
      <c r="F20" s="3" t="n"/>
      <c r="G20" s="4">
        <f>IF(A20="","",IF(E20&lt;0,"Check",IF(NOT(ISNUMBER(F20)),"OK",IF(E20&lt;=F20,"Reorder","OK"))))</f>
        <v/>
      </c>
    </row>
  </sheetData>
  <conditionalFormatting sqref="G2:G20">
    <cfRule type="expression" priority="1" dxfId="0">
      <formula>G2="Reorder"</formula>
    </cfRule>
    <cfRule type="expression" priority="2" dxfId="0">
      <formula>G2="Check"</formula>
    </cfRule>
  </conditionalFormatting>
  <conditionalFormatting sqref="J9">
    <cfRule type="expression" priority="3" dxfId="0">
      <formula>J9="CHECK"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Stock on Hand From a Log of Items In and Out</t>
        </is>
      </c>
    </row>
    <row r="2">
      <c r="A2" s="9" t="inlineStr"/>
    </row>
    <row r="3">
      <c r="A3" s="9" t="inlineStr">
        <is>
          <t>1. Stock tab: list each SKU once in A and the count you want to reorder at in F (yellow). Rows 2 to 20 have formulas ready.</t>
        </is>
      </c>
    </row>
    <row r="4">
      <c r="A4" s="9" t="inlineStr">
        <is>
          <t>2. Log tab: add one row every time stock moves. Date, SKU (dropdown from the Stock tab), Type (Received, Sold or Adjustment), Qty and a note.</t>
        </is>
      </c>
    </row>
    <row r="5">
      <c r="A5" s="9" t="inlineStr">
        <is>
          <t>3. Type Received and Sold as positive numbers. Type an Adjustment with its sign: -2 for two broken bars, 3 for three found in a recount.</t>
        </is>
      </c>
    </row>
    <row r="6">
      <c r="A6" s="9" t="inlineStr">
        <is>
          <t>4. Stock!B2: =SUMIFS(Log!D2:D500,Log!B2:B500,A2,Log!C2:C500,"Received") adds every Received row for that SKU. C2 and D2 do the same for Sold and Adjustment.</t>
        </is>
      </c>
    </row>
    <row r="7">
      <c r="A7" s="9" t="inlineStr">
        <is>
          <t>5. On hand E2: =B2-C2+D2. Status G2 shows Reorder when On hand is at or below the Minimum and Check when On hand is below zero (more sold than received).</t>
        </is>
      </c>
    </row>
    <row r="8">
      <c r="A8" s="9" t="inlineStr">
        <is>
          <t>6. Log!F shows Check for a row with a blank SKU, a SKU that is not on the Stock tab (watch for a trailing space), a Type outside the list or a Qty typed as text. Those rows are left out of the Stock tab.</t>
        </is>
      </c>
    </row>
    <row r="9">
      <c r="A9" s="9" t="inlineStr">
        <is>
          <t>7. Stock!J9 shows OK when the on hand total equals received minus sold plus adjustments for the whole log, no log row needs checking and no SKU is below zero.</t>
        </is>
      </c>
    </row>
    <row r="10">
      <c r="A10" s="9" t="inlineStr">
        <is>
          <t>8. SKU matching ignores upper and lower case (soap-oat counts as SOAP-OAT). The Date column is not used in the totals; it keeps the history.</t>
        </is>
      </c>
    </row>
    <row r="11">
      <c r="A11" s="9" t="inlineStr">
        <is>
          <t>9. Counts only. This sheet does not value inventory or work out cost of goods sold.</t>
        </is>
      </c>
    </row>
    <row r="12">
      <c r="A12" s="9" t="inlineStr">
        <is>
          <t>10. The print area covers the first 40 log rows. Change the print area to print a longer log.</t>
        </is>
      </c>
    </row>
    <row r="13">
      <c r="A13" s="9" t="inlineStr"/>
    </row>
    <row r="14">
      <c r="A14" s="9" t="inlineStr">
        <is>
          <t>Shop, SKUs and quantities are fictional. Checked in LibreOffice Calc only; not opened in Excel or Google Sheets.</t>
        </is>
      </c>
    </row>
    <row r="15">
      <c r="A15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2026-10-17T07:35:54Z</dcterms:created>
  <dcterms:modified xsi:type="dcterms:W3CDTF">2026-10-17T07:35:54Z</dcterms:modified>
</cp:coreProperties>
</file>