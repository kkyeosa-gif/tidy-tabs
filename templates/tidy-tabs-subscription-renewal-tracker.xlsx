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criptions" sheetId="1" state="visible" r:id="rId1"/>
    <sheet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3" borderId="0" pivotButton="0" quotePrefix="0" xfId="0"/>
    <xf numFmtId="0" fontId="0" fillId="3" borderId="0" pivotButton="0" quotePrefix="0" xfId="0"/>
    <xf numFmtId="166" fontId="0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1" customWidth="1" min="3" max="3"/>
    <col width="12" customWidth="1" min="4" max="4"/>
    <col width="13" customWidth="1" min="5" max="5"/>
    <col width="10" customWidth="1" min="6" max="6"/>
    <col width="14" customWidth="1" min="7" max="7"/>
    <col width="12" customWidth="1" min="8" max="8"/>
    <col width="12" customWidth="1" min="9" max="9"/>
    <col width="16" customWidth="1" min="10" max="10"/>
    <col width="13" customWidth="1" min="11" max="11"/>
  </cols>
  <sheetData>
    <row r="1" ht="30" customHeight="1">
      <c r="A1" s="1" t="inlineStr">
        <is>
          <t>Subscription</t>
        </is>
      </c>
      <c r="B1" s="1" t="inlineStr">
        <is>
          <t>Last renewed</t>
        </is>
      </c>
      <c r="C1" s="1" t="inlineStr">
        <is>
          <t>Months per cycle</t>
        </is>
      </c>
      <c r="D1" s="1" t="inlineStr">
        <is>
          <t>Cost per cycle</t>
        </is>
      </c>
      <c r="E1" s="1" t="inlineStr">
        <is>
          <t>Next renewal</t>
        </is>
      </c>
      <c r="F1" s="1" t="inlineStr">
        <is>
          <t>Days left</t>
        </is>
      </c>
      <c r="G1" s="1" t="inlineStr">
        <is>
          <t>Status</t>
        </is>
      </c>
      <c r="H1" s="1" t="inlineStr">
        <is>
          <t>Monthly cost</t>
        </is>
      </c>
      <c r="I1" s="1" t="inlineStr">
        <is>
          <t>Annual cost</t>
        </is>
      </c>
      <c r="J1" s="2" t="inlineStr">
        <is>
          <t>As of date</t>
        </is>
      </c>
      <c r="K1" s="3" t="n">
        <v>46297</v>
      </c>
    </row>
    <row r="2">
      <c r="A2" t="inlineStr">
        <is>
          <t>Domain name</t>
        </is>
      </c>
      <c r="B2" s="3" t="n">
        <v>46096</v>
      </c>
      <c r="C2" t="n">
        <v>12</v>
      </c>
      <c r="D2" s="4" t="n">
        <v>18</v>
      </c>
      <c r="E2" s="5">
        <f>IF(B2="","",EDATE(B2,C2))</f>
        <v/>
      </c>
      <c r="F2" s="6">
        <f>IF(E2="","",E2-$K$1)</f>
        <v/>
      </c>
      <c r="G2" s="6">
        <f>IF(F2="","",IF(F2&lt;0,"Past due",IF(F2&lt;=30,"Renews soon","OK")))</f>
        <v/>
      </c>
      <c r="H2" s="7">
        <f>IF(D2="","",D2/C2)</f>
        <v/>
      </c>
      <c r="I2" s="7">
        <f>IF(D2="","",D2*12/C2)</f>
        <v/>
      </c>
      <c r="J2" s="2" t="inlineStr">
        <is>
          <t>Total monthly</t>
        </is>
      </c>
      <c r="K2" s="4">
        <f>SUM(H2:H200)</f>
        <v/>
      </c>
    </row>
    <row r="3">
      <c r="A3" t="inlineStr">
        <is>
          <t>Email marketing plan</t>
        </is>
      </c>
      <c r="B3" s="3" t="n">
        <v>46280</v>
      </c>
      <c r="C3" t="n">
        <v>1</v>
      </c>
      <c r="D3" s="4" t="n">
        <v>20</v>
      </c>
      <c r="E3" s="5">
        <f>IF(B3="","",EDATE(B3,C3))</f>
        <v/>
      </c>
      <c r="F3" s="6">
        <f>IF(E3="","",E3-$K$1)</f>
        <v/>
      </c>
      <c r="G3" s="6">
        <f>IF(F3="","",IF(F3&lt;0,"Past due",IF(F3&lt;=30,"Renews soon","OK")))</f>
        <v/>
      </c>
      <c r="H3" s="7">
        <f>IF(D3="","",D3/C3)</f>
        <v/>
      </c>
      <c r="I3" s="7">
        <f>IF(D3="","",D3*12/C3)</f>
        <v/>
      </c>
      <c r="J3" s="2" t="inlineStr">
        <is>
          <t>Total annual</t>
        </is>
      </c>
      <c r="K3" s="4">
        <f>SUM(I2:I200)</f>
        <v/>
      </c>
    </row>
    <row r="4">
      <c r="A4" t="inlineStr">
        <is>
          <t>Online shop plan</t>
        </is>
      </c>
      <c r="B4" s="3" t="n">
        <v>46293</v>
      </c>
      <c r="C4" t="n">
        <v>1</v>
      </c>
      <c r="D4" s="4" t="n">
        <v>10</v>
      </c>
      <c r="E4" s="5">
        <f>IF(B4="","",EDATE(B4,C4))</f>
        <v/>
      </c>
      <c r="F4" s="6">
        <f>IF(E4="","",E4-$K$1)</f>
        <v/>
      </c>
      <c r="G4" s="6">
        <f>IF(F4="","",IF(F4&lt;0,"Past due",IF(F4&lt;=30,"Renews soon","OK")))</f>
        <v/>
      </c>
      <c r="H4" s="7">
        <f>IF(D4="","",D4/C4)</f>
        <v/>
      </c>
      <c r="I4" s="7">
        <f>IF(D4="","",D4*12/C4)</f>
        <v/>
      </c>
    </row>
    <row r="5">
      <c r="A5" t="inlineStr">
        <is>
          <t>Bookkeeping software</t>
        </is>
      </c>
      <c r="B5" s="3" t="n">
        <v>45966</v>
      </c>
      <c r="C5" t="n">
        <v>12</v>
      </c>
      <c r="D5" s="4" t="n">
        <v>180</v>
      </c>
      <c r="E5" s="5">
        <f>IF(B5="","",EDATE(B5,C5))</f>
        <v/>
      </c>
      <c r="F5" s="6">
        <f>IF(E5="","",E5-$K$1)</f>
        <v/>
      </c>
      <c r="G5" s="6">
        <f>IF(F5="","",IF(F5&lt;0,"Past due",IF(F5&lt;=30,"Renews soon","OK")))</f>
        <v/>
      </c>
      <c r="H5" s="7">
        <f>IF(D5="","",D5/C5)</f>
        <v/>
      </c>
      <c r="I5" s="7">
        <f>IF(D5="","",D5*12/C5)</f>
        <v/>
      </c>
    </row>
    <row r="6">
      <c r="A6" t="inlineStr">
        <is>
          <t>Photo storage (6 months)</t>
        </is>
      </c>
      <c r="B6" s="3" t="n">
        <v>46265</v>
      </c>
      <c r="C6" t="n">
        <v>6</v>
      </c>
      <c r="D6" s="4" t="n">
        <v>30</v>
      </c>
      <c r="E6" s="5">
        <f>IF(B6="","",EDATE(B6,C6))</f>
        <v/>
      </c>
      <c r="F6" s="6">
        <f>IF(E6="","",E6-$K$1)</f>
        <v/>
      </c>
      <c r="G6" s="6">
        <f>IF(F6="","",IF(F6&lt;0,"Past due",IF(F6&lt;=30,"Renews soon","OK")))</f>
        <v/>
      </c>
      <c r="H6" s="7">
        <f>IF(D6="","",D6/C6)</f>
        <v/>
      </c>
      <c r="I6" s="7">
        <f>IF(D6="","",D6*12/C6)</f>
        <v/>
      </c>
    </row>
  </sheetData>
  <conditionalFormatting sqref="G2:G200">
    <cfRule type="expression" priority="1" dxfId="0">
      <formula>OR($G2="Renews soon",$G2="Past due")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Tidy Tabs: Subscription Renewal Tracker</t>
        </is>
      </c>
    </row>
    <row r="2">
      <c r="A2" t="inlineStr"/>
    </row>
    <row r="3">
      <c r="A3" t="inlineStr">
        <is>
          <t>1. One row per subscription. Type Last renewed (the date you were last charged), Months per cycle (1 = monthly, 12 = yearly), and Cost per cycle.</t>
        </is>
      </c>
    </row>
    <row r="4">
      <c r="A4" t="inlineStr">
        <is>
          <t>2. Next renewal = EDATE(B2,C2), the same day of the month after Months per cycle. If that day does not exist (08/31 plus 6 months), EDATE uses the last day of the month: 02/28/2027.</t>
        </is>
      </c>
    </row>
    <row r="5">
      <c r="A5" t="inlineStr">
        <is>
          <t>3. Days left = Next renewal minus the As of date in K1. Status shows Renews soon at 30 days or fewer, and Past due below 0.</t>
        </is>
      </c>
    </row>
    <row r="6">
      <c r="A6" t="inlineStr">
        <is>
          <t>4. Monthly cost = Cost per cycle / Months per cycle. Annual cost = Cost per cycle x 12 / Months per cycle. Totals are in K2 and K3.</t>
        </is>
      </c>
    </row>
    <row r="7">
      <c r="A7" t="inlineStr">
        <is>
          <t>5. The sample As of date is 10/02/2026 so the numbers stay put. Type =TODAY() in K1 to count from today.</t>
        </is>
      </c>
    </row>
    <row r="8">
      <c r="A8" t="inlineStr">
        <is>
          <t>6. After a renewal, type the new charge date in Last renewed.</t>
        </is>
      </c>
    </row>
    <row r="9">
      <c r="A9" t="inlineStr"/>
    </row>
    <row r="10">
      <c r="A10" t="inlineStr">
        <is>
          <t>Subscriptions and prices are fictional.</t>
        </is>
      </c>
    </row>
    <row r="11">
      <c r="A11" t="inlineStr">
        <is>
          <t>Google Sheets: File &gt; Import &gt; Upload this 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2026-10-01T07:28:55Z</dcterms:created>
  <dcterms:modified xsi:type="dcterms:W3CDTF">2026-10-01T07:28:55Z</dcterms:modified>
</cp:coreProperties>
</file>