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Totals" sheetId="2" state="visible" r:id="rId2"/>
    <sheet xmlns:r="http://schemas.openxmlformats.org/officeDocument/2006/relationships" name="How to use" sheetId="3" state="visible" r:id="rId3"/>
  </sheets>
  <definedNames>
    <definedName name="_xlnm._FilterDatabase" localSheetId="0" hidden="1">'Sales'!$A$1:$C$16</definedName>
    <definedName name="_xlnm.Print_Titles" localSheetId="0">'Sales'!$1:$1</definedName>
    <definedName name="_xlnm.Print_Titles" localSheetId="1">'Totals'!$1:$1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  <xf numFmtId="166" fontId="0" fillId="3" borderId="0" pivotButton="0" quotePrefix="0" xfId="0"/>
    <xf numFmtId="1" fontId="0" fillId="3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2" customWidth="1" min="3" max="3"/>
  </cols>
  <sheetData>
    <row r="1" ht="30" customHeight="1">
      <c r="A1" s="1" t="inlineStr">
        <is>
          <t>Sale date</t>
        </is>
      </c>
      <c r="B1" s="1" t="inlineStr">
        <is>
          <t>Channel</t>
        </is>
      </c>
      <c r="C1" s="1" t="inlineStr">
        <is>
          <t>Amount</t>
        </is>
      </c>
    </row>
    <row r="2">
      <c r="A2" s="2" t="n">
        <v>46267</v>
      </c>
      <c r="B2" t="inlineStr">
        <is>
          <t>Shopify</t>
        </is>
      </c>
      <c r="C2" s="3" t="n">
        <v>12</v>
      </c>
    </row>
    <row r="3">
      <c r="A3" s="2" t="n">
        <v>46268</v>
      </c>
      <c r="B3" t="inlineStr">
        <is>
          <t>Etsy</t>
        </is>
      </c>
      <c r="C3" s="3" t="n">
        <v>34</v>
      </c>
    </row>
    <row r="4">
      <c r="A4" s="2" t="n">
        <v>46270</v>
      </c>
      <c r="B4" t="inlineStr">
        <is>
          <t>Farmers market</t>
        </is>
      </c>
      <c r="C4" s="3" t="n">
        <v>22</v>
      </c>
    </row>
    <row r="5">
      <c r="A5" s="2" t="n">
        <v>46271</v>
      </c>
      <c r="B5" t="inlineStr">
        <is>
          <t>Farmers market</t>
        </is>
      </c>
      <c r="C5" s="3" t="n">
        <v>8.5</v>
      </c>
    </row>
    <row r="6">
      <c r="A6" s="2" t="n">
        <v>46273</v>
      </c>
      <c r="B6" t="inlineStr">
        <is>
          <t>Shopify</t>
        </is>
      </c>
      <c r="C6" s="3" t="n">
        <v>15</v>
      </c>
    </row>
    <row r="7">
      <c r="A7" s="2" t="n">
        <v>46275</v>
      </c>
      <c r="B7" t="inlineStr">
        <is>
          <t>Etsy</t>
        </is>
      </c>
      <c r="C7" s="3" t="n">
        <v>18.5</v>
      </c>
    </row>
    <row r="8">
      <c r="A8" s="2" t="n">
        <v>46277</v>
      </c>
      <c r="B8" t="inlineStr">
        <is>
          <t>Farmers market</t>
        </is>
      </c>
      <c r="C8" s="3" t="n">
        <v>6</v>
      </c>
    </row>
    <row r="9">
      <c r="A9" s="2" t="n">
        <v>46279</v>
      </c>
      <c r="B9" t="inlineStr">
        <is>
          <t>Shopify</t>
        </is>
      </c>
      <c r="C9" s="3" t="n">
        <v>9.5</v>
      </c>
    </row>
    <row r="10">
      <c r="A10" s="2" t="n">
        <v>46282</v>
      </c>
      <c r="B10" t="inlineStr">
        <is>
          <t>Farmers market</t>
        </is>
      </c>
      <c r="C10" s="3" t="n">
        <v>14</v>
      </c>
    </row>
    <row r="11">
      <c r="A11" s="2" t="n">
        <v>46284</v>
      </c>
      <c r="B11" t="inlineStr">
        <is>
          <t>Shopify</t>
        </is>
      </c>
      <c r="C11" s="3" t="n">
        <v>11</v>
      </c>
    </row>
    <row r="12">
      <c r="A12" s="2" t="n">
        <v>46286</v>
      </c>
      <c r="B12" t="inlineStr">
        <is>
          <t>Etsy</t>
        </is>
      </c>
      <c r="C12" s="3" t="n">
        <v>23</v>
      </c>
    </row>
    <row r="13">
      <c r="A13" s="2" t="n">
        <v>46288</v>
      </c>
      <c r="B13" t="inlineStr">
        <is>
          <t>Farmers market</t>
        </is>
      </c>
      <c r="C13" s="3" t="n">
        <v>7.5</v>
      </c>
    </row>
    <row r="14">
      <c r="A14" s="2" t="n">
        <v>46290</v>
      </c>
      <c r="B14" t="inlineStr">
        <is>
          <t>Shopify</t>
        </is>
      </c>
      <c r="C14" s="3" t="n">
        <v>5</v>
      </c>
    </row>
    <row r="15">
      <c r="A15" s="2" t="n">
        <v>46292</v>
      </c>
      <c r="B15" t="inlineStr">
        <is>
          <t>Farmers market</t>
        </is>
      </c>
      <c r="C15" s="3" t="n">
        <v>10.5</v>
      </c>
    </row>
    <row r="16">
      <c r="A16" s="2" t="n">
        <v>46294</v>
      </c>
      <c r="B16" t="inlineStr">
        <is>
          <t>Shopify</t>
        </is>
      </c>
      <c r="C16" s="3" t="n">
        <v>4</v>
      </c>
    </row>
  </sheetData>
  <autoFilter ref="A1:C16"/>
  <pageMargins left="0.75" right="0.75" top="1" bottom="1" header="0.5" footer="0.5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14" customWidth="1" min="3" max="3"/>
  </cols>
  <sheetData>
    <row r="1" ht="30" customHeight="1">
      <c r="A1" s="1" t="inlineStr">
        <is>
          <t>Measure</t>
        </is>
      </c>
      <c r="B1" s="1" t="inlineStr">
        <is>
          <t>Formula</t>
        </is>
      </c>
      <c r="C1" s="1" t="inlineStr">
        <is>
          <t>Result</t>
        </is>
      </c>
    </row>
    <row r="2">
      <c r="A2" t="inlineStr">
        <is>
          <t>Visible total (SUBTOTAL 109)</t>
        </is>
      </c>
      <c r="B2" t="inlineStr">
        <is>
          <t>=SUBTOTAL(109,C2:C16)</t>
        </is>
      </c>
      <c r="C2" s="4">
        <f>SUBTOTAL(109,Sales!C2:C16)</f>
        <v/>
      </c>
    </row>
    <row r="3">
      <c r="A3" t="inlineStr">
        <is>
          <t>Visible count (SUBTOTAL 103)</t>
        </is>
      </c>
      <c r="B3" t="inlineStr">
        <is>
          <t>=SUBTOTAL(103,C2:C16)</t>
        </is>
      </c>
      <c r="C3" s="5">
        <f>SUBTOTAL(103,Sales!C2:C16)</f>
        <v/>
      </c>
    </row>
    <row r="4">
      <c r="A4" t="inlineStr">
        <is>
          <t>Visible average (SUBTOTAL 101)</t>
        </is>
      </c>
      <c r="B4" t="inlineStr">
        <is>
          <t>=SUBTOTAL(101,C2:C16)</t>
        </is>
      </c>
      <c r="C4" s="4">
        <f>SUBTOTAL(101,Sales!C2:C16)</f>
        <v/>
      </c>
    </row>
    <row r="5">
      <c r="A5" t="inlineStr">
        <is>
          <t>All rows total (SUM, ignores filter)</t>
        </is>
      </c>
      <c r="B5" t="inlineStr">
        <is>
          <t>=SUM(C2:C16)</t>
        </is>
      </c>
      <c r="C5" s="4">
        <f>SUM(Sales!C2:C16)</f>
        <v/>
      </c>
    </row>
    <row r="6">
      <c r="A6" t="inlineStr">
        <is>
          <t>All rows count (COUNT)</t>
        </is>
      </c>
      <c r="B6" t="inlineStr">
        <is>
          <t>=COUNT(C2:C16)</t>
        </is>
      </c>
      <c r="C6" s="5">
        <f>COUNT(Sales!C2:C16)</f>
        <v/>
      </c>
    </row>
  </sheetData>
  <pageMargins left="0.75" right="0.75" top="1" bottom="1" header="0.5" footer="0.5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Tidy Tabs: Sum Only the Visible Rows After Filtering</t>
        </is>
      </c>
    </row>
    <row r="2">
      <c r="A2" s="7" t="inlineStr"/>
    </row>
    <row r="3">
      <c r="A3" s="7" t="inlineStr">
        <is>
          <t>1. Sales tab: one row per sale. The header row already has filter arrows (Data &gt; Filter in Excel, Data &gt; Create a filter in Google Sheets).</t>
        </is>
      </c>
    </row>
    <row r="4">
      <c r="A4" s="7" t="inlineStr">
        <is>
          <t>2. Click the arrow on Channel and keep only one channel, for example Etsy. The other rows are hidden.</t>
        </is>
      </c>
    </row>
    <row r="5">
      <c r="A5" s="7" t="inlineStr">
        <is>
          <t>3. Totals tab, C2: =SUBTOTAL(109,Sales!C2:C16) adds only the rows still visible. 109 means SUM, skipping rows hidden by a filter or by hand.</t>
        </is>
      </c>
    </row>
    <row r="6">
      <c r="A6" s="7" t="inlineStr">
        <is>
          <t>4. C3: =SUBTOTAL(103,...) counts visible numbers. C4: =SUBTOTAL(101,...) averages the visible rows.</t>
        </is>
      </c>
    </row>
    <row r="7">
      <c r="A7" s="7" t="inlineStr">
        <is>
          <t>5. C5: =SUM(Sales!C2:C16) adds every row, so it does not change when you filter. Compare it with C2.</t>
        </is>
      </c>
    </row>
    <row r="8">
      <c r="A8" s="7" t="inlineStr">
        <is>
          <t>6. If you add rows below row 16, extend the ranges (or insert the new rows inside the list).</t>
        </is>
      </c>
    </row>
    <row r="9">
      <c r="A9" s="7" t="inlineStr">
        <is>
          <t>7. Do not put SUBTOTAL cells inside the filtered range: they would be hidden or counted twice. That is why the totals sit on their own tab.</t>
        </is>
      </c>
    </row>
    <row r="10">
      <c r="A10" s="7" t="inlineStr"/>
    </row>
    <row r="11">
      <c r="A11" s="7" t="inlineStr">
        <is>
          <t>Sales and amounts are fictional. Checked in LibreOffice Calc only; not opened in Excel or Google Sheets.</t>
        </is>
      </c>
    </row>
    <row r="12">
      <c r="A12" s="7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2026-10-09T07:31:22Z</dcterms:created>
  <dcterms:modified xmlns:dcterms="http://purl.org/dc/terms/" xmlns:xsi="http://www.w3.org/2001/XMLSchema-instance" xsi:type="dcterms:W3CDTF">2026-10-09T07:31:22Z</dcterms:modified>
</cp:coreProperties>
</file>