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3" customWidth="1" min="5" max="5"/>
    <col width="16" customWidth="1" min="6" max="6"/>
    <col width="14" customWidth="1" min="7" max="7"/>
    <col width="11" customWidth="1" min="8" max="8"/>
  </cols>
  <sheetData>
    <row r="1" ht="30" customHeight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Amount</t>
        </is>
      </c>
      <c r="E1" s="1" t="inlineStr"/>
      <c r="F1" s="1" t="inlineStr">
        <is>
          <t>Category</t>
        </is>
      </c>
      <c r="G1" s="1" t="inlineStr">
        <is>
          <t>Total spent</t>
        </is>
      </c>
      <c r="H1" s="1" t="inlineStr">
        <is>
          <t>% of total</t>
        </is>
      </c>
    </row>
    <row r="2">
      <c r="A2" s="2" t="n">
        <v>46266</v>
      </c>
      <c r="B2" t="inlineStr">
        <is>
          <t>Greenline Office Supply</t>
        </is>
      </c>
      <c r="C2" t="inlineStr">
        <is>
          <t>Supplies</t>
        </is>
      </c>
      <c r="D2" s="3" t="n">
        <v>84.5</v>
      </c>
      <c r="F2" t="inlineStr">
        <is>
          <t>Supplies</t>
        </is>
      </c>
      <c r="G2" s="4">
        <f>SUMIF($C$2:$C$40,F2,$D$2:$D$40)</f>
        <v/>
      </c>
      <c r="H2" s="5">
        <f>G2/$G$9</f>
        <v/>
      </c>
    </row>
    <row r="3">
      <c r="A3" s="2" t="n">
        <v>46267</v>
      </c>
      <c r="B3" t="inlineStr">
        <is>
          <t>Lakeview Web Hosting</t>
        </is>
      </c>
      <c r="C3" t="inlineStr">
        <is>
          <t>Software</t>
        </is>
      </c>
      <c r="D3" s="3" t="n">
        <v>29</v>
      </c>
      <c r="F3" t="inlineStr">
        <is>
          <t>Software</t>
        </is>
      </c>
      <c r="G3" s="4">
        <f>SUMIF($C$2:$C$40,F3,$D$2:$D$40)</f>
        <v/>
      </c>
      <c r="H3" s="5">
        <f>G3/$G$9</f>
        <v/>
      </c>
    </row>
    <row r="4">
      <c r="A4" s="2" t="n">
        <v>46268</v>
      </c>
      <c r="B4" t="inlineStr">
        <is>
          <t>Pioneer Postal Center</t>
        </is>
      </c>
      <c r="C4" t="inlineStr">
        <is>
          <t>Shipping</t>
        </is>
      </c>
      <c r="D4" s="3" t="n">
        <v>46.25</v>
      </c>
      <c r="F4" t="inlineStr">
        <is>
          <t>Shipping</t>
        </is>
      </c>
      <c r="G4" s="4">
        <f>SUMIF($C$2:$C$40,F4,$D$2:$D$40)</f>
        <v/>
      </c>
      <c r="H4" s="5">
        <f>G4/$G$9</f>
        <v/>
      </c>
    </row>
    <row r="5">
      <c r="A5" s="2" t="n">
        <v>46270</v>
      </c>
      <c r="B5" t="inlineStr">
        <is>
          <t>Metro Transit Pass</t>
        </is>
      </c>
      <c r="C5" t="inlineStr">
        <is>
          <t>Travel</t>
        </is>
      </c>
      <c r="D5" s="3" t="n">
        <v>90</v>
      </c>
      <c r="F5" t="inlineStr">
        <is>
          <t>Travel</t>
        </is>
      </c>
      <c r="G5" s="4">
        <f>SUMIF($C$2:$C$40,F5,$D$2:$D$40)</f>
        <v/>
      </c>
      <c r="H5" s="5">
        <f>G5/$G$9</f>
        <v/>
      </c>
    </row>
    <row r="6">
      <c r="A6" s="2" t="n">
        <v>46271</v>
      </c>
      <c r="B6" t="inlineStr">
        <is>
          <t>Harbor Coffee</t>
        </is>
      </c>
      <c r="C6" t="inlineStr">
        <is>
          <t>Meals</t>
        </is>
      </c>
      <c r="D6" s="3" t="n">
        <v>18.4</v>
      </c>
      <c r="F6" t="inlineStr">
        <is>
          <t>Meals</t>
        </is>
      </c>
      <c r="G6" s="4">
        <f>SUMIF($C$2:$C$40,F6,$D$2:$D$40)</f>
        <v/>
      </c>
      <c r="H6" s="5">
        <f>G6/$G$9</f>
        <v/>
      </c>
    </row>
    <row r="7">
      <c r="A7" s="2" t="n">
        <v>46273</v>
      </c>
      <c r="B7" t="inlineStr">
        <is>
          <t>Northeast Electric</t>
        </is>
      </c>
      <c r="C7" t="inlineStr">
        <is>
          <t>Utilities</t>
        </is>
      </c>
      <c r="D7" s="3" t="n">
        <v>112.3</v>
      </c>
      <c r="F7" t="inlineStr">
        <is>
          <t>Utilities</t>
        </is>
      </c>
      <c r="G7" s="4">
        <f>SUMIF($C$2:$C$40,F7,$D$2:$D$40)</f>
        <v/>
      </c>
      <c r="H7" s="5">
        <f>G7/$G$9</f>
        <v/>
      </c>
    </row>
    <row r="8">
      <c r="A8" s="2" t="n">
        <v>46274</v>
      </c>
      <c r="B8" t="inlineStr">
        <is>
          <t>Social Ads Co</t>
        </is>
      </c>
      <c r="C8" t="inlineStr">
        <is>
          <t>Advertising</t>
        </is>
      </c>
      <c r="D8" s="3" t="n">
        <v>150</v>
      </c>
      <c r="F8" t="inlineStr">
        <is>
          <t>Advertising</t>
        </is>
      </c>
      <c r="G8" s="4">
        <f>SUMIF($C$2:$C$40,F8,$D$2:$D$40)</f>
        <v/>
      </c>
      <c r="H8" s="5">
        <f>G8/$G$9</f>
        <v/>
      </c>
    </row>
    <row r="9">
      <c r="A9" s="2" t="n">
        <v>46275</v>
      </c>
      <c r="B9" t="inlineStr">
        <is>
          <t>Greenline Office Supply</t>
        </is>
      </c>
      <c r="C9" t="inlineStr">
        <is>
          <t>Supplies</t>
        </is>
      </c>
      <c r="D9" s="3" t="n">
        <v>37.8</v>
      </c>
      <c r="F9" s="6" t="inlineStr">
        <is>
          <t>Total</t>
        </is>
      </c>
      <c r="G9" s="7">
        <f>SUM(G2:G8)</f>
        <v/>
      </c>
      <c r="H9" s="8">
        <f>SUM(H2:H8)</f>
        <v/>
      </c>
    </row>
    <row r="10">
      <c r="A10" s="2" t="n">
        <v>46277</v>
      </c>
      <c r="B10" t="inlineStr">
        <is>
          <t>Pioneer Postal Center</t>
        </is>
      </c>
      <c r="C10" t="inlineStr">
        <is>
          <t>Shipping</t>
        </is>
      </c>
      <c r="D10" s="3" t="n">
        <v>62.1</v>
      </c>
    </row>
    <row r="11">
      <c r="A11" s="2" t="n">
        <v>46278</v>
      </c>
      <c r="B11" t="inlineStr">
        <is>
          <t>Cloud Backup Plus</t>
        </is>
      </c>
      <c r="C11" t="inlineStr">
        <is>
          <t>Software</t>
        </is>
      </c>
      <c r="D11" s="3" t="n">
        <v>12.99</v>
      </c>
      <c r="F11" s="6" t="inlineStr">
        <is>
          <t>Log total</t>
        </is>
      </c>
      <c r="G11" s="4">
        <f>SUM($D$2:$D$40)</f>
        <v/>
      </c>
    </row>
    <row r="12">
      <c r="A12" s="2" t="n">
        <v>46280</v>
      </c>
      <c r="B12" t="inlineStr">
        <is>
          <t>Oak Street Deli</t>
        </is>
      </c>
      <c r="C12" t="inlineStr">
        <is>
          <t>Meals</t>
        </is>
      </c>
      <c r="D12" s="3" t="n">
        <v>24.75</v>
      </c>
      <c r="F12" s="6" t="inlineStr">
        <is>
          <t>Difference</t>
        </is>
      </c>
      <c r="G12" s="4">
        <f>ROUND(G11-G9,2)</f>
        <v/>
      </c>
    </row>
    <row r="13">
      <c r="A13" s="2" t="n">
        <v>46281</v>
      </c>
      <c r="B13" t="inlineStr">
        <is>
          <t>Harbor Parking Garage</t>
        </is>
      </c>
      <c r="C13" t="inlineStr">
        <is>
          <t>Travel</t>
        </is>
      </c>
      <c r="D13" s="3" t="n">
        <v>22</v>
      </c>
      <c r="F13" s="6" t="inlineStr">
        <is>
          <t>Check</t>
        </is>
      </c>
      <c r="G13" s="9">
        <f>IF(G12=0,"OK","CHECK CATEGORIES")</f>
        <v/>
      </c>
    </row>
    <row r="14">
      <c r="A14" s="2" t="n">
        <v>46282</v>
      </c>
      <c r="B14" t="inlineStr">
        <is>
          <t>Social Ads Co</t>
        </is>
      </c>
      <c r="C14" t="inlineStr">
        <is>
          <t>Advertising</t>
        </is>
      </c>
      <c r="D14" s="3" t="n">
        <v>75</v>
      </c>
    </row>
    <row r="15">
      <c r="A15" s="2" t="n">
        <v>46284</v>
      </c>
      <c r="B15" t="inlineStr">
        <is>
          <t>Craft Paper Wholesale</t>
        </is>
      </c>
      <c r="C15" t="inlineStr">
        <is>
          <t>Supplies</t>
        </is>
      </c>
      <c r="D15" s="3" t="n">
        <v>128.6</v>
      </c>
    </row>
    <row r="16">
      <c r="A16" s="2" t="n">
        <v>46285</v>
      </c>
      <c r="B16" t="inlineStr">
        <is>
          <t>Northeast Gas</t>
        </is>
      </c>
      <c r="C16" t="inlineStr">
        <is>
          <t>Utilities</t>
        </is>
      </c>
      <c r="D16" s="3" t="n">
        <v>58.45</v>
      </c>
    </row>
    <row r="17">
      <c r="A17" s="2" t="n">
        <v>46287</v>
      </c>
      <c r="B17" t="inlineStr">
        <is>
          <t>Pioneer Postal Center</t>
        </is>
      </c>
      <c r="C17" t="inlineStr">
        <is>
          <t>Shipping</t>
        </is>
      </c>
      <c r="D17" s="3" t="n">
        <v>33.9</v>
      </c>
    </row>
    <row r="18">
      <c r="A18" s="2" t="n">
        <v>46288</v>
      </c>
      <c r="B18" t="inlineStr">
        <is>
          <t>Design Template Shop</t>
        </is>
      </c>
      <c r="C18" t="inlineStr">
        <is>
          <t>Software</t>
        </is>
      </c>
      <c r="D18" s="3" t="n">
        <v>49</v>
      </c>
    </row>
    <row r="19">
      <c r="A19" s="2" t="n">
        <v>46289</v>
      </c>
      <c r="B19" t="inlineStr">
        <is>
          <t>Amtrak Regional</t>
        </is>
      </c>
      <c r="C19" t="inlineStr">
        <is>
          <t>Travel</t>
        </is>
      </c>
      <c r="D19" s="3" t="n">
        <v>134</v>
      </c>
    </row>
    <row r="20">
      <c r="A20" s="2" t="n">
        <v>46290</v>
      </c>
      <c r="B20" t="inlineStr">
        <is>
          <t>Maple Cafe</t>
        </is>
      </c>
      <c r="C20" t="inlineStr">
        <is>
          <t>Meals</t>
        </is>
      </c>
      <c r="D20" s="3" t="n">
        <v>31.2</v>
      </c>
    </row>
    <row r="21">
      <c r="A21" s="2" t="n">
        <v>46291</v>
      </c>
      <c r="B21" t="inlineStr">
        <is>
          <t>Craft Paper Wholesale</t>
        </is>
      </c>
      <c r="C21" t="inlineStr">
        <is>
          <t>Supplies</t>
        </is>
      </c>
      <c r="D21" s="3" t="n">
        <v>66.40000000000001</v>
      </c>
    </row>
    <row r="22">
      <c r="A22" s="2" t="n">
        <v>46292</v>
      </c>
      <c r="B22" t="inlineStr">
        <is>
          <t>Local Print Shop</t>
        </is>
      </c>
      <c r="C22" t="inlineStr">
        <is>
          <t>Advertising</t>
        </is>
      </c>
      <c r="D22" s="3" t="n">
        <v>95.5</v>
      </c>
    </row>
    <row r="23">
      <c r="A23" s="2" t="n">
        <v>46294</v>
      </c>
      <c r="B23" t="inlineStr">
        <is>
          <t>Lakeview Internet</t>
        </is>
      </c>
      <c r="C23" t="inlineStr">
        <is>
          <t>Utilities</t>
        </is>
      </c>
      <c r="D23" s="3" t="n">
        <v>69.98999999999999</v>
      </c>
    </row>
  </sheetData>
  <conditionalFormatting sqref="G13">
    <cfRule type="expression" priority="1" dxfId="0">
      <formula>$G$13&lt;&gt;"OK"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Sum Expenses by Category</t>
        </is>
      </c>
    </row>
    <row r="2">
      <c r="A2" t="inlineStr"/>
    </row>
    <row r="3">
      <c r="A3" t="inlineStr">
        <is>
          <t>1. Log one expense per row in A to D (Date, Vendor, Category, Amount). The formulas read rows 2 to 40, so you can add up to 39 rows without editing anything.</t>
        </is>
      </c>
    </row>
    <row r="4">
      <c r="A4" t="inlineStr">
        <is>
          <t>2. Type each category exactly the same way every time. The category list is in F2:F8.</t>
        </is>
      </c>
    </row>
    <row r="5">
      <c r="A5" t="inlineStr">
        <is>
          <t>3. Total spent = SUMIF($C$2:$C$40,F2,$D$2:$D$40). It adds column D wherever column C matches the category in column F.</t>
        </is>
      </c>
    </row>
    <row r="6">
      <c r="A6" t="inlineStr">
        <is>
          <t>4. % of total = G2/$G$9, where G9 is the sum of the category totals.</t>
        </is>
      </c>
    </row>
    <row r="7">
      <c r="A7" t="inlineStr">
        <is>
          <t>5. Check: G11 = SUM($D$2:$D$40), every amount in the log. G12 is G11 minus G9. If it is not $0.00, G13 says CHECK CATEGORIES and some expense has a category that is not in the list.</t>
        </is>
      </c>
    </row>
    <row r="8">
      <c r="A8" t="inlineStr">
        <is>
          <t>6. Common cause: a typo or a trailing space, such as "Supplies " with a space after it. Retype the category, or clean the column with TRIM.</t>
        </is>
      </c>
    </row>
    <row r="9">
      <c r="A9" t="inlineStr">
        <is>
          <t>7. To add a category, insert a row between rows 2 and 8 (so the Total row still covers it) and copy the formulas from the row above.</t>
        </is>
      </c>
    </row>
    <row r="10">
      <c r="A10" t="inlineStr"/>
    </row>
    <row r="11">
      <c r="A11" t="inlineStr">
        <is>
          <t>Vendors and amounts are fictional. This file only adds up what you type; it is not tax or accounting advice.</t>
        </is>
      </c>
    </row>
    <row r="12">
      <c r="A12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2026-10-07T07:26:54Z</dcterms:created>
  <dcterms:modified xmlns:dcterms="http://purl.org/dc/terms/" xmlns:xsi="http://www.w3.org/2001/XMLSchema-instance" xsi:type="dcterms:W3CDTF">2026-10-07T07:26:54Z</dcterms:modified>
</cp:coreProperties>
</file>