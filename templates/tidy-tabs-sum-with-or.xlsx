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Totals" sheetId="2" state="visible" r:id="rId2"/>
    <sheet name="How to use" sheetId="3" state="visible" r:id="rId3"/>
  </sheets>
  <definedNames>
    <definedName name="_xlnm.Print_Titles" localSheetId="0">'Orders'!$1:$1</definedName>
    <definedName name="_xlnm.Print_Area" localSheetId="0">'Orders'!$A$1:$D$41</definedName>
    <definedName name="_xlnm.Print_Titles" localSheetId="1">'Totals'!$1:$1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0" fillId="3" borderId="0" applyAlignment="1" pivotButton="0" quotePrefix="0" xfId="0">
      <alignment horizontal="right"/>
    </xf>
    <xf numFmtId="166" fontId="0" fillId="3" borderId="0" applyAlignment="1" pivotButton="0" quotePrefix="0" xfId="0">
      <alignment horizontal="right"/>
    </xf>
    <xf numFmtId="166" fontId="0" fillId="4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2" customWidth="1" min="4" max="4"/>
  </cols>
  <sheetData>
    <row r="1" ht="30" customHeight="1">
      <c r="A1" s="1" t="inlineStr">
        <is>
          <t>Date</t>
        </is>
      </c>
      <c r="B1" s="1" t="inlineStr">
        <is>
          <t>Order ID</t>
        </is>
      </c>
      <c r="C1" s="1" t="inlineStr">
        <is>
          <t>Channel</t>
        </is>
      </c>
      <c r="D1" s="1" t="inlineStr">
        <is>
          <t>Amount</t>
        </is>
      </c>
    </row>
    <row r="2">
      <c r="A2" s="2" t="n">
        <v>46296</v>
      </c>
      <c r="B2" s="3" t="inlineStr">
        <is>
          <t>#3101</t>
        </is>
      </c>
      <c r="C2" s="3" t="inlineStr">
        <is>
          <t>Etsy</t>
        </is>
      </c>
      <c r="D2" s="4" t="n">
        <v>18</v>
      </c>
    </row>
    <row r="3">
      <c r="A3" s="2" t="n">
        <v>46296</v>
      </c>
      <c r="B3" s="3" t="inlineStr">
        <is>
          <t>#3102</t>
        </is>
      </c>
      <c r="C3" s="3" t="inlineStr">
        <is>
          <t>Shopify</t>
        </is>
      </c>
      <c r="D3" s="4" t="n">
        <v>42.5</v>
      </c>
    </row>
    <row r="4">
      <c r="A4" s="2" t="n">
        <v>46297</v>
      </c>
      <c r="B4" s="3" t="inlineStr">
        <is>
          <t>#3103</t>
        </is>
      </c>
      <c r="C4" s="3" t="inlineStr">
        <is>
          <t>Farmers market</t>
        </is>
      </c>
      <c r="D4" s="4" t="n">
        <v>26</v>
      </c>
    </row>
    <row r="5">
      <c r="A5" s="2" t="n">
        <v>46297</v>
      </c>
      <c r="B5" s="3" t="inlineStr">
        <is>
          <t>#3104</t>
        </is>
      </c>
      <c r="C5" s="3" t="inlineStr">
        <is>
          <t>Etsy</t>
        </is>
      </c>
      <c r="D5" s="4" t="n">
        <v>64</v>
      </c>
    </row>
    <row r="6">
      <c r="A6" s="2" t="n">
        <v>46298</v>
      </c>
      <c r="B6" s="3" t="inlineStr">
        <is>
          <t>#3105</t>
        </is>
      </c>
      <c r="C6" s="3" t="inlineStr">
        <is>
          <t>Wholesale</t>
        </is>
      </c>
      <c r="D6" s="4" t="n">
        <v>240</v>
      </c>
    </row>
    <row r="7">
      <c r="A7" s="2" t="n">
        <v>46298</v>
      </c>
      <c r="B7" s="3" t="inlineStr">
        <is>
          <t>#3106</t>
        </is>
      </c>
      <c r="C7" s="3" t="inlineStr">
        <is>
          <t>Shopify</t>
        </is>
      </c>
      <c r="D7" s="4" t="n">
        <v>31</v>
      </c>
    </row>
    <row r="8">
      <c r="A8" s="2" t="n">
        <v>46299</v>
      </c>
      <c r="B8" s="3" t="inlineStr">
        <is>
          <t>#3107</t>
        </is>
      </c>
      <c r="C8" s="3" t="inlineStr">
        <is>
          <t>Farmers market</t>
        </is>
      </c>
      <c r="D8" s="4" t="n">
        <v>55</v>
      </c>
    </row>
    <row r="9">
      <c r="A9" s="2" t="n">
        <v>46300</v>
      </c>
      <c r="B9" s="3" t="inlineStr">
        <is>
          <t>#3108</t>
        </is>
      </c>
      <c r="C9" s="3" t="inlineStr">
        <is>
          <t>Etsy</t>
        </is>
      </c>
      <c r="D9" s="4" t="n">
        <v>22.5</v>
      </c>
    </row>
    <row r="10">
      <c r="A10" s="2" t="n">
        <v>46300</v>
      </c>
      <c r="B10" s="3" t="inlineStr">
        <is>
          <t>#3109</t>
        </is>
      </c>
      <c r="C10" s="3" t="inlineStr">
        <is>
          <t>Shopify</t>
        </is>
      </c>
      <c r="D10" s="4" t="n">
        <v>75</v>
      </c>
    </row>
    <row r="11">
      <c r="A11" s="2" t="n">
        <v>46301</v>
      </c>
      <c r="B11" s="3" t="inlineStr">
        <is>
          <t>#3110</t>
        </is>
      </c>
      <c r="C11" s="3" t="inlineStr">
        <is>
          <t>Farmers market</t>
        </is>
      </c>
      <c r="D11" s="4" t="n">
        <v>18</v>
      </c>
    </row>
    <row r="12">
      <c r="A12" s="2" t="n">
        <v>46302</v>
      </c>
      <c r="B12" s="3" t="inlineStr">
        <is>
          <t>#3111</t>
        </is>
      </c>
      <c r="C12" s="3" t="inlineStr">
        <is>
          <t>Wholesale</t>
        </is>
      </c>
      <c r="D12" s="4" t="n">
        <v>180</v>
      </c>
    </row>
    <row r="13">
      <c r="A13" s="2" t="n">
        <v>46302</v>
      </c>
      <c r="B13" s="3" t="inlineStr">
        <is>
          <t>#3112</t>
        </is>
      </c>
      <c r="C13" s="3" t="inlineStr">
        <is>
          <t>Etsy</t>
        </is>
      </c>
      <c r="D13" s="4" t="n">
        <v>49</v>
      </c>
    </row>
    <row r="14">
      <c r="A14" s="2" t="n">
        <v>46303</v>
      </c>
      <c r="B14" s="3" t="inlineStr">
        <is>
          <t>#3113</t>
        </is>
      </c>
      <c r="C14" s="3" t="inlineStr">
        <is>
          <t>Shopify</t>
        </is>
      </c>
      <c r="D14" s="4" t="n">
        <v>28</v>
      </c>
    </row>
    <row r="15">
      <c r="A15" s="2" t="n">
        <v>46304</v>
      </c>
      <c r="B15" s="3" t="inlineStr">
        <is>
          <t>#3114</t>
        </is>
      </c>
      <c r="C15" s="3" t="inlineStr">
        <is>
          <t>Farmers market</t>
        </is>
      </c>
      <c r="D15" s="4" t="n">
        <v>62</v>
      </c>
    </row>
    <row r="16">
      <c r="A16" s="2" t="n">
        <v>46304</v>
      </c>
      <c r="B16" s="3" t="inlineStr">
        <is>
          <t>#3115</t>
        </is>
      </c>
      <c r="C16" s="3" t="inlineStr">
        <is>
          <t>Etsy</t>
        </is>
      </c>
      <c r="D16" s="4" t="n">
        <v>36</v>
      </c>
    </row>
    <row r="17">
      <c r="A17" s="2" t="n">
        <v>46305</v>
      </c>
      <c r="B17" s="3" t="inlineStr">
        <is>
          <t>#3116</t>
        </is>
      </c>
      <c r="C17" s="3" t="inlineStr">
        <is>
          <t>Shopify</t>
        </is>
      </c>
      <c r="D17" s="4" t="n">
        <v>90</v>
      </c>
    </row>
    <row r="18">
      <c r="A18" s="2" t="n">
        <v>46306</v>
      </c>
      <c r="B18" s="3" t="inlineStr">
        <is>
          <t>#3117</t>
        </is>
      </c>
      <c r="C18" s="3" t="inlineStr">
        <is>
          <t>Wholesale</t>
        </is>
      </c>
      <c r="D18" s="4" t="n">
        <v>120</v>
      </c>
    </row>
    <row r="19">
      <c r="A19" s="2" t="n">
        <v>46307</v>
      </c>
      <c r="B19" s="3" t="inlineStr">
        <is>
          <t>#3118</t>
        </is>
      </c>
      <c r="C19" s="3" t="inlineStr">
        <is>
          <t>Etsy</t>
        </is>
      </c>
      <c r="D19" s="4" t="n">
        <v>15.5</v>
      </c>
    </row>
    <row r="20">
      <c r="A20" s="2" t="n">
        <v>46307</v>
      </c>
      <c r="B20" s="3" t="inlineStr">
        <is>
          <t>#3119</t>
        </is>
      </c>
      <c r="C20" s="3" t="inlineStr">
        <is>
          <t>Farmers market</t>
        </is>
      </c>
      <c r="D20" s="4" t="n">
        <v>33</v>
      </c>
    </row>
    <row r="21">
      <c r="A21" s="2" t="n">
        <v>46308</v>
      </c>
      <c r="B21" s="3" t="inlineStr">
        <is>
          <t>#3120</t>
        </is>
      </c>
      <c r="C21" s="3" t="inlineStr">
        <is>
          <t>Shopify</t>
        </is>
      </c>
      <c r="D21" s="4" t="n">
        <v>24</v>
      </c>
    </row>
    <row r="22">
      <c r="A22" s="2" t="n">
        <v>46309</v>
      </c>
      <c r="B22" s="3" t="inlineStr">
        <is>
          <t>#3121</t>
        </is>
      </c>
      <c r="C22" s="3" t="inlineStr">
        <is>
          <t>Etsy</t>
        </is>
      </c>
      <c r="D22" s="4" t="n">
        <v>52</v>
      </c>
    </row>
    <row r="23">
      <c r="A23" s="2" t="n">
        <v>46309</v>
      </c>
      <c r="B23" s="3" t="inlineStr">
        <is>
          <t>#3122</t>
        </is>
      </c>
      <c r="C23" s="3" t="inlineStr">
        <is>
          <t>Wholesale</t>
        </is>
      </c>
      <c r="D23" s="4" t="n">
        <v>95</v>
      </c>
    </row>
    <row r="24">
      <c r="A24" s="2" t="n">
        <v>46310</v>
      </c>
      <c r="B24" s="3" t="inlineStr">
        <is>
          <t>#3123</t>
        </is>
      </c>
      <c r="C24" s="3" t="inlineStr">
        <is>
          <t>Shopify</t>
        </is>
      </c>
      <c r="D24" s="4" t="n">
        <v>58</v>
      </c>
    </row>
    <row r="25">
      <c r="A25" s="2" t="n">
        <v>46310</v>
      </c>
      <c r="B25" s="3" t="inlineStr">
        <is>
          <t>#3124</t>
        </is>
      </c>
      <c r="C25" s="3" t="inlineStr">
        <is>
          <t>Farmers market</t>
        </is>
      </c>
      <c r="D25" s="4" t="n">
        <v>41</v>
      </c>
    </row>
    <row r="26">
      <c r="A26" s="2" t="n"/>
      <c r="B26" s="3" t="n"/>
      <c r="C26" s="3" t="n"/>
      <c r="D26" s="4" t="n"/>
    </row>
    <row r="27">
      <c r="A27" s="2" t="n"/>
      <c r="B27" s="3" t="n"/>
      <c r="C27" s="3" t="n"/>
      <c r="D27" s="4" t="n"/>
    </row>
    <row r="28">
      <c r="A28" s="2" t="n"/>
      <c r="B28" s="3" t="n"/>
      <c r="C28" s="3" t="n"/>
      <c r="D28" s="4" t="n"/>
    </row>
    <row r="29">
      <c r="A29" s="2" t="n"/>
      <c r="B29" s="3" t="n"/>
      <c r="C29" s="3" t="n"/>
      <c r="D29" s="4" t="n"/>
    </row>
    <row r="30">
      <c r="A30" s="2" t="n"/>
      <c r="B30" s="3" t="n"/>
      <c r="C30" s="3" t="n"/>
      <c r="D30" s="4" t="n"/>
    </row>
    <row r="31">
      <c r="A31" s="2" t="n"/>
      <c r="B31" s="3" t="n"/>
      <c r="C31" s="3" t="n"/>
      <c r="D31" s="4" t="n"/>
    </row>
    <row r="32">
      <c r="A32" s="2" t="n"/>
      <c r="B32" s="3" t="n"/>
      <c r="C32" s="3" t="n"/>
      <c r="D32" s="4" t="n"/>
    </row>
    <row r="33">
      <c r="A33" s="2" t="n"/>
      <c r="B33" s="3" t="n"/>
      <c r="C33" s="3" t="n"/>
      <c r="D33" s="4" t="n"/>
    </row>
    <row r="34">
      <c r="A34" s="2" t="n"/>
      <c r="B34" s="3" t="n"/>
      <c r="C34" s="3" t="n"/>
      <c r="D34" s="4" t="n"/>
    </row>
    <row r="35">
      <c r="A35" s="2" t="n"/>
      <c r="B35" s="3" t="n"/>
      <c r="C35" s="3" t="n"/>
      <c r="D35" s="4" t="n"/>
    </row>
    <row r="36">
      <c r="A36" s="2" t="n"/>
      <c r="B36" s="3" t="n"/>
      <c r="C36" s="3" t="n"/>
      <c r="D36" s="4" t="n"/>
    </row>
    <row r="37">
      <c r="A37" s="2" t="n"/>
      <c r="B37" s="3" t="n"/>
      <c r="C37" s="3" t="n"/>
      <c r="D37" s="4" t="n"/>
    </row>
    <row r="38">
      <c r="A38" s="2" t="n"/>
      <c r="B38" s="3" t="n"/>
      <c r="C38" s="3" t="n"/>
      <c r="D38" s="4" t="n"/>
    </row>
    <row r="39">
      <c r="A39" s="2" t="n"/>
      <c r="B39" s="3" t="n"/>
      <c r="C39" s="3" t="n"/>
      <c r="D39" s="4" t="n"/>
    </row>
    <row r="40">
      <c r="A40" s="2" t="n"/>
      <c r="B40" s="3" t="n"/>
      <c r="C40" s="3" t="n"/>
      <c r="D40" s="4" t="n"/>
    </row>
    <row r="41">
      <c r="A41" s="2" t="n"/>
      <c r="B41" s="3" t="n"/>
      <c r="C41" s="3" t="n"/>
      <c r="D41" s="4" t="n"/>
    </row>
    <row r="42">
      <c r="A42" s="2" t="n"/>
      <c r="B42" s="3" t="n"/>
      <c r="C42" s="3" t="n"/>
      <c r="D42" s="4" t="n"/>
    </row>
    <row r="43">
      <c r="A43" s="2" t="n"/>
      <c r="B43" s="3" t="n"/>
      <c r="C43" s="3" t="n"/>
      <c r="D43" s="4" t="n"/>
    </row>
    <row r="44">
      <c r="A44" s="2" t="n"/>
      <c r="B44" s="3" t="n"/>
      <c r="C44" s="3" t="n"/>
      <c r="D44" s="4" t="n"/>
    </row>
    <row r="45">
      <c r="A45" s="2" t="n"/>
      <c r="B45" s="3" t="n"/>
      <c r="C45" s="3" t="n"/>
      <c r="D45" s="4" t="n"/>
    </row>
    <row r="46">
      <c r="A46" s="2" t="n"/>
      <c r="B46" s="3" t="n"/>
      <c r="C46" s="3" t="n"/>
      <c r="D46" s="4" t="n"/>
    </row>
    <row r="47">
      <c r="A47" s="2" t="n"/>
      <c r="B47" s="3" t="n"/>
      <c r="C47" s="3" t="n"/>
      <c r="D47" s="4" t="n"/>
    </row>
    <row r="48">
      <c r="A48" s="2" t="n"/>
      <c r="B48" s="3" t="n"/>
      <c r="C48" s="3" t="n"/>
      <c r="D48" s="4" t="n"/>
    </row>
    <row r="49">
      <c r="A49" s="2" t="n"/>
      <c r="B49" s="3" t="n"/>
      <c r="C49" s="3" t="n"/>
      <c r="D49" s="4" t="n"/>
    </row>
    <row r="50">
      <c r="A50" s="2" t="n"/>
      <c r="B50" s="3" t="n"/>
      <c r="C50" s="3" t="n"/>
      <c r="D50" s="4" t="n"/>
    </row>
    <row r="51">
      <c r="A51" s="2" t="n"/>
      <c r="B51" s="3" t="n"/>
      <c r="C51" s="3" t="n"/>
      <c r="D51" s="4" t="n"/>
    </row>
    <row r="52">
      <c r="A52" s="2" t="n"/>
      <c r="B52" s="3" t="n"/>
      <c r="C52" s="3" t="n"/>
      <c r="D52" s="4" t="n"/>
    </row>
    <row r="53">
      <c r="A53" s="2" t="n"/>
      <c r="B53" s="3" t="n"/>
      <c r="C53" s="3" t="n"/>
      <c r="D53" s="4" t="n"/>
    </row>
    <row r="54">
      <c r="A54" s="2" t="n"/>
      <c r="B54" s="3" t="n"/>
      <c r="C54" s="3" t="n"/>
      <c r="D54" s="4" t="n"/>
    </row>
    <row r="55">
      <c r="A55" s="2" t="n"/>
      <c r="B55" s="3" t="n"/>
      <c r="C55" s="3" t="n"/>
      <c r="D55" s="4" t="n"/>
    </row>
    <row r="56">
      <c r="A56" s="2" t="n"/>
      <c r="B56" s="3" t="n"/>
      <c r="C56" s="3" t="n"/>
      <c r="D56" s="4" t="n"/>
    </row>
    <row r="57">
      <c r="A57" s="2" t="n"/>
      <c r="B57" s="3" t="n"/>
      <c r="C57" s="3" t="n"/>
      <c r="D57" s="4" t="n"/>
    </row>
    <row r="58">
      <c r="A58" s="2" t="n"/>
      <c r="B58" s="3" t="n"/>
      <c r="C58" s="3" t="n"/>
      <c r="D58" s="4" t="n"/>
    </row>
    <row r="59">
      <c r="A59" s="2" t="n"/>
      <c r="B59" s="3" t="n"/>
      <c r="C59" s="3" t="n"/>
      <c r="D59" s="4" t="n"/>
    </row>
    <row r="60">
      <c r="A60" s="2" t="n"/>
      <c r="B60" s="3" t="n"/>
      <c r="C60" s="3" t="n"/>
      <c r="D60" s="4" t="n"/>
    </row>
    <row r="61">
      <c r="A61" s="5" t="n"/>
      <c r="D61" s="6" t="n"/>
    </row>
    <row r="62">
      <c r="A62" s="5" t="n"/>
      <c r="D62" s="6" t="n"/>
    </row>
    <row r="63">
      <c r="A63" s="5" t="n"/>
      <c r="D63" s="6" t="n"/>
    </row>
    <row r="64">
      <c r="A64" s="5" t="n"/>
      <c r="D64" s="6" t="n"/>
    </row>
    <row r="65">
      <c r="A65" s="5" t="n"/>
      <c r="D65" s="6" t="n"/>
    </row>
    <row r="66">
      <c r="A66" s="5" t="n"/>
      <c r="D66" s="6" t="n"/>
    </row>
    <row r="67">
      <c r="A67" s="5" t="n"/>
      <c r="D67" s="6" t="n"/>
    </row>
    <row r="68">
      <c r="A68" s="5" t="n"/>
      <c r="D68" s="6" t="n"/>
    </row>
    <row r="69">
      <c r="A69" s="5" t="n"/>
      <c r="D69" s="6" t="n"/>
    </row>
    <row r="70">
      <c r="A70" s="5" t="n"/>
      <c r="D70" s="6" t="n"/>
    </row>
    <row r="71">
      <c r="A71" s="5" t="n"/>
      <c r="D71" s="6" t="n"/>
    </row>
    <row r="72">
      <c r="A72" s="5" t="n"/>
      <c r="D72" s="6" t="n"/>
    </row>
    <row r="73">
      <c r="A73" s="5" t="n"/>
      <c r="D73" s="6" t="n"/>
    </row>
    <row r="74">
      <c r="A74" s="5" t="n"/>
      <c r="D74" s="6" t="n"/>
    </row>
    <row r="75">
      <c r="A75" s="5" t="n"/>
      <c r="D75" s="6" t="n"/>
    </row>
    <row r="76">
      <c r="A76" s="5" t="n"/>
      <c r="D76" s="6" t="n"/>
    </row>
    <row r="77">
      <c r="A77" s="5" t="n"/>
      <c r="D77" s="6" t="n"/>
    </row>
    <row r="78">
      <c r="A78" s="5" t="n"/>
      <c r="D78" s="6" t="n"/>
    </row>
    <row r="79">
      <c r="A79" s="5" t="n"/>
      <c r="D79" s="6" t="n"/>
    </row>
    <row r="80">
      <c r="A80" s="5" t="n"/>
      <c r="D80" s="6" t="n"/>
    </row>
    <row r="81">
      <c r="A81" s="5" t="n"/>
      <c r="D81" s="6" t="n"/>
    </row>
    <row r="82">
      <c r="A82" s="5" t="n"/>
      <c r="D82" s="6" t="n"/>
    </row>
    <row r="83">
      <c r="A83" s="5" t="n"/>
      <c r="D83" s="6" t="n"/>
    </row>
    <row r="84">
      <c r="A84" s="5" t="n"/>
      <c r="D84" s="6" t="n"/>
    </row>
    <row r="85">
      <c r="A85" s="5" t="n"/>
      <c r="D85" s="6" t="n"/>
    </row>
    <row r="86">
      <c r="A86" s="5" t="n"/>
      <c r="D86" s="6" t="n"/>
    </row>
    <row r="87">
      <c r="A87" s="5" t="n"/>
      <c r="D87" s="6" t="n"/>
    </row>
    <row r="88">
      <c r="A88" s="5" t="n"/>
      <c r="D88" s="6" t="n"/>
    </row>
    <row r="89">
      <c r="A89" s="5" t="n"/>
      <c r="D89" s="6" t="n"/>
    </row>
    <row r="90">
      <c r="A90" s="5" t="n"/>
      <c r="D90" s="6" t="n"/>
    </row>
    <row r="91">
      <c r="A91" s="5" t="n"/>
      <c r="D91" s="6" t="n"/>
    </row>
    <row r="92">
      <c r="A92" s="5" t="n"/>
      <c r="D92" s="6" t="n"/>
    </row>
    <row r="93">
      <c r="A93" s="5" t="n"/>
      <c r="D93" s="6" t="n"/>
    </row>
    <row r="94">
      <c r="A94" s="5" t="n"/>
      <c r="D94" s="6" t="n"/>
    </row>
    <row r="95">
      <c r="A95" s="5" t="n"/>
      <c r="D95" s="6" t="n"/>
    </row>
    <row r="96">
      <c r="A96" s="5" t="n"/>
      <c r="D96" s="6" t="n"/>
    </row>
    <row r="97">
      <c r="A97" s="5" t="n"/>
      <c r="D97" s="6" t="n"/>
    </row>
    <row r="98">
      <c r="A98" s="5" t="n"/>
      <c r="D98" s="6" t="n"/>
    </row>
    <row r="99">
      <c r="A99" s="5" t="n"/>
      <c r="D99" s="6" t="n"/>
    </row>
    <row r="100">
      <c r="A100" s="5" t="n"/>
      <c r="D100" s="6" t="n"/>
    </row>
    <row r="101">
      <c r="A101" s="5" t="n"/>
      <c r="D101" s="6" t="n"/>
    </row>
    <row r="102">
      <c r="A102" s="5" t="n"/>
      <c r="D102" s="6" t="n"/>
    </row>
    <row r="103">
      <c r="A103" s="5" t="n"/>
      <c r="D103" s="6" t="n"/>
    </row>
    <row r="104">
      <c r="A104" s="5" t="n"/>
      <c r="D104" s="6" t="n"/>
    </row>
    <row r="105">
      <c r="A105" s="5" t="n"/>
      <c r="D105" s="6" t="n"/>
    </row>
    <row r="106">
      <c r="A106" s="5" t="n"/>
      <c r="D106" s="6" t="n"/>
    </row>
    <row r="107">
      <c r="A107" s="5" t="n"/>
      <c r="D107" s="6" t="n"/>
    </row>
    <row r="108">
      <c r="A108" s="5" t="n"/>
      <c r="D108" s="6" t="n"/>
    </row>
    <row r="109">
      <c r="A109" s="5" t="n"/>
      <c r="D109" s="6" t="n"/>
    </row>
    <row r="110">
      <c r="A110" s="5" t="n"/>
      <c r="D110" s="6" t="n"/>
    </row>
    <row r="111">
      <c r="A111" s="5" t="n"/>
      <c r="D111" s="6" t="n"/>
    </row>
    <row r="112">
      <c r="A112" s="5" t="n"/>
      <c r="D112" s="6" t="n"/>
    </row>
    <row r="113">
      <c r="A113" s="5" t="n"/>
      <c r="D113" s="6" t="n"/>
    </row>
    <row r="114">
      <c r="A114" s="5" t="n"/>
      <c r="D114" s="6" t="n"/>
    </row>
    <row r="115">
      <c r="A115" s="5" t="n"/>
      <c r="D115" s="6" t="n"/>
    </row>
    <row r="116">
      <c r="A116" s="5" t="n"/>
      <c r="D116" s="6" t="n"/>
    </row>
    <row r="117">
      <c r="A117" s="5" t="n"/>
      <c r="D117" s="6" t="n"/>
    </row>
    <row r="118">
      <c r="A118" s="5" t="n"/>
      <c r="D118" s="6" t="n"/>
    </row>
    <row r="119">
      <c r="A119" s="5" t="n"/>
      <c r="D119" s="6" t="n"/>
    </row>
    <row r="120">
      <c r="A120" s="5" t="n"/>
      <c r="D120" s="6" t="n"/>
    </row>
    <row r="121">
      <c r="A121" s="5" t="n"/>
      <c r="D121" s="6" t="n"/>
    </row>
    <row r="122">
      <c r="A122" s="5" t="n"/>
      <c r="D122" s="6" t="n"/>
    </row>
    <row r="123">
      <c r="A123" s="5" t="n"/>
      <c r="D123" s="6" t="n"/>
    </row>
    <row r="124">
      <c r="A124" s="5" t="n"/>
      <c r="D124" s="6" t="n"/>
    </row>
    <row r="125">
      <c r="A125" s="5" t="n"/>
      <c r="D125" s="6" t="n"/>
    </row>
    <row r="126">
      <c r="A126" s="5" t="n"/>
      <c r="D126" s="6" t="n"/>
    </row>
    <row r="127">
      <c r="A127" s="5" t="n"/>
      <c r="D127" s="6" t="n"/>
    </row>
    <row r="128">
      <c r="A128" s="5" t="n"/>
      <c r="D128" s="6" t="n"/>
    </row>
    <row r="129">
      <c r="A129" s="5" t="n"/>
      <c r="D129" s="6" t="n"/>
    </row>
    <row r="130">
      <c r="A130" s="5" t="n"/>
      <c r="D130" s="6" t="n"/>
    </row>
    <row r="131">
      <c r="A131" s="5" t="n"/>
      <c r="D131" s="6" t="n"/>
    </row>
    <row r="132">
      <c r="A132" s="5" t="n"/>
      <c r="D132" s="6" t="n"/>
    </row>
    <row r="133">
      <c r="A133" s="5" t="n"/>
      <c r="D133" s="6" t="n"/>
    </row>
    <row r="134">
      <c r="A134" s="5" t="n"/>
      <c r="D134" s="6" t="n"/>
    </row>
    <row r="135">
      <c r="A135" s="5" t="n"/>
      <c r="D135" s="6" t="n"/>
    </row>
    <row r="136">
      <c r="A136" s="5" t="n"/>
      <c r="D136" s="6" t="n"/>
    </row>
    <row r="137">
      <c r="A137" s="5" t="n"/>
      <c r="D137" s="6" t="n"/>
    </row>
    <row r="138">
      <c r="A138" s="5" t="n"/>
      <c r="D138" s="6" t="n"/>
    </row>
    <row r="139">
      <c r="A139" s="5" t="n"/>
      <c r="D139" s="6" t="n"/>
    </row>
    <row r="140">
      <c r="A140" s="5" t="n"/>
      <c r="D140" s="6" t="n"/>
    </row>
    <row r="141">
      <c r="A141" s="5" t="n"/>
      <c r="D141" s="6" t="n"/>
    </row>
    <row r="142">
      <c r="A142" s="5" t="n"/>
      <c r="D142" s="6" t="n"/>
    </row>
    <row r="143">
      <c r="A143" s="5" t="n"/>
      <c r="D143" s="6" t="n"/>
    </row>
    <row r="144">
      <c r="A144" s="5" t="n"/>
      <c r="D144" s="6" t="n"/>
    </row>
    <row r="145">
      <c r="A145" s="5" t="n"/>
      <c r="D145" s="6" t="n"/>
    </row>
    <row r="146">
      <c r="A146" s="5" t="n"/>
      <c r="D146" s="6" t="n"/>
    </row>
    <row r="147">
      <c r="A147" s="5" t="n"/>
      <c r="D147" s="6" t="n"/>
    </row>
    <row r="148">
      <c r="A148" s="5" t="n"/>
      <c r="D148" s="6" t="n"/>
    </row>
    <row r="149">
      <c r="A149" s="5" t="n"/>
      <c r="D149" s="6" t="n"/>
    </row>
    <row r="150">
      <c r="A150" s="5" t="n"/>
      <c r="D150" s="6" t="n"/>
    </row>
    <row r="151">
      <c r="A151" s="5" t="n"/>
      <c r="D151" s="6" t="n"/>
    </row>
    <row r="152">
      <c r="A152" s="5" t="n"/>
      <c r="D152" s="6" t="n"/>
    </row>
    <row r="153">
      <c r="A153" s="5" t="n"/>
      <c r="D153" s="6" t="n"/>
    </row>
    <row r="154">
      <c r="A154" s="5" t="n"/>
      <c r="D154" s="6" t="n"/>
    </row>
    <row r="155">
      <c r="A155" s="5" t="n"/>
      <c r="D155" s="6" t="n"/>
    </row>
    <row r="156">
      <c r="A156" s="5" t="n"/>
      <c r="D156" s="6" t="n"/>
    </row>
    <row r="157">
      <c r="A157" s="5" t="n"/>
      <c r="D157" s="6" t="n"/>
    </row>
    <row r="158">
      <c r="A158" s="5" t="n"/>
      <c r="D158" s="6" t="n"/>
    </row>
    <row r="159">
      <c r="A159" s="5" t="n"/>
      <c r="D159" s="6" t="n"/>
    </row>
    <row r="160">
      <c r="A160" s="5" t="n"/>
      <c r="D160" s="6" t="n"/>
    </row>
    <row r="161">
      <c r="A161" s="5" t="n"/>
      <c r="D161" s="6" t="n"/>
    </row>
    <row r="162">
      <c r="A162" s="5" t="n"/>
      <c r="D162" s="6" t="n"/>
    </row>
    <row r="163">
      <c r="A163" s="5" t="n"/>
      <c r="D163" s="6" t="n"/>
    </row>
    <row r="164">
      <c r="A164" s="5" t="n"/>
      <c r="D164" s="6" t="n"/>
    </row>
    <row r="165">
      <c r="A165" s="5" t="n"/>
      <c r="D165" s="6" t="n"/>
    </row>
    <row r="166">
      <c r="A166" s="5" t="n"/>
      <c r="D166" s="6" t="n"/>
    </row>
    <row r="167">
      <c r="A167" s="5" t="n"/>
      <c r="D167" s="6" t="n"/>
    </row>
    <row r="168">
      <c r="A168" s="5" t="n"/>
      <c r="D168" s="6" t="n"/>
    </row>
    <row r="169">
      <c r="A169" s="5" t="n"/>
      <c r="D169" s="6" t="n"/>
    </row>
    <row r="170">
      <c r="A170" s="5" t="n"/>
      <c r="D170" s="6" t="n"/>
    </row>
    <row r="171">
      <c r="A171" s="5" t="n"/>
      <c r="D171" s="6" t="n"/>
    </row>
    <row r="172">
      <c r="A172" s="5" t="n"/>
      <c r="D172" s="6" t="n"/>
    </row>
    <row r="173">
      <c r="A173" s="5" t="n"/>
      <c r="D173" s="6" t="n"/>
    </row>
    <row r="174">
      <c r="A174" s="5" t="n"/>
      <c r="D174" s="6" t="n"/>
    </row>
    <row r="175">
      <c r="A175" s="5" t="n"/>
      <c r="D175" s="6" t="n"/>
    </row>
    <row r="176">
      <c r="A176" s="5" t="n"/>
      <c r="D176" s="6" t="n"/>
    </row>
    <row r="177">
      <c r="A177" s="5" t="n"/>
      <c r="D177" s="6" t="n"/>
    </row>
    <row r="178">
      <c r="A178" s="5" t="n"/>
      <c r="D178" s="6" t="n"/>
    </row>
    <row r="179">
      <c r="A179" s="5" t="n"/>
      <c r="D179" s="6" t="n"/>
    </row>
    <row r="180">
      <c r="A180" s="5" t="n"/>
      <c r="D180" s="6" t="n"/>
    </row>
    <row r="181">
      <c r="A181" s="5" t="n"/>
      <c r="D181" s="6" t="n"/>
    </row>
    <row r="182">
      <c r="A182" s="5" t="n"/>
      <c r="D182" s="6" t="n"/>
    </row>
    <row r="183">
      <c r="A183" s="5" t="n"/>
      <c r="D183" s="6" t="n"/>
    </row>
    <row r="184">
      <c r="A184" s="5" t="n"/>
      <c r="D184" s="6" t="n"/>
    </row>
    <row r="185">
      <c r="A185" s="5" t="n"/>
      <c r="D185" s="6" t="n"/>
    </row>
    <row r="186">
      <c r="A186" s="5" t="n"/>
      <c r="D186" s="6" t="n"/>
    </row>
    <row r="187">
      <c r="A187" s="5" t="n"/>
      <c r="D187" s="6" t="n"/>
    </row>
    <row r="188">
      <c r="A188" s="5" t="n"/>
      <c r="D188" s="6" t="n"/>
    </row>
    <row r="189">
      <c r="A189" s="5" t="n"/>
      <c r="D189" s="6" t="n"/>
    </row>
    <row r="190">
      <c r="A190" s="5" t="n"/>
      <c r="D190" s="6" t="n"/>
    </row>
    <row r="191">
      <c r="A191" s="5" t="n"/>
      <c r="D191" s="6" t="n"/>
    </row>
    <row r="192">
      <c r="A192" s="5" t="n"/>
      <c r="D192" s="6" t="n"/>
    </row>
    <row r="193">
      <c r="A193" s="5" t="n"/>
      <c r="D193" s="6" t="n"/>
    </row>
    <row r="194">
      <c r="A194" s="5" t="n"/>
      <c r="D194" s="6" t="n"/>
    </row>
    <row r="195">
      <c r="A195" s="5" t="n"/>
      <c r="D195" s="6" t="n"/>
    </row>
    <row r="196">
      <c r="A196" s="5" t="n"/>
      <c r="D196" s="6" t="n"/>
    </row>
    <row r="197">
      <c r="A197" s="5" t="n"/>
      <c r="D197" s="6" t="n"/>
    </row>
    <row r="198">
      <c r="A198" s="5" t="n"/>
      <c r="D198" s="6" t="n"/>
    </row>
    <row r="199">
      <c r="A199" s="5" t="n"/>
      <c r="D199" s="6" t="n"/>
    </row>
    <row r="200">
      <c r="A200" s="5" t="n"/>
      <c r="D200" s="6" t="n"/>
    </row>
  </sheetData>
  <dataValidations count="1">
    <dataValidation sqref="C2:C200" showDropDown="0" showInputMessage="0" showErrorMessage="0" allowBlank="1" type="list">
      <formula1>"Etsy,Shopify,Farmers market,Wholesale"</formula1>
    </dataValidation>
  </dataValidations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7" t="inlineStr">
        <is>
          <t>Channel 1</t>
        </is>
      </c>
      <c r="B1" s="8" t="inlineStr">
        <is>
          <t>Etsy</t>
        </is>
      </c>
    </row>
    <row r="2">
      <c r="A2" s="7" t="inlineStr">
        <is>
          <t>Channel 2</t>
        </is>
      </c>
      <c r="B2" s="8" t="inlineStr">
        <is>
          <t>Shopify</t>
        </is>
      </c>
    </row>
    <row r="3">
      <c r="A3" s="7" t="inlineStr">
        <is>
          <t>Large order threshold (amount over)</t>
        </is>
      </c>
      <c r="B3" s="9" t="n">
        <v>50</v>
      </c>
    </row>
    <row r="5">
      <c r="A5" s="7" t="inlineStr">
        <is>
          <t>Total: SUMIFS for channel 1 + SUMIFS for channel 2</t>
        </is>
      </c>
      <c r="B5" s="10">
        <f>SUMIFS(Orders!$D$2:$D$200,Orders!$C$2:$C$200,B1)+SUMIFS(Orders!$D$2:$D$200,Orders!$C$2:$C$200,B2)</f>
        <v/>
      </c>
    </row>
    <row r="6">
      <c r="A6" s="7" t="inlineStr">
        <is>
          <t>Total: SUM(SUMIFS(...,{"Etsy","Shopify"})), names typed in the formula</t>
        </is>
      </c>
      <c r="B6" s="10">
        <f>SUM(SUMIFS(Orders!$D$2:$D$200,Orders!$C$2:$C$200,{"Etsy","Shopify"}))</f>
        <v/>
      </c>
    </row>
    <row r="7">
      <c r="A7" s="7" t="inlineStr">
        <is>
          <t>Total: SUMPRODUCT, a row counts once</t>
        </is>
      </c>
      <c r="B7" s="10">
        <f>SUMPRODUCT(--((Orders!$C$2:$C$200=$B$1)*($B$1&lt;&gt;"")+(Orders!$C$2:$C$200=$B$2)*($B$2&lt;&gt;"")&gt;0),Orders!$D$2:$D$200)</f>
        <v/>
      </c>
    </row>
    <row r="8">
      <c r="A8" s="7" t="inlineStr">
        <is>
          <t>Orders: COUNTIF + COUNTIF</t>
        </is>
      </c>
      <c r="B8" s="11">
        <f>COUNTIF(Orders!$C$2:$C$200,B1)+COUNTIF(Orders!$C$2:$C$200,B2)</f>
        <v/>
      </c>
    </row>
    <row r="9">
      <c r="A9" s="7" t="inlineStr">
        <is>
          <t>Orders: SUMPRODUCT, a row counts once</t>
        </is>
      </c>
      <c r="B9" s="11">
        <f>SUMPRODUCT(--((Orders!$C$2:$C$200=$B$1)*($B$1&lt;&gt;"")+(Orders!$C$2:$C$200=$B$2)*($B$2&lt;&gt;"")&gt;0))</f>
        <v/>
      </c>
    </row>
    <row r="10">
      <c r="A10" s="7" t="inlineStr">
        <is>
          <t>All other channels (not channel 1 or 2)</t>
        </is>
      </c>
      <c r="B10" s="10">
        <f>SUMIFS(Orders!$D$2:$D$200,Orders!$C$2:$C$200,"&lt;&gt;"&amp;B1,Orders!$C$2:$C$200,"&lt;&gt;"&amp;B2)</f>
        <v/>
      </c>
    </row>
    <row r="11">
      <c r="A11" s="7" t="inlineStr">
        <is>
          <t>Everything minus the other channels</t>
        </is>
      </c>
      <c r="B11" s="10">
        <f>SUM(Orders!$D$2:$D$200)-B10</f>
        <v/>
      </c>
    </row>
    <row r="12">
      <c r="A12" s="7" t="inlineStr">
        <is>
          <t>Either channel AND amount over the threshold</t>
        </is>
      </c>
      <c r="B12" s="10">
        <f>SUMPRODUCT(--((Orders!$C$2:$C$200=$B$1)*($B$1&lt;&gt;"")+(Orders!$C$2:$C$200=$B$2)*($B$2&lt;&gt;"")&gt;0),--(Orders!$D$2:$D$200&gt;B3),Orders!$D$2:$D$200)</f>
        <v/>
      </c>
    </row>
    <row r="13">
      <c r="A13" s="7" t="inlineStr">
        <is>
          <t>Check: the four totals agree</t>
        </is>
      </c>
      <c r="B13" s="12">
        <f>IF(OR(B1="",B2=""),"Pick two channels",IF(B1=B2,"Same channel twice",IF(AND(ABS(B5-B6)&lt;0.005,ABS(B7-B6)&lt;0.005,ABS(B11-B6)&lt;0.005,B8=B9),"OK","CHECK")))</f>
        <v/>
      </c>
    </row>
  </sheetData>
  <conditionalFormatting sqref="B13">
    <cfRule type="expression" priority="1" dxfId="0">
      <formula>B13&lt;&gt;"OK"</formula>
    </cfRule>
  </conditionalFormatting>
  <dataValidations count="2">
    <dataValidation sqref="B1" showDropDown="0" showInputMessage="0" showErrorMessage="0" allowBlank="1" type="list">
      <formula1>"Etsy,Shopify,Farmers market,Wholesale"</formula1>
    </dataValidation>
    <dataValidation sqref="B2" showDropDown="0" showInputMessage="0" showErrorMessage="0" allowBlank="1" type="list">
      <formula1>"Etsy,Shopify,Farmers market,Wholesale"</formula1>
    </dataValidation>
  </dataValidations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Tidy Tabs: Sum Sales From Either of Two Channels (OR Logic)</t>
        </is>
      </c>
    </row>
    <row r="2">
      <c r="A2" s="14" t="inlineStr"/>
    </row>
    <row r="3">
      <c r="A3" s="14" t="inlineStr">
        <is>
          <t>1. Orders tab: Date, Order ID, Channel and Amount in A to D (yellow). Formulas read rows 2 to 200.</t>
        </is>
      </c>
    </row>
    <row r="4">
      <c r="A4" s="14" t="inlineStr">
        <is>
          <t>2. Totals tab: pick the two channels in B1 and B2 (yellow dropdowns). B3 is the amount used in B12.</t>
        </is>
      </c>
    </row>
    <row r="5">
      <c r="A5" s="14" t="inlineStr">
        <is>
          <t>3. SUMIFS cannot take two values for one column, so B5 adds two SUMIFS: =SUMIFS(Orders!D2:D200,Orders!C2:C200,B1)+SUMIFS(Orders!D2:D200,Orders!C2:C200,B2).</t>
        </is>
      </c>
    </row>
    <row r="6">
      <c r="A6" s="14" t="inlineStr">
        <is>
          <t>4. B6 sends both names in one array constant: =SUM(SUMIFS(Orders!D2:D200,Orders!C2:C200,{"Etsy","Shopify"})). The names are typed inside the formula, so edit them there if you change B1 or B2.</t>
        </is>
      </c>
    </row>
    <row r="7">
      <c r="A7" s="14" t="inlineStr">
        <is>
          <t>5. B7 uses SUMPRODUCT: =SUMPRODUCT(--((Orders!C2:C200=B1)*(B1&lt;&gt;"")+(Orders!C2:C200=B2)*(B2&lt;&gt;"")&gt;0),Orders!D2:D200). The --( ) turns TRUE and FALSE into 1 and 0. Each row counts once. The (B1&lt;&gt;"") parts stop empty channel cells from matching the empty rows below your data.</t>
        </is>
      </c>
    </row>
    <row r="8">
      <c r="A8" s="14" t="inlineStr">
        <is>
          <t>6. B8 and B9 count the orders the same two ways. B10 totals the other channels, so B11 (everything minus the others) should equal B5 to B7.</t>
        </is>
      </c>
    </row>
    <row r="9">
      <c r="A9" s="14" t="inlineStr">
        <is>
          <t>7. B12 adds an AND to the OR: either channel, and an amount over B3.</t>
        </is>
      </c>
    </row>
    <row r="10">
      <c r="A10" s="14" t="inlineStr">
        <is>
          <t>8. If channel 1 and channel 2 are the same, B5 adds that channel twice, while B7 and B6's names do not. B13 says Same channel twice.</t>
        </is>
      </c>
    </row>
    <row r="11">
      <c r="A11" s="14" t="inlineStr">
        <is>
          <t>9. Matching ignores upper and lower case but not spaces: "Etsy " with a trailing space matches nothing. An amount typed as text is skipped by all methods.</t>
        </is>
      </c>
    </row>
    <row r="12">
      <c r="A12" s="14" t="inlineStr">
        <is>
          <t>10. Sums and counts only. The print area on the Orders tab covers the first 40 rows.</t>
        </is>
      </c>
    </row>
    <row r="13">
      <c r="A13" s="14" t="inlineStr"/>
    </row>
    <row r="14">
      <c r="A14" s="14" t="inlineStr">
        <is>
          <t>Shop, orders and amounts are fictional. Checked in LibreOffice Calc only; not opened in Excel or Google Sheets.</t>
        </is>
      </c>
    </row>
    <row r="15">
      <c r="A15" s="14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2026-10-18T07:33:21Z</dcterms:created>
  <dcterms:modified xsi:type="dcterms:W3CDTF">2026-10-18T07:33:21Z</dcterms:modified>
</cp:coreProperties>
</file>