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'Expenses'!$1:$1</definedName>
    <definedName name="_xlnm.Print_Titles" localSheetId="1">'Totals'!$1:$1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</cols>
  <sheetData>
    <row r="1" ht="30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n">
        <v>46266</v>
      </c>
      <c r="B2" t="inlineStr">
        <is>
          <t>Uber to client meeting</t>
        </is>
      </c>
      <c r="C2" s="3" t="n">
        <v>18.4</v>
      </c>
    </row>
    <row r="3">
      <c r="A3" s="2" t="n">
        <v>46267</v>
      </c>
      <c r="B3" t="inlineStr">
        <is>
          <t>Printer ink cartridge</t>
        </is>
      </c>
      <c r="C3" s="3" t="n">
        <v>42.99</v>
      </c>
    </row>
    <row r="4">
      <c r="A4" s="2" t="n">
        <v>46269</v>
      </c>
      <c r="B4" t="inlineStr">
        <is>
          <t>UBER EATS lunch</t>
        </is>
      </c>
      <c r="C4" s="3" t="n">
        <v>14.25</v>
      </c>
    </row>
    <row r="5">
      <c r="A5" s="2" t="n">
        <v>46272</v>
      </c>
      <c r="B5" t="inlineStr">
        <is>
          <t>Pink ribbon spool</t>
        </is>
      </c>
      <c r="C5" s="3" t="n">
        <v>6.5</v>
      </c>
    </row>
    <row r="6">
      <c r="A6" s="2" t="n">
        <v>46274</v>
      </c>
      <c r="B6" t="inlineStr">
        <is>
          <t>Etsy listing fees</t>
        </is>
      </c>
      <c r="C6" s="3" t="n">
        <v>3.2</v>
      </c>
    </row>
    <row r="7">
      <c r="A7" s="2" t="n">
        <v>46277</v>
      </c>
      <c r="B7" t="inlineStr">
        <is>
          <t>Etsy shipping labels</t>
        </is>
      </c>
      <c r="C7" s="3" t="n">
        <v>27.8</v>
      </c>
    </row>
    <row r="8">
      <c r="A8" s="2" t="n">
        <v>46280</v>
      </c>
      <c r="B8" t="inlineStr">
        <is>
          <t>Domain renewal</t>
        </is>
      </c>
      <c r="C8" s="3" t="n">
        <v>12</v>
      </c>
    </row>
    <row r="9">
      <c r="A9" s="2" t="n">
        <v>46283</v>
      </c>
      <c r="B9" t="inlineStr">
        <is>
          <t>Uber airport</t>
        </is>
      </c>
      <c r="C9" s="3" t="n">
        <v>36.1</v>
      </c>
    </row>
    <row r="10">
      <c r="A10" s="2" t="n">
        <v>46286</v>
      </c>
      <c r="B10" t="inlineStr">
        <is>
          <t>Packing tape and ink pen</t>
        </is>
      </c>
      <c r="C10" s="3" t="n">
        <v>9.75</v>
      </c>
    </row>
    <row r="11">
      <c r="A11" s="2" t="n">
        <v>46289</v>
      </c>
      <c r="B11" t="inlineStr">
        <is>
          <t>Stamps*</t>
        </is>
      </c>
      <c r="C11" s="3" t="n">
        <v>11.6</v>
      </c>
    </row>
    <row r="12">
      <c r="A12" s="2" t="n">
        <v>46291</v>
      </c>
      <c r="B12" t="inlineStr">
        <is>
          <t>Ink refill kit</t>
        </is>
      </c>
      <c r="C12" s="3" t="n">
        <v>19</v>
      </c>
    </row>
    <row r="13">
      <c r="A13" s="2" t="n">
        <v>46295</v>
      </c>
      <c r="B13" t="inlineStr">
        <is>
          <t>Software subscription</t>
        </is>
      </c>
      <c r="C13" s="3" t="n">
        <v>15</v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9" customWidth="1" min="4" max="4"/>
    <col width="18" customWidth="1" min="5" max="5"/>
  </cols>
  <sheetData>
    <row r="1" ht="30" customHeight="1">
      <c r="A1" s="1" t="inlineStr">
        <is>
          <t>Text to find</t>
        </is>
      </c>
      <c r="B1" s="1" t="inlineStr">
        <is>
          <t>Contains (total)</t>
        </is>
      </c>
      <c r="C1" s="1" t="inlineStr">
        <is>
          <t>Contains (count)</t>
        </is>
      </c>
      <c r="D1" s="1" t="inlineStr">
        <is>
          <t>Starts with (total)</t>
        </is>
      </c>
      <c r="E1" s="1" t="inlineStr">
        <is>
          <t>Ends with (total)</t>
        </is>
      </c>
    </row>
    <row r="2">
      <c r="A2" t="inlineStr">
        <is>
          <t>Uber</t>
        </is>
      </c>
      <c r="B2" s="4">
        <f>SUMIF(Expenses!$B$2:$B$200,"*"&amp;A2&amp;"*",Expenses!$C$2:$C$200)</f>
        <v/>
      </c>
      <c r="C2" s="5">
        <f>COUNTIF(Expenses!$B$2:$B$200,"*"&amp;A2&amp;"*")</f>
        <v/>
      </c>
      <c r="D2" s="4">
        <f>SUMIF(Expenses!$B$2:$B$200,A2&amp;"*",Expenses!$C$2:$C$200)</f>
        <v/>
      </c>
      <c r="E2" s="4">
        <f>SUMIF(Expenses!$B$2:$B$200,"*"&amp;A2,Expenses!$C$2:$C$200)</f>
        <v/>
      </c>
    </row>
    <row r="3">
      <c r="A3" t="inlineStr">
        <is>
          <t>Etsy</t>
        </is>
      </c>
      <c r="B3" s="4">
        <f>SUMIF(Expenses!$B$2:$B$200,"*"&amp;A3&amp;"*",Expenses!$C$2:$C$200)</f>
        <v/>
      </c>
      <c r="C3" s="5">
        <f>COUNTIF(Expenses!$B$2:$B$200,"*"&amp;A3&amp;"*")</f>
        <v/>
      </c>
      <c r="D3" s="4">
        <f>SUMIF(Expenses!$B$2:$B$200,A3&amp;"*",Expenses!$C$2:$C$200)</f>
        <v/>
      </c>
      <c r="E3" s="4">
        <f>SUMIF(Expenses!$B$2:$B$200,"*"&amp;A3,Expenses!$C$2:$C$200)</f>
        <v/>
      </c>
    </row>
    <row r="4">
      <c r="A4" t="inlineStr">
        <is>
          <t>ink</t>
        </is>
      </c>
      <c r="B4" s="4">
        <f>SUMIF(Expenses!$B$2:$B$200,"*"&amp;A4&amp;"*",Expenses!$C$2:$C$200)</f>
        <v/>
      </c>
      <c r="C4" s="5">
        <f>COUNTIF(Expenses!$B$2:$B$200,"*"&amp;A4&amp;"*")</f>
        <v/>
      </c>
      <c r="D4" s="4">
        <f>SUMIF(Expenses!$B$2:$B$200,A4&amp;"*",Expenses!$C$2:$C$200)</f>
        <v/>
      </c>
      <c r="E4" s="4">
        <f>SUMIF(Expenses!$B$2:$B$200,"*"&amp;A4,Expenses!$C$2:$C$200)</f>
        <v/>
      </c>
    </row>
    <row r="5">
      <c r="A5" t="inlineStr">
        <is>
          <t>Ink pen</t>
        </is>
      </c>
      <c r="B5" s="4">
        <f>SUMIF(Expenses!$B$2:$B$200,"*"&amp;A5&amp;"*",Expenses!$C$2:$C$200)</f>
        <v/>
      </c>
      <c r="C5" s="5">
        <f>COUNTIF(Expenses!$B$2:$B$200,"*"&amp;A5&amp;"*")</f>
        <v/>
      </c>
      <c r="D5" s="4">
        <f>SUMIF(Expenses!$B$2:$B$200,A5&amp;"*",Expenses!$C$2:$C$200)</f>
        <v/>
      </c>
      <c r="E5" s="4">
        <f>SUMIF(Expenses!$B$2:$B$200,"*"&amp;A5,Expenses!$C$2:$C$200)</f>
        <v/>
      </c>
    </row>
    <row r="6">
      <c r="A6" t="inlineStr">
        <is>
          <t>Stamps~*</t>
        </is>
      </c>
      <c r="B6" s="4">
        <f>SUMIF(Expenses!$B$2:$B$200,"*"&amp;A6&amp;"*",Expenses!$C$2:$C$200)</f>
        <v/>
      </c>
      <c r="C6" s="5">
        <f>COUNTIF(Expenses!$B$2:$B$200,"*"&amp;A6&amp;"*")</f>
        <v/>
      </c>
      <c r="D6" s="4">
        <f>SUMIF(Expenses!$B$2:$B$200,A6&amp;"*",Expenses!$C$2:$C$200)</f>
        <v/>
      </c>
      <c r="E6" s="4">
        <f>SUMIF(Expenses!$B$2:$B$200,"*"&amp;A6,Expenses!$C$2:$C$200)</f>
        <v/>
      </c>
    </row>
    <row r="7">
      <c r="A7" t="inlineStr">
        <is>
          <t>Zoom</t>
        </is>
      </c>
      <c r="B7" s="4">
        <f>SUMIF(Expenses!$B$2:$B$200,"*"&amp;A7&amp;"*",Expenses!$C$2:$C$200)</f>
        <v/>
      </c>
      <c r="C7" s="5">
        <f>COUNTIF(Expenses!$B$2:$B$200,"*"&amp;A7&amp;"*")</f>
        <v/>
      </c>
      <c r="D7" s="4">
        <f>SUMIF(Expenses!$B$2:$B$200,A7&amp;"*",Expenses!$C$2:$C$200)</f>
        <v/>
      </c>
      <c r="E7" s="4">
        <f>SUMIF(Expenses!$B$2:$B$200,"*"&amp;A7,Expenses!$C$2:$C$200)</f>
        <v/>
      </c>
    </row>
    <row r="9">
      <c r="A9" s="6" t="inlineStr">
        <is>
          <t>All expenses</t>
        </is>
      </c>
      <c r="B9" s="3">
        <f>SUM(Expenses!C2:C200)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Sum Cells That Contain Certain Text</t>
        </is>
      </c>
    </row>
    <row r="2">
      <c r="A2" s="8" t="inlineStr"/>
    </row>
    <row r="3">
      <c r="A3" s="8" t="inlineStr">
        <is>
          <t>1. Expenses tab: date, description and amount. Totals tab column A holds the word to look for.</t>
        </is>
      </c>
    </row>
    <row r="4">
      <c r="A4" s="8" t="inlineStr">
        <is>
          <t>2. B2: =SUMIF(Expenses!$B$2:$B$200,"*"&amp;A2&amp;"*",Expenses!$C$2:$C$200). The * wildcard stands for any text, so the description only has to contain the word somewhere. Letter case is ignored.</t>
        </is>
      </c>
    </row>
    <row r="5">
      <c r="A5" s="8" t="inlineStr">
        <is>
          <t>3. C2: =COUNTIF(Expenses!$B$2:$B$200,"*"&amp;A2&amp;"*") counts the matching rows.</t>
        </is>
      </c>
    </row>
    <row r="6">
      <c r="A6" s="8" t="inlineStr">
        <is>
          <t>4. D2 drops the first * (text starts with the word). E2 drops the last * (text ends with the word).</t>
        </is>
      </c>
    </row>
    <row r="7">
      <c r="A7" s="8" t="inlineStr">
        <is>
          <t>5. The match is on letters, not on words. "ink" also matches "Pink ribbon spool". Use a longer phrase such as "Printer ink" if that is a problem.</t>
        </is>
      </c>
    </row>
    <row r="8">
      <c r="A8" s="8" t="inlineStr">
        <is>
          <t>6. To search for a real * or ?, put a ~ in front of it: Stamps~* finds the text Stamps*.</t>
        </is>
      </c>
    </row>
    <row r="9">
      <c r="A9" s="8" t="inlineStr">
        <is>
          <t>7. A blank cell in column A makes the pattern ** , which matches every row that has text.</t>
        </is>
      </c>
    </row>
    <row r="10">
      <c r="A10" s="8" t="inlineStr">
        <is>
          <t>8. SUMIF does not read cell colors and only matches text, so a number in the description column is not found by a * pattern.</t>
        </is>
      </c>
    </row>
    <row r="11">
      <c r="A11" s="8" t="inlineStr"/>
    </row>
    <row r="12">
      <c r="A12" s="8" t="inlineStr">
        <is>
          <t>Expenses are fictional. Checked in LibreOffice Calc only; not opened in Excel or Google Sheets.</t>
        </is>
      </c>
    </row>
    <row r="13">
      <c r="A13" s="8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2026-10-10T07:28:09Z</dcterms:created>
  <dcterms:modified xmlns:dcterms="http://purl.org/dc/terms/" xmlns:xsi="http://www.w3.org/2001/XMLSchema-instance" xsi:type="dcterms:W3CDTF">2026-10-10T07:28:09Z</dcterms:modified>
</cp:coreProperties>
</file>