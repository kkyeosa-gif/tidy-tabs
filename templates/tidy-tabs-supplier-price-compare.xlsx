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e" sheetId="1" state="visible" r:id="rId1"/>
    <sheet xmlns:r="http://schemas.openxmlformats.org/officeDocument/2006/relationships" name="How to use" sheetId="2" state="visible" r:id="rId2"/>
  </sheets>
  <definedNames>
    <definedName name="_xlnm.Print_Titles" localSheetId="0">'Compare'!$1:$1</definedName>
  </definedNames>
  <calcPr calcId="124519" fullCalcOnLoad="1"/>
</workbook>
</file>

<file path=xl/styles.xml><?xml version="1.0" encoding="utf-8"?>
<styleSheet xmlns="http://schemas.openxmlformats.org/spreadsheetml/2006/main">
  <numFmts count="2">
    <numFmt numFmtId="164" formatCode="&quot;$&quot;#,##0.00"/>
    <numFmt numFmtId="165" formatCode="&quot;$&quot;0.0000"/>
  </numFmts>
  <fonts count="4">
    <font>
      <name val="Calibri"/>
      <family val="2"/>
      <color theme="1"/>
      <sz val="11"/>
      <scheme val="minor"/>
    </font>
    <font>
      <b val="1"/>
      <color rgb="00FFFFFF"/>
    </font>
    <font>
      <b val="1"/>
    </font>
    <font>
      <b val="1"/>
      <sz val="13"/>
    </font>
  </fonts>
  <fills count="5">
    <fill>
      <patternFill/>
    </fill>
    <fill>
      <patternFill patternType="gray125"/>
    </fill>
    <fill>
      <patternFill patternType="solid">
        <fgColor rgb="002E5E4E"/>
      </patternFill>
    </fill>
    <fill>
      <patternFill patternType="solid">
        <fgColor rgb="00EDEDED"/>
      </patternFill>
    </fill>
    <fill>
      <patternFill patternType="solid">
        <fgColor rgb="00FFF2CC"/>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4" borderId="0" pivotButton="0" quotePrefix="0" xfId="0"/>
    <xf numFmtId="164" fontId="0" fillId="4" borderId="0" pivotButton="0" quotePrefix="0" xfId="0"/>
    <xf numFmtId="165" fontId="0" fillId="3" borderId="0" pivotButton="0" quotePrefix="0" xfId="0"/>
    <xf numFmtId="164" fontId="0" fillId="3" borderId="0" pivotButton="0" quotePrefix="0" xfId="0"/>
    <xf numFmtId="0" fontId="0" fillId="3"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8"/>
  <sheetViews>
    <sheetView workbookViewId="0">
      <pane ySplit="1" topLeftCell="A2" activePane="bottomLeft" state="frozen"/>
      <selection pane="bottomLeft" activeCell="A1" sqref="A1"/>
    </sheetView>
  </sheetViews>
  <sheetFormatPr baseColWidth="8" defaultRowHeight="15"/>
  <cols>
    <col width="24" customWidth="1" min="1" max="1"/>
    <col width="14" customWidth="1" min="2" max="2"/>
    <col width="14" customWidth="1" min="3" max="3"/>
    <col width="11" customWidth="1" min="4" max="4"/>
    <col width="13" customWidth="1" min="5" max="5"/>
    <col width="17" customWidth="1" min="6" max="6"/>
    <col width="8" customWidth="1" min="7" max="7"/>
    <col width="36" customWidth="1" min="8" max="8"/>
    <col width="20" customWidth="1" min="9" max="9"/>
  </cols>
  <sheetData>
    <row r="1" ht="30" customHeight="1">
      <c r="A1" s="1" t="inlineStr">
        <is>
          <t>Supplier</t>
        </is>
      </c>
      <c r="B1" s="1" t="inlineStr">
        <is>
          <t>Package price</t>
        </is>
      </c>
      <c r="C1" s="1" t="inlineStr">
        <is>
          <t>Package size (oz)</t>
        </is>
      </c>
      <c r="D1" s="1" t="inlineStr">
        <is>
          <t>Shipping</t>
        </is>
      </c>
      <c r="E1" s="1" t="inlineStr">
        <is>
          <t>Cost per oz</t>
        </is>
      </c>
      <c r="F1" s="1" t="inlineStr">
        <is>
          <t>Cost for amount needed</t>
        </is>
      </c>
      <c r="G1" s="1" t="inlineStr">
        <is>
          <t>Rank</t>
        </is>
      </c>
      <c r="H1" s="2" t="inlineStr">
        <is>
          <t>Compare</t>
        </is>
      </c>
    </row>
    <row r="2">
      <c r="A2" s="3" t="inlineStr">
        <is>
          <t>Pine Ridge Wax Co</t>
        </is>
      </c>
      <c r="B2" s="4" t="n">
        <v>42.5</v>
      </c>
      <c r="C2" s="3" t="n">
        <v>160</v>
      </c>
      <c r="D2" s="4" t="n">
        <v>12</v>
      </c>
      <c r="E2" s="5">
        <f>IF(OR(B2="",C2&lt;=0),"",(B2+D2)/C2)</f>
        <v/>
      </c>
      <c r="F2" s="6">
        <f>IF(E2="","",ROUND(E2*$I$2,2))</f>
        <v/>
      </c>
      <c r="G2" s="7">
        <f>IF(E2="","",RANK(E2,$E$2:$E$6,1))</f>
        <v/>
      </c>
      <c r="H2" t="inlineStr">
        <is>
          <t>Amount you need (oz)</t>
        </is>
      </c>
      <c r="I2" s="3" t="n">
        <v>200</v>
      </c>
    </row>
    <row r="3">
      <c r="A3" s="3" t="inlineStr">
        <is>
          <t>Lakeside Supply</t>
        </is>
      </c>
      <c r="B3" s="4" t="n">
        <v>27.99</v>
      </c>
      <c r="C3" s="3" t="n">
        <v>80</v>
      </c>
      <c r="D3" s="4" t="n">
        <v>9.5</v>
      </c>
      <c r="E3" s="5">
        <f>IF(OR(B3="",C3&lt;=0),"",(B3+D3)/C3)</f>
        <v/>
      </c>
      <c r="F3" s="6">
        <f>IF(E3="","",ROUND(E3*$I$2,2))</f>
        <v/>
      </c>
      <c r="G3" s="7">
        <f>IF(E3="","",RANK(E3,$E$2:$E$6,1))</f>
        <v/>
      </c>
    </row>
    <row r="4">
      <c r="A4" s="3" t="inlineStr">
        <is>
          <t>Harbor Craft Wholesale</t>
        </is>
      </c>
      <c r="B4" s="4" t="n">
        <v>64</v>
      </c>
      <c r="C4" s="3" t="n">
        <v>240</v>
      </c>
      <c r="D4" s="4" t="n">
        <v>0</v>
      </c>
      <c r="E4" s="5">
        <f>IF(OR(B4="",C4&lt;=0),"",(B4+D4)/C4)</f>
        <v/>
      </c>
      <c r="F4" s="6">
        <f>IF(E4="","",ROUND(E4*$I$2,2))</f>
        <v/>
      </c>
      <c r="G4" s="7">
        <f>IF(E4="","",RANK(E4,$E$2:$E$6,1))</f>
        <v/>
      </c>
      <c r="H4" t="inlineStr">
        <is>
          <t>Cheapest supplier per oz</t>
        </is>
      </c>
      <c r="I4" s="7">
        <f>IFERROR(INDEX($A$2:$A$6,MATCH(MIN($E$2:$E$6),$E$2:$E$6,0)),"Enter prices")</f>
        <v/>
      </c>
    </row>
    <row r="5">
      <c r="A5" s="3" t="inlineStr">
        <is>
          <t>Birchwood Candle Goods</t>
        </is>
      </c>
      <c r="B5" s="4" t="n">
        <v>18.5</v>
      </c>
      <c r="C5" s="3" t="n">
        <v>48</v>
      </c>
      <c r="D5" s="4" t="n">
        <v>7.25</v>
      </c>
      <c r="E5" s="5">
        <f>IF(OR(B5="",C5&lt;=0),"",(B5+D5)/C5)</f>
        <v/>
      </c>
      <c r="F5" s="6">
        <f>IF(E5="","",ROUND(E5*$I$2,2))</f>
        <v/>
      </c>
      <c r="G5" s="7">
        <f>IF(E5="","",RANK(E5,$E$2:$E$6,1))</f>
        <v/>
      </c>
      <c r="H5" t="inlineStr">
        <is>
          <t>Lowest cost per oz</t>
        </is>
      </c>
      <c r="I5" s="5">
        <f>IF(COUNT(E2:E6)=0,"",MIN(E2:E6))</f>
        <v/>
      </c>
    </row>
    <row r="6">
      <c r="A6" s="3" t="inlineStr">
        <is>
          <t>Maple Lane Supply</t>
        </is>
      </c>
      <c r="B6" s="4" t="n">
        <v>33</v>
      </c>
      <c r="C6" s="3" t="n">
        <v>100</v>
      </c>
      <c r="D6" s="4" t="n">
        <v>8</v>
      </c>
      <c r="E6" s="5">
        <f>IF(OR(B6="",C6&lt;=0),"",(B6+D6)/C6)</f>
        <v/>
      </c>
      <c r="F6" s="6">
        <f>IF(E6="","",ROUND(E6*$I$2,2))</f>
        <v/>
      </c>
      <c r="G6" s="7">
        <f>IF(E6="","",RANK(E6,$E$2:$E$6,1))</f>
        <v/>
      </c>
      <c r="H6" t="inlineStr">
        <is>
          <t>Highest cost per oz</t>
        </is>
      </c>
      <c r="I6" s="5">
        <f>IF(COUNT(E2:E6)=0,"",MAX(E2:E6))</f>
        <v/>
      </c>
    </row>
    <row r="7">
      <c r="H7" t="inlineStr">
        <is>
          <t>Cost of amount needed, cheapest</t>
        </is>
      </c>
      <c r="I7" s="6">
        <f>IF(COUNT(F2:F6)=0,"",MIN(F2:F6))</f>
        <v/>
      </c>
    </row>
    <row r="8">
      <c r="H8" t="inlineStr">
        <is>
          <t>Extra paid with the priciest</t>
        </is>
      </c>
      <c r="I8" s="6">
        <f>IF(COUNT(F2:F6)=0,"",MAX(F2:F6)-MIN(F2:F6))</f>
        <v/>
      </c>
    </row>
  </sheetData>
  <pageMargins left="0.75" right="0.75" top="1" bottom="1" header="0.5" footer="0.5"/>
  <pageSetup orientation="landscape" paperSize="1" fitToHeight="0" fitToWidth="1"/>
</worksheet>
</file>

<file path=xl/worksheets/sheet2.xml><?xml version="1.0" encoding="utf-8"?>
<worksheet xmlns="http://schemas.openxmlformats.org/spreadsheetml/2006/main">
  <sheetPr>
    <outlinePr summaryBelow="1" summaryRight="1"/>
    <pageSetUpPr fitToPage="1"/>
  </sheetPr>
  <dimension ref="A1:A12"/>
  <sheetViews>
    <sheetView workbookViewId="0">
      <selection activeCell="A1" sqref="A1"/>
    </sheetView>
  </sheetViews>
  <sheetFormatPr baseColWidth="8" defaultRowHeight="15"/>
  <cols>
    <col width="100" customWidth="1" min="1" max="1"/>
  </cols>
  <sheetData>
    <row r="1">
      <c r="A1" s="8" t="inlineStr">
        <is>
          <t>Tidy Tabs: Find the Cheapest Supplier by Cost Per Ounce</t>
        </is>
      </c>
    </row>
    <row r="2">
      <c r="A2" s="9" t="inlineStr"/>
    </row>
    <row r="3">
      <c r="A3" s="9" t="inlineStr">
        <is>
          <t>1. Compare tab: type each supplier's package price (B), package size in ounces (C) and shipping for that package (D). The yellow cells are inputs.</t>
        </is>
      </c>
    </row>
    <row r="4">
      <c r="A4" s="9" t="inlineStr">
        <is>
          <t>2. E2: =IF(OR(B2="",C2&lt;=0),"",(B2+D2)/C2) is the cost per ounce including shipping. A blank row or a size of 0 stays blank.</t>
        </is>
      </c>
    </row>
    <row r="5">
      <c r="A5" s="9" t="inlineStr">
        <is>
          <t>3. I4: =INDEX($A$2:$A$6,MATCH(MIN($E$2:$E$6),$E$2:$E$6,0)) returns the name of the supplier with the lowest cost per ounce. MIN finds the lowest number, MATCH finds its row, INDEX reads the name.</t>
        </is>
      </c>
    </row>
    <row r="6">
      <c r="A6" s="9" t="inlineStr">
        <is>
          <t>4. If two suppliers tie, the one listed first is returned. Column G (RANK) shows the tie.</t>
        </is>
      </c>
    </row>
    <row r="7">
      <c r="A7" s="9" t="inlineStr">
        <is>
          <t>5. I2 is how many ounces you need. F2 multiplies each supplier's cost per ounce by it, rounded to cents.</t>
        </is>
      </c>
    </row>
    <row r="8">
      <c r="A8" s="9" t="inlineStr">
        <is>
          <t>6. Use one unit for every row (all ounces, or all pounds). Mixing units gives a wrong answer without any error.</t>
        </is>
      </c>
    </row>
    <row r="9">
      <c r="A9" s="9" t="inlineStr">
        <is>
          <t>7. Shipping is counted once per package. If you buy several packages, or shipping is free above an order size, adjust the shipping cell yourself. Minimum order sizes and delivery times are not compared.</t>
        </is>
      </c>
    </row>
    <row r="10">
      <c r="A10" s="9" t="inlineStr"/>
    </row>
    <row r="11">
      <c r="A11" s="9" t="inlineStr">
        <is>
          <t>Suppliers and prices are fictional. Checked in LibreOffice Calc only; not opened in Excel or Google Sheets.</t>
        </is>
      </c>
    </row>
    <row r="12">
      <c r="A12" s="9" t="inlineStr">
        <is>
          <t>Google Sheets: File &gt; Import &gt; Upload this .xlsx.</t>
        </is>
      </c>
    </row>
  </sheetData>
  <pageMargins left="0.75" right="0.75" top="1" bottom="1" header="0.5" footer="0.5"/>
  <pageSetup orientation="portrait" paperSize="1"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2026-10-12T07:27:51Z</dcterms:created>
  <dcterms:modified xmlns:dcterms="http://purl.org/dc/terms/" xmlns:xsi="http://www.w3.org/2001/XMLSchema-instance" xsi:type="dcterms:W3CDTF">2026-10-12T07:27:51Z</dcterms:modified>
</cp:coreProperties>
</file>