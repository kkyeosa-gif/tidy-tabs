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'Commission'!$1:$1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22" customWidth="1" min="4" max="4"/>
    <col width="9" customWidth="1" min="5" max="5"/>
    <col width="16" customWidth="1" min="7" max="7"/>
    <col width="20" customWidth="1" min="8" max="8"/>
    <col width="24" customWidth="1" min="9" max="9"/>
  </cols>
  <sheetData>
    <row r="1" ht="30" customHeight="1">
      <c r="A1" s="1" t="inlineStr">
        <is>
          <t>Rep</t>
        </is>
      </c>
      <c r="B1" s="1" t="inlineStr">
        <is>
          <t>Monthly sales</t>
        </is>
      </c>
      <c r="C1" s="1" t="inlineStr">
        <is>
          <t>Commission</t>
        </is>
      </c>
      <c r="D1" s="1" t="inlineStr">
        <is>
          <t>Check (second method)</t>
        </is>
      </c>
      <c r="E1" s="1" t="inlineStr">
        <is>
          <t>Same?</t>
        </is>
      </c>
      <c r="G1" s="1" t="inlineStr">
        <is>
          <t>Sales above</t>
        </is>
      </c>
      <c r="H1" s="1" t="inlineStr">
        <is>
          <t>Rate on that slice</t>
        </is>
      </c>
      <c r="I1" s="1" t="inlineStr">
        <is>
          <t>Extra rate vs tier above</t>
        </is>
      </c>
    </row>
    <row r="2">
      <c r="A2" t="inlineStr">
        <is>
          <t>Ana</t>
        </is>
      </c>
      <c r="B2" s="2" t="n">
        <v>4200</v>
      </c>
      <c r="C2" s="3">
        <f>ROUND(SUMPRODUCT((B2&gt;$G$2:$G$4)*(B2-$G$2:$G$4)*$I$2:$I$4),2)</f>
        <v/>
      </c>
      <c r="D2" s="3">
        <f>ROUND(MIN(B2,$G$3)*$H$2+MAX(0,MIN(B2,$G$4)-$G$3)*$H$3+MAX(0,B2-$G$4)*$H$4,2)</f>
        <v/>
      </c>
      <c r="E2" s="4">
        <f>IF(ROUND(C2-D2,2)=0,"Yes","CHECK")</f>
        <v/>
      </c>
      <c r="G2" s="5" t="n">
        <v>0</v>
      </c>
      <c r="H2" s="6" t="n">
        <v>0.03</v>
      </c>
      <c r="I2" s="7">
        <f>H2</f>
        <v/>
      </c>
    </row>
    <row r="3">
      <c r="A3" t="inlineStr">
        <is>
          <t>Ben</t>
        </is>
      </c>
      <c r="B3" s="2" t="n">
        <v>5000</v>
      </c>
      <c r="C3" s="3">
        <f>ROUND(SUMPRODUCT((B3&gt;$G$2:$G$4)*(B3-$G$2:$G$4)*$I$2:$I$4),2)</f>
        <v/>
      </c>
      <c r="D3" s="3">
        <f>ROUND(MIN(B3,$G$3)*$H$2+MAX(0,MIN(B3,$G$4)-$G$3)*$H$3+MAX(0,B3-$G$4)*$H$4,2)</f>
        <v/>
      </c>
      <c r="E3" s="4">
        <f>IF(ROUND(C3-D3,2)=0,"Yes","CHECK")</f>
        <v/>
      </c>
      <c r="G3" s="5" t="n">
        <v>5000</v>
      </c>
      <c r="H3" s="6" t="n">
        <v>0.05</v>
      </c>
      <c r="I3" s="7">
        <f>H3-H2</f>
        <v/>
      </c>
    </row>
    <row r="4">
      <c r="A4" t="inlineStr">
        <is>
          <t>Cy</t>
        </is>
      </c>
      <c r="B4" s="2" t="n">
        <v>12000</v>
      </c>
      <c r="C4" s="3">
        <f>ROUND(SUMPRODUCT((B4&gt;$G$2:$G$4)*(B4-$G$2:$G$4)*$I$2:$I$4),2)</f>
        <v/>
      </c>
      <c r="D4" s="3">
        <f>ROUND(MIN(B4,$G$3)*$H$2+MAX(0,MIN(B4,$G$4)-$G$3)*$H$3+MAX(0,B4-$G$4)*$H$4,2)</f>
        <v/>
      </c>
      <c r="E4" s="4">
        <f>IF(ROUND(C4-D4,2)=0,"Yes","CHECK")</f>
        <v/>
      </c>
      <c r="G4" s="5" t="n">
        <v>10000</v>
      </c>
      <c r="H4" s="6" t="n">
        <v>0.08</v>
      </c>
      <c r="I4" s="7">
        <f>H4-H3</f>
        <v/>
      </c>
    </row>
    <row r="5">
      <c r="A5" t="inlineStr">
        <is>
          <t>Dee</t>
        </is>
      </c>
      <c r="B5" s="2" t="n">
        <v>0</v>
      </c>
      <c r="C5" s="3">
        <f>ROUND(SUMPRODUCT((B5&gt;$G$2:$G$4)*(B5-$G$2:$G$4)*$I$2:$I$4),2)</f>
        <v/>
      </c>
      <c r="D5" s="3">
        <f>ROUND(MIN(B5,$G$3)*$H$2+MAX(0,MIN(B5,$G$4)-$G$3)*$H$3+MAX(0,B5-$G$4)*$H$4,2)</f>
        <v/>
      </c>
      <c r="E5" s="4">
        <f>IF(ROUND(C5-D5,2)=0,"Yes","CHECK")</f>
        <v/>
      </c>
    </row>
    <row r="6">
      <c r="A6" t="inlineStr">
        <is>
          <t>Eli</t>
        </is>
      </c>
      <c r="B6" s="2" t="n">
        <v>25500.5</v>
      </c>
      <c r="C6" s="3">
        <f>ROUND(SUMPRODUCT((B6&gt;$G$2:$G$4)*(B6-$G$2:$G$4)*$I$2:$I$4),2)</f>
        <v/>
      </c>
      <c r="D6" s="3">
        <f>ROUND(MIN(B6,$G$3)*$H$2+MAX(0,MIN(B6,$G$4)-$G$3)*$H$3+MAX(0,B6-$G$4)*$H$4,2)</f>
        <v/>
      </c>
      <c r="E6" s="4">
        <f>IF(ROUND(C6-D6,2)=0,"Yes","CHECK")</f>
        <v/>
      </c>
      <c r="G6" s="8" t="inlineStr">
        <is>
          <t>Fictional tiers. Type your own from your written commission plan.</t>
        </is>
      </c>
    </row>
    <row r="7">
      <c r="A7" t="inlineStr">
        <is>
          <t>Fay</t>
        </is>
      </c>
      <c r="B7" s="2" t="n">
        <v>10000</v>
      </c>
      <c r="C7" s="3">
        <f>ROUND(SUMPRODUCT((B7&gt;$G$2:$G$4)*(B7-$G$2:$G$4)*$I$2:$I$4),2)</f>
        <v/>
      </c>
      <c r="D7" s="3">
        <f>ROUND(MIN(B7,$G$3)*$H$2+MAX(0,MIN(B7,$G$4)-$G$3)*$H$3+MAX(0,B7-$G$4)*$H$4,2)</f>
        <v/>
      </c>
      <c r="E7" s="4">
        <f>IF(ROUND(C7-D7,2)=0,"Yes","CHECK")</f>
        <v/>
      </c>
    </row>
    <row r="8">
      <c r="A8" s="9" t="inlineStr">
        <is>
          <t>Total</t>
        </is>
      </c>
      <c r="B8" s="2">
        <f>SUM(B2:B7)</f>
        <v/>
      </c>
      <c r="C8" s="2">
        <f>SUM(C2:C7)</f>
        <v/>
      </c>
    </row>
  </sheetData>
  <mergeCells count="1">
    <mergeCell ref="G6:I7"/>
  </mergeCell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Tiered Sales Commission</t>
        </is>
      </c>
    </row>
    <row r="2">
      <c r="A2" s="8" t="inlineStr"/>
    </row>
    <row r="3">
      <c r="A3" s="8" t="inlineStr">
        <is>
          <t>1. Commission tab: the yellow cells G2:H4 hold the tiers. G is where a tier starts (sales above that amount) and H is the rate paid on the slice of sales inside that tier. The sample tiers are made up.</t>
        </is>
      </c>
    </row>
    <row r="4">
      <c r="A4" s="8" t="inlineStr">
        <is>
          <t>2. I2:I4 is the extra rate each tier adds over the one below it: I2 =H2, I3 =H3-H2, I4 =H4-H3. On every dollar above $5,000.00 the rate rises by 2.0 points, from 3.0% to 5.0%, so I3 holds 2.0%.</t>
        </is>
      </c>
    </row>
    <row r="5">
      <c r="A5" s="8" t="inlineStr">
        <is>
          <t>3. C2: =ROUND(SUMPRODUCT((B2&gt;$G$2:$G$4)*(B2-$G$2:$G$4)*$I$2:$I$4),2). For each tier it checks whether sales passed the start, multiplies the dollars above the start by the extra rate, and adds the three results.</t>
        </is>
      </c>
    </row>
    <row r="6">
      <c r="A6" s="8" t="inlineStr">
        <is>
          <t>4. Only the slice of sales inside a tier earns that tier's rate. $12,000.00 pays 3.0% on the first $5,000.00, 5.0% on the next $5,000.00 and 8.0% on the last $2,000.00, which is $560.00.</t>
        </is>
      </c>
    </row>
    <row r="7">
      <c r="A7" s="8" t="inlineStr">
        <is>
          <t>5. D2 reaches the same number a second way (MIN and MAX per slice). E2 says CHECK if the two methods ever differ.</t>
        </is>
      </c>
    </row>
    <row r="8">
      <c r="A8" s="8" t="inlineStr">
        <is>
          <t>6. To add a tier, insert a row inside the tier table, fill the extra-rate formula down and extend the ranges $G$2:$G$4 and $I$2:$I$4 in column C. Keep the tiers in ascending order.</t>
        </is>
      </c>
    </row>
    <row r="9">
      <c r="A9" s="8" t="inlineStr">
        <is>
          <t>7. This is arithmetic for a plan you already have in writing. It does not decide what a rep is owed, and it does not cover payroll, withholding or taxes.</t>
        </is>
      </c>
    </row>
    <row r="10">
      <c r="A10" s="8" t="inlineStr"/>
    </row>
    <row r="11">
      <c r="A11" s="8" t="inlineStr">
        <is>
          <t>Names and amounts are fictional. Checked in LibreOffice Calc only; not opened in Excel or Google Sheets.</t>
        </is>
      </c>
    </row>
    <row r="12">
      <c r="A12" s="8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2026-10-11T07:28:26Z</dcterms:created>
  <dcterms:modified xmlns:dcterms="http://purl.org/dc/terms/" xmlns:xsi="http://www.w3.org/2001/XMLSchema-instance" xsi:type="dcterms:W3CDTF">2026-10-11T07:28:26Z</dcterms:modified>
</cp:coreProperties>
</file>