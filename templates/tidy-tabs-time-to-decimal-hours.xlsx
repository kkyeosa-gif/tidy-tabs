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18" fontId="0" fillId="0" borderId="0" pivotButton="0" quotePrefix="0" xfId="0"/>
    <xf numFmtId="20" fontId="0" fillId="3" borderId="0" pivotButton="0" quotePrefix="0" xfId="0"/>
    <xf numFmtId="2" fontId="0" fillId="3" borderId="0" pivotButton="0" quotePrefix="0" xfId="0"/>
    <xf numFmtId="166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3" customWidth="1" min="4" max="4"/>
    <col width="14" customWidth="1" min="5" max="5"/>
    <col width="12" customWidth="1" min="6" max="6"/>
    <col width="13" customWidth="1" min="7" max="7"/>
    <col width="11" customWidth="1" min="8" max="8"/>
    <col width="20" customWidth="1" min="10" max="10"/>
    <col width="12" customWidth="1" min="11" max="11"/>
  </cols>
  <sheetData>
    <row r="1" ht="30" customHeight="1">
      <c r="A1" s="1" t="inlineStr">
        <is>
          <t>Date</t>
        </is>
      </c>
      <c r="B1" s="1" t="inlineStr">
        <is>
          <t>Clock in</t>
        </is>
      </c>
      <c r="C1" s="1" t="inlineStr">
        <is>
          <t>Clock out</t>
        </is>
      </c>
      <c r="D1" s="1" t="inlineStr">
        <is>
          <t>Unpaid break (min)</t>
        </is>
      </c>
      <c r="E1" s="1" t="inlineStr">
        <is>
          <t>Time worked (h:mm)</t>
        </is>
      </c>
      <c r="F1" s="1" t="inlineStr">
        <is>
          <t>Decimal hours</t>
        </is>
      </c>
      <c r="G1" s="1" t="inlineStr">
        <is>
          <t>Nearest 15 min</t>
        </is>
      </c>
      <c r="H1" s="1" t="inlineStr">
        <is>
          <t>Pay</t>
        </is>
      </c>
      <c r="J1" s="2" t="inlineStr">
        <is>
          <t>Hourly rate</t>
        </is>
      </c>
      <c r="K1" s="3" t="n">
        <v>22.5</v>
      </c>
    </row>
    <row r="2">
      <c r="A2" s="4" t="n">
        <v>46286</v>
      </c>
      <c r="B2" s="5" t="n">
        <v>0.3541666666666667</v>
      </c>
      <c r="C2" s="5" t="n">
        <v>0.7083333333333334</v>
      </c>
      <c r="D2" t="n">
        <v>30</v>
      </c>
      <c r="E2" s="6">
        <f>MOD(C2-B2,1)-D2/1440</f>
        <v/>
      </c>
      <c r="F2" s="7">
        <f>ROUND(E2*24,2)</f>
        <v/>
      </c>
      <c r="G2" s="7">
        <f>MROUND(E2*24,0.25)</f>
        <v/>
      </c>
      <c r="H2" s="8">
        <f>ROUND(F2*$K$1,2)</f>
        <v/>
      </c>
      <c r="J2" s="2" t="inlineStr">
        <is>
          <t>Total decimal hours</t>
        </is>
      </c>
      <c r="K2">
        <f>SUM(F2:F200)</f>
        <v/>
      </c>
    </row>
    <row r="3">
      <c r="A3" s="4" t="n">
        <v>46287</v>
      </c>
      <c r="B3" s="5" t="n">
        <v>0.375</v>
      </c>
      <c r="C3" s="5" t="n">
        <v>0.7395833333333334</v>
      </c>
      <c r="D3" t="n">
        <v>30</v>
      </c>
      <c r="E3" s="6">
        <f>MOD(C3-B3,1)-D3/1440</f>
        <v/>
      </c>
      <c r="F3" s="7">
        <f>ROUND(E3*24,2)</f>
        <v/>
      </c>
      <c r="G3" s="7">
        <f>MROUND(E3*24,0.25)</f>
        <v/>
      </c>
      <c r="H3" s="8">
        <f>ROUND(F3*$K$1,2)</f>
        <v/>
      </c>
      <c r="J3" s="2" t="inlineStr">
        <is>
          <t>Total pay</t>
        </is>
      </c>
      <c r="K3" s="3">
        <f>SUM(H2:H200)</f>
        <v/>
      </c>
    </row>
    <row r="4">
      <c r="A4" s="4" t="n">
        <v>46288</v>
      </c>
      <c r="B4" s="5" t="n">
        <v>0.3020833333333333</v>
      </c>
      <c r="C4" s="5" t="n">
        <v>0.6527777777777778</v>
      </c>
      <c r="D4" t="n">
        <v>30</v>
      </c>
      <c r="E4" s="6">
        <f>MOD(C4-B4,1)-D4/1440</f>
        <v/>
      </c>
      <c r="F4" s="7">
        <f>ROUND(E4*24,2)</f>
        <v/>
      </c>
      <c r="G4" s="7">
        <f>MROUND(E4*24,0.25)</f>
        <v/>
      </c>
      <c r="H4" s="8">
        <f>ROUND(F4*$K$1,2)</f>
        <v/>
      </c>
    </row>
    <row r="5">
      <c r="A5" s="4" t="n">
        <v>46289</v>
      </c>
      <c r="B5" s="5" t="n">
        <v>0.9166666666666666</v>
      </c>
      <c r="C5" s="5" t="n">
        <v>0.2708333333333333</v>
      </c>
      <c r="D5" t="n">
        <v>30</v>
      </c>
      <c r="E5" s="6">
        <f>MOD(C5-B5,1)-D5/1440</f>
        <v/>
      </c>
      <c r="F5" s="7">
        <f>ROUND(E5*24,2)</f>
        <v/>
      </c>
      <c r="G5" s="7">
        <f>MROUND(E5*24,0.25)</f>
        <v/>
      </c>
      <c r="H5" s="8">
        <f>ROUND(F5*$K$1,2)</f>
        <v/>
      </c>
    </row>
    <row r="6">
      <c r="A6" s="4" t="n">
        <v>46290</v>
      </c>
      <c r="B6" s="5" t="n">
        <v>0.3784722222222222</v>
      </c>
      <c r="C6" s="5" t="n">
        <v>0.5555555555555556</v>
      </c>
      <c r="D6" t="n">
        <v>0</v>
      </c>
      <c r="E6" s="6">
        <f>MOD(C6-B6,1)-D6/1440</f>
        <v/>
      </c>
      <c r="F6" s="7">
        <f>ROUND(E6*24,2)</f>
        <v/>
      </c>
      <c r="G6" s="7">
        <f>MROUND(E6*24,0.25)</f>
        <v/>
      </c>
      <c r="H6" s="8">
        <f>ROUND(F6*$K$1,2)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9" t="inlineStr">
        <is>
          <t>Tidy Tabs: Convert Clock Times to Decimal Hours</t>
        </is>
      </c>
    </row>
    <row r="2">
      <c r="A2" t="inlineStr"/>
    </row>
    <row r="3">
      <c r="A3" t="inlineStr">
        <is>
          <t>1. Type Clock in, Clock out, and Unpaid break in minutes. Format the time cells as Time.</t>
        </is>
      </c>
    </row>
    <row r="4">
      <c r="A4" t="inlineStr">
        <is>
          <t>2. Time worked = MOD(C2-B2,1)-D2/1440. MOD makes overnight shifts (10:00 PM to 6:30 AM) come out positive; 1440 is minutes in a day.</t>
        </is>
      </c>
    </row>
    <row r="5">
      <c r="A5" t="inlineStr">
        <is>
          <t>3. Decimal hours = ROUND(E2*24,2). Excel and Sheets store time as a fraction of a day, so multiply by 24 to get hours.</t>
        </is>
      </c>
    </row>
    <row r="6">
      <c r="A6" t="inlineStr">
        <is>
          <t>4. Nearest 15 min = MROUND(E2*24,0.25), for payroll that rounds to quarter hours.</t>
        </is>
      </c>
    </row>
    <row r="7">
      <c r="A7" t="inlineStr">
        <is>
          <t>5. Pay = ROUND(Decimal hours x the hourly rate in K1,2). Change the rate there.</t>
        </is>
      </c>
    </row>
    <row r="8">
      <c r="A8" t="inlineStr"/>
    </row>
    <row r="9">
      <c r="A9" t="inlineStr">
        <is>
          <t>Sample shifts and the $22.50 rate are fictional. Rounding rules are set by your own payroll policy; this file only does the arithmetic.</t>
        </is>
      </c>
    </row>
    <row r="10">
      <c r="A10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2026-09-29T07:27:06Z</dcterms:created>
  <dcterms:modified xsi:type="dcterms:W3CDTF">2026-09-29T07:27:06Z</dcterms:modified>
</cp:coreProperties>
</file>