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ls" sheetId="1" state="visible" r:id="rId1"/>
    <sheet xmlns:r="http://schemas.openxmlformats.org/officeDocument/2006/relationships" name="Offsets" sheetId="2" state="visible" r:id="rId2"/>
    <sheet xmlns:r="http://schemas.openxmlformats.org/officeDocument/2006/relationships" name="How to use" sheetId="3" state="visible" r:id="rId3"/>
  </sheets>
  <definedNames>
    <definedName name="_xlnm.Print_Titles" localSheetId="0">'Calls'!$1:$1</definedName>
    <definedName name="_xlnm.Print_Titles" localSheetId="1">'Offsets'!$1:$1</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h:mm AM/PM"/>
    <numFmt numFmtId="166" formatCode="0.##;-0.##;0"/>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EDEDED"/>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165" fontId="0" fillId="0" borderId="0" pivotButton="0" quotePrefix="0" xfId="0"/>
    <xf numFmtId="166" fontId="0" fillId="3" borderId="0" pivotButton="0" quotePrefix="0" xfId="0"/>
    <xf numFmtId="165" fontId="0" fillId="3" borderId="0" pivotButton="0" quotePrefix="0" xfId="0"/>
    <xf numFmtId="0" fontId="0" fillId="3" borderId="0" pivotButton="0" quotePrefix="0" xfId="0"/>
    <xf numFmtId="0" fontId="2" fillId="0" borderId="0" pivotButton="0" quotePrefix="0" xfId="0"/>
    <xf numFmtId="0" fontId="0" fillId="4"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20"/>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22" customWidth="1" min="3" max="3"/>
    <col width="12" customWidth="1" min="4" max="4"/>
    <col width="22" customWidth="1" min="5" max="5"/>
    <col width="13" customWidth="1" min="6" max="6"/>
    <col width="4" customWidth="1" min="7" max="7"/>
    <col width="26" customWidth="1" min="8" max="8"/>
    <col width="14" customWidth="1" min="9" max="9"/>
  </cols>
  <sheetData>
    <row r="1" ht="30" customHeight="1">
      <c r="A1" s="1" t="inlineStr">
        <is>
          <t>Client</t>
        </is>
      </c>
      <c r="B1" s="1" t="inlineStr">
        <is>
          <t>Client zone</t>
        </is>
      </c>
      <c r="C1" s="1" t="inlineStr">
        <is>
          <t>Your call time</t>
        </is>
      </c>
      <c r="D1" s="1" t="inlineStr">
        <is>
          <t>Hours difference</t>
        </is>
      </c>
      <c r="E1" s="1" t="inlineStr">
        <is>
          <t>Client time</t>
        </is>
      </c>
      <c r="F1" s="1" t="inlineStr">
        <is>
          <t>Day</t>
        </is>
      </c>
    </row>
    <row r="2">
      <c r="A2" t="inlineStr">
        <is>
          <t>Maple Street Bakery</t>
        </is>
      </c>
      <c r="B2" t="inlineStr">
        <is>
          <t>Eastern</t>
        </is>
      </c>
      <c r="C2" s="2" t="n">
        <v>46309.375</v>
      </c>
      <c r="D2" s="3">
        <f>IF(B2="","",IFERROR(VLOOKUP(B2,Offsets!$A$2:$B$5,2,FALSE)-VLOOKUP($I$2,Offsets!$A$2:$B$5,2,FALSE),"Check zone"))</f>
        <v/>
      </c>
      <c r="E2" s="4">
        <f>IF(OR(C2="",NOT(ISNUMBER(D2))),"",IF(ISNUMBER(C2),C2+D2/24,"Check time"))</f>
        <v/>
      </c>
      <c r="F2" s="5">
        <f>IF(NOT(ISNUMBER(E2)),"",IF(INT(E2)&gt;INT(C2),"Next day",IF(INT(E2)&lt;INT(C2),"Previous day","Same day")))</f>
        <v/>
      </c>
      <c r="H2" s="6" t="inlineStr">
        <is>
          <t>Your zone</t>
        </is>
      </c>
      <c r="I2" s="7" t="inlineStr">
        <is>
          <t>Eastern</t>
        </is>
      </c>
    </row>
    <row r="3">
      <c r="A3" t="inlineStr">
        <is>
          <t>Harbor Yoga Studio</t>
        </is>
      </c>
      <c r="B3" t="inlineStr">
        <is>
          <t>Central</t>
        </is>
      </c>
      <c r="C3" s="2" t="n">
        <v>46309.6875</v>
      </c>
      <c r="D3" s="3">
        <f>IF(B3="","",IFERROR(VLOOKUP(B3,Offsets!$A$2:$B$5,2,FALSE)-VLOOKUP($I$2,Offsets!$A$2:$B$5,2,FALSE),"Check zone"))</f>
        <v/>
      </c>
      <c r="E3" s="4">
        <f>IF(OR(C3="",NOT(ISNUMBER(D3))),"",IF(ISNUMBER(C3),C3+D3/24,"Check time"))</f>
        <v/>
      </c>
      <c r="F3" s="5">
        <f>IF(NOT(ISNUMBER(E3)),"",IF(INT(E3)&gt;INT(C3),"Next day",IF(INT(E3)&lt;INT(C3),"Previous day","Same day")))</f>
        <v/>
      </c>
    </row>
    <row r="4">
      <c r="A4" t="inlineStr">
        <is>
          <t>Birch Design Co</t>
        </is>
      </c>
      <c r="B4" t="inlineStr">
        <is>
          <t>Mountain</t>
        </is>
      </c>
      <c r="C4" s="2" t="n">
        <v>46310.41666666666</v>
      </c>
      <c r="D4" s="3">
        <f>IF(B4="","",IFERROR(VLOOKUP(B4,Offsets!$A$2:$B$5,2,FALSE)-VLOOKUP($I$2,Offsets!$A$2:$B$5,2,FALSE),"Check zone"))</f>
        <v/>
      </c>
      <c r="E4" s="4">
        <f>IF(OR(C4="",NOT(ISNUMBER(D4))),"",IF(ISNUMBER(C4),C4+D4/24,"Check time"))</f>
        <v/>
      </c>
      <c r="F4" s="5">
        <f>IF(NOT(ISNUMBER(E4)),"",IF(INT(E4)&gt;INT(C4),"Next day",IF(INT(E4)&lt;INT(C4),"Previous day","Same day")))</f>
        <v/>
      </c>
      <c r="H4" t="inlineStr">
        <is>
          <t>Calls on a different day</t>
        </is>
      </c>
      <c r="I4" s="5">
        <f>COUNTIF(F2:F20,"Next day")+COUNTIF(F2:F20,"Previous day")</f>
        <v/>
      </c>
    </row>
    <row r="5">
      <c r="A5" t="inlineStr">
        <is>
          <t>Lantern Print Shop</t>
        </is>
      </c>
      <c r="B5" t="inlineStr">
        <is>
          <t>Pacific</t>
        </is>
      </c>
      <c r="C5" s="2" t="n">
        <v>46309.6875</v>
      </c>
      <c r="D5" s="3">
        <f>IF(B5="","",IFERROR(VLOOKUP(B5,Offsets!$A$2:$B$5,2,FALSE)-VLOOKUP($I$2,Offsets!$A$2:$B$5,2,FALSE),"Check zone"))</f>
        <v/>
      </c>
      <c r="E5" s="4">
        <f>IF(OR(C5="",NOT(ISNUMBER(D5))),"",IF(ISNUMBER(C5),C5+D5/24,"Check time"))</f>
        <v/>
      </c>
      <c r="F5" s="5">
        <f>IF(NOT(ISNUMBER(E5)),"",IF(INT(E5)&gt;INT(C5),"Next day",IF(INT(E5)&lt;INT(C5),"Previous day","Same day")))</f>
        <v/>
      </c>
      <c r="H5" t="inlineStr">
        <is>
          <t>Calls listed</t>
        </is>
      </c>
      <c r="I5" s="5">
        <f>COUNT(C2:C20)</f>
        <v/>
      </c>
    </row>
    <row r="6">
      <c r="A6" t="inlineStr">
        <is>
          <t>Cedar Row Realty</t>
        </is>
      </c>
      <c r="B6" t="inlineStr">
        <is>
          <t>Pacific</t>
        </is>
      </c>
      <c r="C6" s="2" t="n">
        <v>46310.04166666666</v>
      </c>
      <c r="D6" s="3">
        <f>IF(B6="","",IFERROR(VLOOKUP(B6,Offsets!$A$2:$B$5,2,FALSE)-VLOOKUP($I$2,Offsets!$A$2:$B$5,2,FALSE),"Check zone"))</f>
        <v/>
      </c>
      <c r="E6" s="4">
        <f>IF(OR(C6="",NOT(ISNUMBER(D6))),"",IF(ISNUMBER(C6),C6+D6/24,"Check time"))</f>
        <v/>
      </c>
      <c r="F6" s="5">
        <f>IF(NOT(ISNUMBER(E6)),"",IF(INT(E6)&gt;INT(C6),"Next day",IF(INT(E6)&lt;INT(C6),"Previous day","Same day")))</f>
        <v/>
      </c>
    </row>
    <row r="7">
      <c r="A7" t="inlineStr">
        <is>
          <t>Willow Pet Care</t>
        </is>
      </c>
      <c r="B7" t="inlineStr">
        <is>
          <t>Central</t>
        </is>
      </c>
      <c r="C7" s="2" t="n">
        <v>46310.01041666666</v>
      </c>
      <c r="D7" s="3">
        <f>IF(B7="","",IFERROR(VLOOKUP(B7,Offsets!$A$2:$B$5,2,FALSE)-VLOOKUP($I$2,Offsets!$A$2:$B$5,2,FALSE),"Check zone"))</f>
        <v/>
      </c>
      <c r="E7" s="4">
        <f>IF(OR(C7="",NOT(ISNUMBER(D7))),"",IF(ISNUMBER(C7),C7+D7/24,"Check time"))</f>
        <v/>
      </c>
      <c r="F7" s="5">
        <f>IF(NOT(ISNUMBER(E7)),"",IF(INT(E7)&gt;INT(C7),"Next day",IF(INT(E7)&lt;INT(C7),"Previous day","Same day")))</f>
        <v/>
      </c>
    </row>
    <row r="8">
      <c r="A8" t="inlineStr">
        <is>
          <t>Granite Fitness</t>
        </is>
      </c>
      <c r="B8" t="inlineStr">
        <is>
          <t>Mountain</t>
        </is>
      </c>
      <c r="C8" s="2" t="n">
        <v>46311.61458333334</v>
      </c>
      <c r="D8" s="3">
        <f>IF(B8="","",IFERROR(VLOOKUP(B8,Offsets!$A$2:$B$5,2,FALSE)-VLOOKUP($I$2,Offsets!$A$2:$B$5,2,FALSE),"Check zone"))</f>
        <v/>
      </c>
      <c r="E8" s="4">
        <f>IF(OR(C8="",NOT(ISNUMBER(D8))),"",IF(ISNUMBER(C8),C8+D8/24,"Check time"))</f>
        <v/>
      </c>
      <c r="F8" s="5">
        <f>IF(NOT(ISNUMBER(E8)),"",IF(INT(E8)&gt;INT(C8),"Next day",IF(INT(E8)&lt;INT(C8),"Previous day","Same day")))</f>
        <v/>
      </c>
    </row>
    <row r="9">
      <c r="A9" t="inlineStr">
        <is>
          <t>Juniper Books</t>
        </is>
      </c>
      <c r="B9" t="inlineStr">
        <is>
          <t>Pacific</t>
        </is>
      </c>
      <c r="C9" s="2" t="n">
        <v>46311.75</v>
      </c>
      <c r="D9" s="3">
        <f>IF(B9="","",IFERROR(VLOOKUP(B9,Offsets!$A$2:$B$5,2,FALSE)-VLOOKUP($I$2,Offsets!$A$2:$B$5,2,FALSE),"Check zone"))</f>
        <v/>
      </c>
      <c r="E9" s="4">
        <f>IF(OR(C9="",NOT(ISNUMBER(D9))),"",IF(ISNUMBER(C9),C9+D9/24,"Check time"))</f>
        <v/>
      </c>
      <c r="F9" s="5">
        <f>IF(NOT(ISNUMBER(E9)),"",IF(INT(E9)&gt;INT(C9),"Next day",IF(INT(E9)&lt;INT(C9),"Previous day","Same day")))</f>
        <v/>
      </c>
    </row>
    <row r="10">
      <c r="C10" s="2" t="n"/>
      <c r="D10" s="3">
        <f>IF(B10="","",IFERROR(VLOOKUP(B10,Offsets!$A$2:$B$5,2,FALSE)-VLOOKUP($I$2,Offsets!$A$2:$B$5,2,FALSE),"Check zone"))</f>
        <v/>
      </c>
      <c r="E10" s="4">
        <f>IF(OR(C10="",NOT(ISNUMBER(D10))),"",IF(ISNUMBER(C10),C10+D10/24,"Check time"))</f>
        <v/>
      </c>
      <c r="F10" s="5">
        <f>IF(NOT(ISNUMBER(E10)),"",IF(INT(E10)&gt;INT(C10),"Next day",IF(INT(E10)&lt;INT(C10),"Previous day","Same day")))</f>
        <v/>
      </c>
    </row>
    <row r="11">
      <c r="C11" s="2" t="n"/>
      <c r="D11" s="3">
        <f>IF(B11="","",IFERROR(VLOOKUP(B11,Offsets!$A$2:$B$5,2,FALSE)-VLOOKUP($I$2,Offsets!$A$2:$B$5,2,FALSE),"Check zone"))</f>
        <v/>
      </c>
      <c r="E11" s="4">
        <f>IF(OR(C11="",NOT(ISNUMBER(D11))),"",IF(ISNUMBER(C11),C11+D11/24,"Check time"))</f>
        <v/>
      </c>
      <c r="F11" s="5">
        <f>IF(NOT(ISNUMBER(E11)),"",IF(INT(E11)&gt;INT(C11),"Next day",IF(INT(E11)&lt;INT(C11),"Previous day","Same day")))</f>
        <v/>
      </c>
    </row>
    <row r="12">
      <c r="C12" s="2" t="n"/>
      <c r="D12" s="3">
        <f>IF(B12="","",IFERROR(VLOOKUP(B12,Offsets!$A$2:$B$5,2,FALSE)-VLOOKUP($I$2,Offsets!$A$2:$B$5,2,FALSE),"Check zone"))</f>
        <v/>
      </c>
      <c r="E12" s="4">
        <f>IF(OR(C12="",NOT(ISNUMBER(D12))),"",IF(ISNUMBER(C12),C12+D12/24,"Check time"))</f>
        <v/>
      </c>
      <c r="F12" s="5">
        <f>IF(NOT(ISNUMBER(E12)),"",IF(INT(E12)&gt;INT(C12),"Next day",IF(INT(E12)&lt;INT(C12),"Previous day","Same day")))</f>
        <v/>
      </c>
    </row>
    <row r="13">
      <c r="C13" s="2" t="n"/>
      <c r="D13" s="3">
        <f>IF(B13="","",IFERROR(VLOOKUP(B13,Offsets!$A$2:$B$5,2,FALSE)-VLOOKUP($I$2,Offsets!$A$2:$B$5,2,FALSE),"Check zone"))</f>
        <v/>
      </c>
      <c r="E13" s="4">
        <f>IF(OR(C13="",NOT(ISNUMBER(D13))),"",IF(ISNUMBER(C13),C13+D13/24,"Check time"))</f>
        <v/>
      </c>
      <c r="F13" s="5">
        <f>IF(NOT(ISNUMBER(E13)),"",IF(INT(E13)&gt;INT(C13),"Next day",IF(INT(E13)&lt;INT(C13),"Previous day","Same day")))</f>
        <v/>
      </c>
    </row>
    <row r="14">
      <c r="C14" s="2" t="n"/>
      <c r="D14" s="3">
        <f>IF(B14="","",IFERROR(VLOOKUP(B14,Offsets!$A$2:$B$5,2,FALSE)-VLOOKUP($I$2,Offsets!$A$2:$B$5,2,FALSE),"Check zone"))</f>
        <v/>
      </c>
      <c r="E14" s="4">
        <f>IF(OR(C14="",NOT(ISNUMBER(D14))),"",IF(ISNUMBER(C14),C14+D14/24,"Check time"))</f>
        <v/>
      </c>
      <c r="F14" s="5">
        <f>IF(NOT(ISNUMBER(E14)),"",IF(INT(E14)&gt;INT(C14),"Next day",IF(INT(E14)&lt;INT(C14),"Previous day","Same day")))</f>
        <v/>
      </c>
    </row>
    <row r="15">
      <c r="C15" s="2" t="n"/>
      <c r="D15" s="3">
        <f>IF(B15="","",IFERROR(VLOOKUP(B15,Offsets!$A$2:$B$5,2,FALSE)-VLOOKUP($I$2,Offsets!$A$2:$B$5,2,FALSE),"Check zone"))</f>
        <v/>
      </c>
      <c r="E15" s="4">
        <f>IF(OR(C15="",NOT(ISNUMBER(D15))),"",IF(ISNUMBER(C15),C15+D15/24,"Check time"))</f>
        <v/>
      </c>
      <c r="F15" s="5">
        <f>IF(NOT(ISNUMBER(E15)),"",IF(INT(E15)&gt;INT(C15),"Next day",IF(INT(E15)&lt;INT(C15),"Previous day","Same day")))</f>
        <v/>
      </c>
    </row>
    <row r="16">
      <c r="C16" s="2" t="n"/>
      <c r="D16" s="3">
        <f>IF(B16="","",IFERROR(VLOOKUP(B16,Offsets!$A$2:$B$5,2,FALSE)-VLOOKUP($I$2,Offsets!$A$2:$B$5,2,FALSE),"Check zone"))</f>
        <v/>
      </c>
      <c r="E16" s="4">
        <f>IF(OR(C16="",NOT(ISNUMBER(D16))),"",IF(ISNUMBER(C16),C16+D16/24,"Check time"))</f>
        <v/>
      </c>
      <c r="F16" s="5">
        <f>IF(NOT(ISNUMBER(E16)),"",IF(INT(E16)&gt;INT(C16),"Next day",IF(INT(E16)&lt;INT(C16),"Previous day","Same day")))</f>
        <v/>
      </c>
    </row>
    <row r="17">
      <c r="C17" s="2" t="n"/>
      <c r="D17" s="3">
        <f>IF(B17="","",IFERROR(VLOOKUP(B17,Offsets!$A$2:$B$5,2,FALSE)-VLOOKUP($I$2,Offsets!$A$2:$B$5,2,FALSE),"Check zone"))</f>
        <v/>
      </c>
      <c r="E17" s="4">
        <f>IF(OR(C17="",NOT(ISNUMBER(D17))),"",IF(ISNUMBER(C17),C17+D17/24,"Check time"))</f>
        <v/>
      </c>
      <c r="F17" s="5">
        <f>IF(NOT(ISNUMBER(E17)),"",IF(INT(E17)&gt;INT(C17),"Next day",IF(INT(E17)&lt;INT(C17),"Previous day","Same day")))</f>
        <v/>
      </c>
    </row>
    <row r="18">
      <c r="C18" s="2" t="n"/>
      <c r="D18" s="3">
        <f>IF(B18="","",IFERROR(VLOOKUP(B18,Offsets!$A$2:$B$5,2,FALSE)-VLOOKUP($I$2,Offsets!$A$2:$B$5,2,FALSE),"Check zone"))</f>
        <v/>
      </c>
      <c r="E18" s="4">
        <f>IF(OR(C18="",NOT(ISNUMBER(D18))),"",IF(ISNUMBER(C18),C18+D18/24,"Check time"))</f>
        <v/>
      </c>
      <c r="F18" s="5">
        <f>IF(NOT(ISNUMBER(E18)),"",IF(INT(E18)&gt;INT(C18),"Next day",IF(INT(E18)&lt;INT(C18),"Previous day","Same day")))</f>
        <v/>
      </c>
    </row>
    <row r="19">
      <c r="C19" s="2" t="n"/>
      <c r="D19" s="3">
        <f>IF(B19="","",IFERROR(VLOOKUP(B19,Offsets!$A$2:$B$5,2,FALSE)-VLOOKUP($I$2,Offsets!$A$2:$B$5,2,FALSE),"Check zone"))</f>
        <v/>
      </c>
      <c r="E19" s="4">
        <f>IF(OR(C19="",NOT(ISNUMBER(D19))),"",IF(ISNUMBER(C19),C19+D19/24,"Check time"))</f>
        <v/>
      </c>
      <c r="F19" s="5">
        <f>IF(NOT(ISNUMBER(E19)),"",IF(INT(E19)&gt;INT(C19),"Next day",IF(INT(E19)&lt;INT(C19),"Previous day","Same day")))</f>
        <v/>
      </c>
    </row>
    <row r="20">
      <c r="C20" s="2" t="n"/>
      <c r="D20" s="3">
        <f>IF(B20="","",IFERROR(VLOOKUP(B20,Offsets!$A$2:$B$5,2,FALSE)-VLOOKUP($I$2,Offsets!$A$2:$B$5,2,FALSE),"Check zone"))</f>
        <v/>
      </c>
      <c r="E20" s="4">
        <f>IF(OR(C20="",NOT(ISNUMBER(D20))),"",IF(ISNUMBER(C20),C20+D20/24,"Check time"))</f>
        <v/>
      </c>
      <c r="F20" s="5">
        <f>IF(NOT(ISNUMBER(E20)),"",IF(INT(E20)&gt;INT(C20),"Next day",IF(INT(E20)&lt;INT(C20),"Previous day","Same day")))</f>
        <v/>
      </c>
    </row>
  </sheetData>
  <conditionalFormatting sqref="F2:F20">
    <cfRule type="expression" priority="1" dxfId="0">
      <formula>OR(F2="Next day",F2="Previous day")</formula>
    </cfRule>
  </conditionalFormatting>
  <dataValidations count="2">
    <dataValidation sqref="B2:B20" showDropDown="0" showInputMessage="0" showErrorMessage="0" allowBlank="1" type="list">
      <formula1>=Offsets!$A$2:$A$5</formula1>
    </dataValidation>
    <dataValidation sqref="I2" showDropDown="0" showInputMessage="0" showErrorMessage="0" allowBlank="0" type="list">
      <formula1>=Offsets!$A$2:$A$5</formula1>
    </dataValidation>
  </dataValidations>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B5"/>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s>
  <sheetData>
    <row r="1" ht="30" customHeight="1">
      <c r="A1" s="1" t="inlineStr">
        <is>
          <t>Zone</t>
        </is>
      </c>
      <c r="B1" s="1" t="inlineStr">
        <is>
          <t>Hours from Eastern</t>
        </is>
      </c>
    </row>
    <row r="2">
      <c r="A2" s="7" t="inlineStr">
        <is>
          <t>Eastern</t>
        </is>
      </c>
      <c r="B2" s="7" t="n">
        <v>0</v>
      </c>
    </row>
    <row r="3">
      <c r="A3" s="7" t="inlineStr">
        <is>
          <t>Central</t>
        </is>
      </c>
      <c r="B3" s="7" t="n">
        <v>-1</v>
      </c>
    </row>
    <row r="4">
      <c r="A4" s="7" t="inlineStr">
        <is>
          <t>Mountain</t>
        </is>
      </c>
      <c r="B4" s="7" t="n">
        <v>-2</v>
      </c>
    </row>
    <row r="5">
      <c r="A5" s="7" t="inlineStr">
        <is>
          <t>Pacific</t>
        </is>
      </c>
      <c r="B5" s="7" t="n">
        <v>-3</v>
      </c>
    </row>
  </sheetData>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00" customWidth="1" min="1" max="1"/>
  </cols>
  <sheetData>
    <row r="1">
      <c r="A1" s="8" t="inlineStr">
        <is>
          <t>Tidy Tabs: Convert Time Zones for Client Calls</t>
        </is>
      </c>
    </row>
    <row r="2">
      <c r="A2" s="9" t="inlineStr"/>
    </row>
    <row r="3">
      <c r="A3" s="9" t="inlineStr">
        <is>
          <t>1. Calls tab: type the client, pick the client zone from the dropdown in B, and type your call date and time in C (for example 10/14/2026 4:30 PM). Rows 2 to 20 have the formulas ready.</t>
        </is>
      </c>
    </row>
    <row r="4">
      <c r="A4" s="9" t="inlineStr">
        <is>
          <t>2. I2 is your own zone (yellow). Pick Eastern, Central, Mountain or Pacific. The Offsets tab lists each zone as hours from Eastern (Central -1, Mountain -2, Pacific -3).</t>
        </is>
      </c>
    </row>
    <row r="5">
      <c r="A5" s="9" t="inlineStr">
        <is>
          <t>3. D2 subtracts your zone's offset from the client zone's offset, so Eastern to Pacific is -3 and Pacific to Eastern is 3.</t>
        </is>
      </c>
    </row>
    <row r="6">
      <c r="A6" s="9" t="inlineStr">
        <is>
          <t>4. E2: =C2+D2/24 is the client's time. One hour is 1/24 of a day, so adding hours divided by 24 moves the date and the time together.</t>
        </is>
      </c>
    </row>
    <row r="7">
      <c r="A7" s="9" t="inlineStr">
        <is>
          <t>5. F2 compares the dates: Next day, Previous day or Same day, so a call at 1:00 AM for you is not missed as the evening before for the client.</t>
        </is>
      </c>
    </row>
    <row r="8">
      <c r="A8" s="9" t="inlineStr">
        <is>
          <t>6. Offsets are fixed hours. Most of the US changes clocks on the same dates, so the differences between these four zones stay the same through the year. Arizona (most of it), Hawaii and other places that do not change clocks are not handled, and neither are zones outside these four. Check the current rules before you confirm a call.</t>
        </is>
      </c>
    </row>
    <row r="9">
      <c r="A9" s="9" t="inlineStr">
        <is>
          <t>7. Type the call time as a real date and time. A time stored as text shows Check time.</t>
        </is>
      </c>
    </row>
    <row r="10">
      <c r="A10" s="9" t="inlineStr"/>
    </row>
    <row r="11">
      <c r="A11" s="9" t="inlineStr">
        <is>
          <t>Clients and times are fictional. Checked in LibreOffice Calc only; not opened in Excel or Google Sheets.</t>
        </is>
      </c>
    </row>
    <row r="12">
      <c r="A12" s="9"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2026-10-13T07:27:50Z</dcterms:created>
  <dcterms:modified xmlns:dcterms="http://purl.org/dc/terms/" xmlns:xsi="http://www.w3.org/2001/XMLSchema-instance" xsi:type="dcterms:W3CDTF">2026-10-13T07:27:50Z</dcterms:modified>
</cp:coreProperties>
</file>