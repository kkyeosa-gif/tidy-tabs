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  <sheet name="How to use" sheetId="2" state="visible" r:id="rId2"/>
  </sheets>
  <definedNames>
    <definedName name="_xlnm.Print_Titles" localSheetId="0">'Hours'!$1:$1</definedName>
    <definedName name="_xlnm.Print_Area" localSheetId="0">'Hours'!$A$1:$K$22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d mm/dd/yyyy"/>
    <numFmt numFmtId="166" formatCode="mm/dd/yyyy"/>
    <numFmt numFmtId="167" formatCode="[h]:mm"/>
    <numFmt numFmtId="168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0" pivotButton="0" quotePrefix="0" xfId="0"/>
    <xf numFmtId="20" fontId="0" fillId="3" borderId="0" pivotButton="0" quotePrefix="0" xfId="0"/>
    <xf numFmtId="0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20" fontId="0" fillId="4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2" fontId="0" fillId="4" borderId="0" applyAlignment="1" pivotButton="0" quotePrefix="0" xfId="0">
      <alignment horizontal="right"/>
    </xf>
    <xf numFmtId="168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2" fillId="4" borderId="0" applyAlignment="1" pivotButton="0" quotePrefix="0" xfId="0">
      <alignment horizontal="right"/>
    </xf>
    <xf numFmtId="20" fontId="2" fillId="4" borderId="0" applyAlignment="1" pivotButton="0" quotePrefix="0" xfId="0">
      <alignment horizontal="right"/>
    </xf>
    <xf numFmtId="167" fontId="2" fillId="4" borderId="0" applyAlignment="1" pivotButton="0" quotePrefix="0" xfId="0">
      <alignment horizontal="right"/>
    </xf>
    <xf numFmtId="2" fontId="2" fillId="4" borderId="0" applyAlignment="1" pivotButton="0" quotePrefix="0" xfId="0">
      <alignment horizontal="right"/>
    </xf>
    <xf numFmtId="168" fontId="2" fillId="4" borderId="0" applyAlignment="1" pivotButton="0" quotePrefix="0" xfId="0">
      <alignment horizontal="right"/>
    </xf>
    <xf numFmtId="0" fontId="2" fillId="0" borderId="0" pivotButton="0" quotePrefix="0" xfId="0"/>
    <xf numFmtId="168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" customWidth="1" min="3" max="3"/>
    <col width="12" customWidth="1" min="4" max="4"/>
    <col width="13" customWidth="1" min="5" max="5"/>
    <col width="18" customWidth="1" min="6" max="6"/>
    <col width="16" customWidth="1" min="7" max="7"/>
    <col width="11" customWidth="1" min="8" max="8"/>
    <col width="14" customWidth="1" min="9" max="9"/>
    <col width="16" customWidth="1" min="10" max="10"/>
    <col width="12" customWidth="1" min="11" max="11"/>
  </cols>
  <sheetData>
    <row r="1" ht="45" customHeight="1">
      <c r="A1" s="1" t="inlineStr">
        <is>
          <t>Date</t>
        </is>
      </c>
      <c r="B1" s="1" t="inlineStr">
        <is>
          <t>Hours worked (h:mm)</t>
        </is>
      </c>
      <c r="D1" s="1" t="inlineStr">
        <is>
          <t>Week</t>
        </is>
      </c>
      <c r="E1" s="1" t="inlineStr">
        <is>
          <t>Week starts</t>
        </is>
      </c>
      <c r="F1" s="1" t="inlineStr">
        <is>
          <t>Total shown as h:mm (wrong)</t>
        </is>
      </c>
      <c r="G1" s="1" t="inlineStr">
        <is>
          <t>Total shown as [h]:mm</t>
        </is>
      </c>
      <c r="H1" s="1" t="inlineStr">
        <is>
          <t>Decimal hours</t>
        </is>
      </c>
      <c r="I1" s="1" t="inlineStr">
        <is>
          <t>Pay at the rate below</t>
        </is>
      </c>
      <c r="J1" s="1" t="inlineStr">
        <is>
          <t>Total as text, TEXT()</t>
        </is>
      </c>
      <c r="K1" s="1" t="inlineStr">
        <is>
          <t>Total minutes</t>
        </is>
      </c>
    </row>
    <row r="2">
      <c r="A2" s="2" t="n">
        <v>46272</v>
      </c>
      <c r="B2" s="3" t="n">
        <v>0.3958333333333333</v>
      </c>
      <c r="D2" s="4" t="n">
        <v>1</v>
      </c>
      <c r="E2" s="5">
        <f>A2</f>
        <v/>
      </c>
      <c r="F2" s="6">
        <f>SUM(B2:B8)</f>
        <v/>
      </c>
      <c r="G2" s="7">
        <f>SUM(B2:B8)</f>
        <v/>
      </c>
      <c r="H2" s="8">
        <f>ROUND(SUM(B2:B8)*24,2)</f>
        <v/>
      </c>
      <c r="I2" s="9">
        <f>IF(ISNUMBER($E$8),ROUND(SUM(B2:B8)*24*$E$8,2),"Check rate")</f>
        <v/>
      </c>
      <c r="J2" s="4">
        <f>TEXT(SUM(B2:B8),"[h]:mm")</f>
        <v/>
      </c>
      <c r="K2" s="10">
        <f>ROUND(SUM(B2:B8)*1440,0)</f>
        <v/>
      </c>
    </row>
    <row r="3">
      <c r="A3" s="2" t="n">
        <v>46273</v>
      </c>
      <c r="B3" s="3" t="n">
        <v>0.34375</v>
      </c>
      <c r="D3" s="4" t="n">
        <v>2</v>
      </c>
      <c r="E3" s="5">
        <f>A9</f>
        <v/>
      </c>
      <c r="F3" s="6">
        <f>SUM(B9:B15)</f>
        <v/>
      </c>
      <c r="G3" s="7">
        <f>SUM(B9:B15)</f>
        <v/>
      </c>
      <c r="H3" s="8">
        <f>ROUND(SUM(B9:B15)*24,2)</f>
        <v/>
      </c>
      <c r="I3" s="9">
        <f>IF(ISNUMBER($E$8),ROUND(SUM(B9:B15)*24*$E$8,2),"Check rate")</f>
        <v/>
      </c>
      <c r="J3" s="4">
        <f>TEXT(SUM(B9:B15),"[h]:mm")</f>
        <v/>
      </c>
      <c r="K3" s="10">
        <f>ROUND(SUM(B9:B15)*1440,0)</f>
        <v/>
      </c>
    </row>
    <row r="4">
      <c r="A4" s="2" t="n">
        <v>46274</v>
      </c>
      <c r="B4" s="3" t="n">
        <v>0.4166666666666667</v>
      </c>
      <c r="D4" s="4" t="n">
        <v>3</v>
      </c>
      <c r="E4" s="5">
        <f>A16</f>
        <v/>
      </c>
      <c r="F4" s="6">
        <f>SUM(B16:B22)</f>
        <v/>
      </c>
      <c r="G4" s="7">
        <f>SUM(B16:B22)</f>
        <v/>
      </c>
      <c r="H4" s="8">
        <f>ROUND(SUM(B16:B22)*24,2)</f>
        <v/>
      </c>
      <c r="I4" s="9">
        <f>IF(ISNUMBER($E$8),ROUND(SUM(B16:B22)*24*$E$8,2),"Check rate")</f>
        <v/>
      </c>
      <c r="J4" s="4">
        <f>TEXT(SUM(B16:B22),"[h]:mm")</f>
        <v/>
      </c>
      <c r="K4" s="10">
        <f>ROUND(SUM(B16:B22)*1440,0)</f>
        <v/>
      </c>
    </row>
    <row r="5">
      <c r="A5" s="2" t="n">
        <v>46275</v>
      </c>
      <c r="B5" s="3" t="n"/>
      <c r="D5" s="11" t="inlineStr">
        <is>
          <t>All</t>
        </is>
      </c>
      <c r="E5" s="11" t="n"/>
      <c r="F5" s="12">
        <f>SUM(B2:B22)</f>
        <v/>
      </c>
      <c r="G5" s="13">
        <f>SUM(B2:B22)</f>
        <v/>
      </c>
      <c r="H5" s="14">
        <f>ROUND(SUM(B2:B22)*24,2)</f>
        <v/>
      </c>
      <c r="I5" s="15">
        <f>IF(ISNUMBER($E$8),ROUND(SUM(B2:B22)*24*$E$8,2),"Check rate")</f>
        <v/>
      </c>
      <c r="J5" s="11">
        <f>TEXT(SUM(B2:B22),"[h]:mm")</f>
        <v/>
      </c>
      <c r="K5" s="11">
        <f>ROUND(SUM(B2:B22)*1440,0)</f>
        <v/>
      </c>
    </row>
    <row r="6">
      <c r="A6" s="2" t="n">
        <v>46276</v>
      </c>
      <c r="B6" s="3" t="n"/>
    </row>
    <row r="7">
      <c r="A7" s="2" t="n">
        <v>46277</v>
      </c>
      <c r="B7" s="3" t="n"/>
    </row>
    <row r="8">
      <c r="A8" s="2" t="n">
        <v>46278</v>
      </c>
      <c r="B8" s="3" t="n"/>
      <c r="D8" s="16" t="inlineStr">
        <is>
          <t>Hourly rate</t>
        </is>
      </c>
      <c r="E8" s="17" t="n">
        <v>45</v>
      </c>
    </row>
    <row r="9">
      <c r="A9" s="2" t="n">
        <v>46279</v>
      </c>
      <c r="B9" s="3" t="n">
        <v>0.3333333333333333</v>
      </c>
    </row>
    <row r="10">
      <c r="A10" s="2" t="n">
        <v>46280</v>
      </c>
      <c r="B10" s="3" t="n">
        <v>0.40625</v>
      </c>
      <c r="D10" s="16" t="inlineStr">
        <is>
          <t>Check: every hours cell is a time under 24 h</t>
        </is>
      </c>
      <c r="G10" s="4">
        <f>IF(AND(COUNTA(B2:B22)=COUNT(B2:B22),COUNTIF(B2:B22,"&lt;0")=0,COUNTIF(B2:B22,"&gt;=1")=0,ISNUMBER(E8)),"OK","CHECK")</f>
        <v/>
      </c>
    </row>
    <row r="11">
      <c r="A11" s="2" t="n">
        <v>46281</v>
      </c>
      <c r="B11" s="3" t="n">
        <v>0.3125</v>
      </c>
      <c r="D11" s="16" t="inlineStr">
        <is>
          <t>Check: TEXT() totals match the minutes</t>
        </is>
      </c>
      <c r="G11" s="4">
        <f>IF(AND(J2=INT(K2/60)&amp;":"&amp;TEXT(MOD(K2,60),"00"),J3=INT(K3/60)&amp;":"&amp;TEXT(MOD(K3,60),"00"),J4=INT(K4/60)&amp;":"&amp;TEXT(MOD(K4,60),"00"),J5=INT(K5/60)&amp;":"&amp;TEXT(MOD(K5,60),"00")),"OK","CHECK")</f>
        <v/>
      </c>
    </row>
    <row r="12">
      <c r="A12" s="2" t="n">
        <v>46282</v>
      </c>
      <c r="B12" s="3" t="n">
        <v>0.3541666666666667</v>
      </c>
    </row>
    <row r="13">
      <c r="A13" s="2" t="n">
        <v>46283</v>
      </c>
      <c r="B13" s="3" t="n">
        <v>0.2604166666666667</v>
      </c>
    </row>
    <row r="14">
      <c r="A14" s="2" t="n">
        <v>46284</v>
      </c>
      <c r="B14" s="3" t="n">
        <v>0.125</v>
      </c>
    </row>
    <row r="15">
      <c r="A15" s="2" t="n">
        <v>46285</v>
      </c>
      <c r="B15" s="3" t="n"/>
    </row>
    <row r="16">
      <c r="A16" s="2" t="n">
        <v>46286</v>
      </c>
      <c r="B16" s="3" t="n">
        <v>0.4270833333333333</v>
      </c>
    </row>
    <row r="17">
      <c r="A17" s="2" t="n">
        <v>46287</v>
      </c>
      <c r="B17" s="3" t="n">
        <v>0.375</v>
      </c>
    </row>
    <row r="18">
      <c r="A18" s="2" t="n">
        <v>46288</v>
      </c>
      <c r="B18" s="3" t="n">
        <v>0.3645833333333333</v>
      </c>
    </row>
    <row r="19">
      <c r="A19" s="2" t="n">
        <v>46289</v>
      </c>
      <c r="B19" s="3" t="n">
        <v>0.3958333333333333</v>
      </c>
    </row>
    <row r="20">
      <c r="A20" s="2" t="n">
        <v>46290</v>
      </c>
      <c r="B20" s="3" t="n">
        <v>0.2916666666666667</v>
      </c>
    </row>
    <row r="21">
      <c r="A21" s="2" t="n">
        <v>46291</v>
      </c>
      <c r="B21" s="3" t="n"/>
    </row>
    <row r="22">
      <c r="A22" s="2" t="n">
        <v>46292</v>
      </c>
      <c r="B22" s="3" t="n">
        <v>0.1875</v>
      </c>
    </row>
  </sheetData>
  <mergeCells count="2">
    <mergeCell ref="D11:F11"/>
    <mergeCell ref="D10:F10"/>
  </mergeCells>
  <conditionalFormatting sqref="G10">
    <cfRule type="expression" priority="1" dxfId="0">
      <formula>AND(G10&lt;&gt;"OK",G10&lt;&gt;"")</formula>
    </cfRule>
  </conditionalFormatting>
  <conditionalFormatting sqref="G11">
    <cfRule type="expression" priority="2" dxfId="0">
      <formula>AND(G11&lt;&gt;"OK",G11&lt;&gt;"")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Tidy Tabs: Add Up Hours Over 24 Without the Total Resetting</t>
        </is>
      </c>
    </row>
    <row r="2">
      <c r="A2" s="19" t="inlineStr"/>
    </row>
    <row r="3">
      <c r="A3" s="19" t="inlineStr">
        <is>
          <t>1. Hours tab: type each day's time in B2:B22 as H:MM, for example 9:30 for nine and a half hours. Yellow. The sample is three fictional weeks. Week 1 is only three days: 9:30 + 8:15 + 10:00.</t>
        </is>
      </c>
    </row>
    <row r="4">
      <c r="A4" s="19" t="inlineStr">
        <is>
          <t>2. Total, F2 and G2 are the same formula: =SUM(B2:B8). Week 1 adds to 27 hours 45 minutes. F2 is formatted h:mm, which shows only the part of the total left over after whole days, so it displays 3:45. G2 is formatted [h]:mm, with square brackets around the h, which keeps counting hours past 24 and displays 27:45. The stored number is identical; only the format differs.</t>
        </is>
      </c>
    </row>
    <row r="5">
      <c r="A5" s="19" t="inlineStr">
        <is>
          <t>3. To set it: select the cell, then Excel: Home &gt; Number Format &gt; More Number Formats &gt; Custom, type [h]:mm. Google Sheets: Format &gt; Number &gt; Custom number format, type [h]:mm (Sheets also has Format &gt; Number &gt; Duration).</t>
        </is>
      </c>
    </row>
    <row r="6">
      <c r="A6" s="19" t="inlineStr">
        <is>
          <t>4. Decimal hours, H2: =ROUND(SUM(B2:B8)*24,2). A time is stored as a fraction of a day, so times 24 gives hours: 27:45 is 27.75.</t>
        </is>
      </c>
    </row>
    <row r="7">
      <c r="A7" s="19" t="inlineStr">
        <is>
          <t>5. Pay, I2: =ROUND(SUM(B2:B8)*24*$E$8,2). Type your rate in E8.</t>
        </is>
      </c>
    </row>
    <row r="8">
      <c r="A8" s="19" t="inlineStr">
        <is>
          <t>6. Text version, J2: =TEXT(SUM(B2:B8),"[h]:mm"). It shows 27:45 as text, which you can join into a sentence, but it cannot be added any more.</t>
        </is>
      </c>
    </row>
    <row r="9">
      <c r="A9" s="19" t="inlineStr">
        <is>
          <t>7. K2 gives whole minutes (=ROUND(SUM(B2:B8)*1440,0)). G10 shows OK when every hours cell is a real time under 24 hours (a time typed as text, such as one with a leading apostrophe, is not added by SUM and turns it to CHECK). G11 shows OK when the TEXT() results match the minutes.</t>
        </is>
      </c>
    </row>
    <row r="10">
      <c r="A10" s="19" t="inlineStr">
        <is>
          <t>8. A negative time cannot be shown in the default 1900 date system and appears as ####. Subtract the smaller from the larger instead.</t>
        </is>
      </c>
    </row>
    <row r="11">
      <c r="A11" s="19" t="inlineStr"/>
    </row>
    <row r="12">
      <c r="A12" s="19" t="inlineStr">
        <is>
          <t>Hours and rate are fictional. Checked in LibreOffice Calc only; not opened in Excel or Google Sheets.</t>
        </is>
      </c>
    </row>
    <row r="13">
      <c r="A13" s="1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2026-10-24T07:32:28Z</dcterms:created>
  <dcterms:modified xsi:type="dcterms:W3CDTF">2026-10-24T07:32:28Z</dcterms:modified>
</cp:coreProperties>
</file>