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'Invoice'!$1:$1</definedName>
    <definedName name="_xlnm.Print_Area" localSheetId="0">'Invoice'!$A$1:$J$24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"/>
    <numFmt numFmtId="165" formatCode="&quot;$&quot;#,##0.0000"/>
    <numFmt numFmtId="166" formatCode="&quot;$&quot;#,##0.00"/>
  </numFmts>
  <fonts count="5">
    <font>
      <name val="Calibri"/>
      <family val="2"/>
      <color theme="1"/>
      <sz val="11"/>
      <scheme val="minor"/>
    </font>
    <font>
      <i val="1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6" fontId="0" fillId="4" borderId="0" applyAlignment="1" pivotButton="0" quotePrefix="0" xfId="0">
      <alignment horizontal="right"/>
    </xf>
    <xf numFmtId="165" fontId="0" fillId="4" borderId="0" applyAlignment="1" pivotButton="0" quotePrefix="0" xfId="0">
      <alignment horizontal="right"/>
    </xf>
    <xf numFmtId="3" fontId="0" fillId="4" borderId="0" applyAlignment="1" pivotButton="0" quotePrefix="0" xfId="0">
      <alignment horizontal="right"/>
    </xf>
    <xf numFmtId="0" fontId="3" fillId="0" borderId="0" pivotButton="0" quotePrefix="0" xfId="0"/>
    <xf numFmtId="1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16" customWidth="1" min="6" max="6"/>
    <col width="12" customWidth="1" min="7" max="7"/>
    <col width="3" customWidth="1" min="8" max="8"/>
    <col width="54" customWidth="1" min="9" max="9"/>
    <col width="16" customWidth="1" min="10" max="10"/>
  </cols>
  <sheetData>
    <row r="1">
      <c r="A1" s="1" t="inlineStr">
        <is>
          <t>Fictional supplies invoice. Qty and Unit price (yellow) can have fractions of a cent. Line = Qty x Unit price.</t>
        </is>
      </c>
    </row>
    <row r="4" ht="44" customHeight="1">
      <c r="A4" s="2" t="inlineStr">
        <is>
          <t>Item</t>
        </is>
      </c>
      <c r="B4" s="2" t="inlineStr">
        <is>
          <t>Qty</t>
        </is>
      </c>
      <c r="C4" s="2" t="inlineStr">
        <is>
          <t>Unit price</t>
        </is>
      </c>
      <c r="D4" s="2" t="inlineStr">
        <is>
          <t>Line, unrounded</t>
        </is>
      </c>
      <c r="E4" s="2" t="inlineStr">
        <is>
          <t>Line, rounded to cents</t>
        </is>
      </c>
      <c r="F4" s="2" t="inlineStr">
        <is>
          <t>Rounded minus unrounded</t>
        </is>
      </c>
      <c r="G4" s="2" t="inlineStr">
        <is>
          <t>Line in cents</t>
        </is>
      </c>
    </row>
    <row r="5">
      <c r="A5" s="3" t="inlineStr">
        <is>
          <t>Soy wax flakes (oz)</t>
        </is>
      </c>
      <c r="B5" s="4" t="n">
        <v>3</v>
      </c>
      <c r="C5" s="5" t="n">
        <v>0.335</v>
      </c>
      <c r="D5" s="6">
        <f>IF(AND(ISNUMBER(B5),ISNUMBER(C5)),B5*C5,"")</f>
        <v/>
      </c>
      <c r="E5" s="6">
        <f>IF(D5="","",ROUND(D5,2))</f>
        <v/>
      </c>
      <c r="F5" s="7">
        <f>IF(D5="","",ROUND(E5-D5,4))</f>
        <v/>
      </c>
      <c r="G5" s="8">
        <f>IF(E5="","",ROUND(E5*100,0))</f>
        <v/>
      </c>
      <c r="I5" s="9" t="inlineStr">
        <is>
          <t>Total of the unrounded lines (what plain SUM of D shows)</t>
        </is>
      </c>
      <c r="J5" s="6">
        <f>SUM(D5:D24)</f>
        <v/>
      </c>
    </row>
    <row r="6">
      <c r="A6" s="3" t="inlineStr">
        <is>
          <t>Cotton wick</t>
        </is>
      </c>
      <c r="B6" s="4" t="n">
        <v>7</v>
      </c>
      <c r="C6" s="5" t="n">
        <v>1.145</v>
      </c>
      <c r="D6" s="6">
        <f>IF(AND(ISNUMBER(B6),ISNUMBER(C6)),B6*C6,"")</f>
        <v/>
      </c>
      <c r="E6" s="6">
        <f>IF(D6="","",ROUND(D6,2))</f>
        <v/>
      </c>
      <c r="F6" s="7">
        <f>IF(D6="","",ROUND(E6-D6,4))</f>
        <v/>
      </c>
      <c r="G6" s="8">
        <f>IF(E6="","",ROUND(E6*100,0))</f>
        <v/>
      </c>
      <c r="I6" s="9" t="inlineStr">
        <is>
          <t>Total of the lines rounded to cents (what is printed)</t>
        </is>
      </c>
      <c r="J6" s="6">
        <f>SUM(E5:E24)</f>
        <v/>
      </c>
    </row>
    <row r="7">
      <c r="A7" s="3" t="inlineStr">
        <is>
          <t>Paper label</t>
        </is>
      </c>
      <c r="B7" s="4" t="n">
        <v>12</v>
      </c>
      <c r="C7" s="5" t="n">
        <v>0.0425</v>
      </c>
      <c r="D7" s="6">
        <f>IF(AND(ISNUMBER(B7),ISNUMBER(C7)),B7*C7,"")</f>
        <v/>
      </c>
      <c r="E7" s="6">
        <f>IF(D7="","",ROUND(D7,2))</f>
        <v/>
      </c>
      <c r="F7" s="7">
        <f>IF(D7="","",ROUND(E7-D7,4))</f>
        <v/>
      </c>
      <c r="G7" s="8">
        <f>IF(E7="","",ROUND(E7*100,0))</f>
        <v/>
      </c>
      <c r="I7" s="9" t="inlineStr">
        <is>
          <t>Difference between the two totals, shown to cents</t>
        </is>
      </c>
      <c r="J7" s="6">
        <f>ROUND(ROUND(J5,2)-J6,2)</f>
        <v/>
      </c>
    </row>
    <row r="8">
      <c r="A8" s="3" t="inlineStr">
        <is>
          <t>Tin lid</t>
        </is>
      </c>
      <c r="B8" s="4" t="n">
        <v>5</v>
      </c>
      <c r="C8" s="5" t="n">
        <v>2.349</v>
      </c>
      <c r="D8" s="6">
        <f>IF(AND(ISNUMBER(B8),ISNUMBER(C8)),B8*C8,"")</f>
        <v/>
      </c>
      <c r="E8" s="6">
        <f>IF(D8="","",ROUND(D8,2))</f>
        <v/>
      </c>
      <c r="F8" s="7">
        <f>IF(D8="","",ROUND(E8-D8,4))</f>
        <v/>
      </c>
      <c r="G8" s="8">
        <f>IF(E8="","",ROUND(E8*100,0))</f>
        <v/>
      </c>
      <c r="I8" s="9" t="inlineStr">
        <is>
          <t>Lines counted</t>
        </is>
      </c>
      <c r="J8" s="10">
        <f>COUNT(D5:D24)</f>
        <v/>
      </c>
    </row>
    <row r="9">
      <c r="A9" s="3" t="inlineStr">
        <is>
          <t>Fragrance oil (ml)</t>
        </is>
      </c>
      <c r="B9" s="4" t="n">
        <v>9</v>
      </c>
      <c r="C9" s="5" t="n">
        <v>0.875</v>
      </c>
      <c r="D9" s="6">
        <f>IF(AND(ISNUMBER(B9),ISNUMBER(C9)),B9*C9,"")</f>
        <v/>
      </c>
      <c r="E9" s="6">
        <f>IF(D9="","",ROUND(D9,2))</f>
        <v/>
      </c>
      <c r="F9" s="7">
        <f>IF(D9="","",ROUND(E9-D9,4))</f>
        <v/>
      </c>
      <c r="G9" s="8">
        <f>IF(E9="","",ROUND(E9*100,0))</f>
        <v/>
      </c>
      <c r="I9" s="9" t="inlineStr">
        <is>
          <t>Check: printed lines add up to the printed total</t>
        </is>
      </c>
      <c r="J9" s="11">
        <f>IF(AND(COUNT(B5:B24)=COUNTA(B5:B24),COUNT(C5:C24)=COUNTA(C5:C24),COUNT(B5:B24)=COUNT(C5:C24),ROUND(SUM(G5:G24)-J6*100,0)=0,ABS(J7)&lt;=0.005*J8+0.005),"OK","CHECK")</f>
        <v/>
      </c>
    </row>
    <row r="10">
      <c r="A10" s="3" t="inlineStr">
        <is>
          <t>Gift tag</t>
        </is>
      </c>
      <c r="B10" s="4" t="n">
        <v>24</v>
      </c>
      <c r="C10" s="5" t="n">
        <v>0.1675</v>
      </c>
      <c r="D10" s="6">
        <f>IF(AND(ISNUMBER(B10),ISNUMBER(C10)),B10*C10,"")</f>
        <v/>
      </c>
      <c r="E10" s="6">
        <f>IF(D10="","",ROUND(D10,2))</f>
        <v/>
      </c>
      <c r="F10" s="7">
        <f>IF(D10="","",ROUND(E10-D10,4))</f>
        <v/>
      </c>
      <c r="G10" s="8">
        <f>IF(E10="","",ROUND(E10*100,0))</f>
        <v/>
      </c>
    </row>
    <row r="11">
      <c r="A11" s="3" t="inlineStr">
        <is>
          <t>Kraft sleeve</t>
        </is>
      </c>
      <c r="B11" s="4" t="n">
        <v>6</v>
      </c>
      <c r="C11" s="5" t="n">
        <v>3.4575</v>
      </c>
      <c r="D11" s="6">
        <f>IF(AND(ISNUMBER(B11),ISNUMBER(C11)),B11*C11,"")</f>
        <v/>
      </c>
      <c r="E11" s="6">
        <f>IF(D11="","",ROUND(D11,2))</f>
        <v/>
      </c>
      <c r="F11" s="7">
        <f>IF(D11="","",ROUND(E11-D11,4))</f>
        <v/>
      </c>
      <c r="G11" s="8">
        <f>IF(E11="","",ROUND(E11*100,0))</f>
        <v/>
      </c>
    </row>
    <row r="12">
      <c r="A12" s="3" t="inlineStr">
        <is>
          <t>Twine (ft)</t>
        </is>
      </c>
      <c r="B12" s="4" t="n">
        <v>15</v>
      </c>
      <c r="C12" s="5" t="n">
        <v>0.08500000000000001</v>
      </c>
      <c r="D12" s="6">
        <f>IF(AND(ISNUMBER(B12),ISNUMBER(C12)),B12*C12,"")</f>
        <v/>
      </c>
      <c r="E12" s="6">
        <f>IF(D12="","",ROUND(D12,2))</f>
        <v/>
      </c>
      <c r="F12" s="7">
        <f>IF(D12="","",ROUND(E12-D12,4))</f>
        <v/>
      </c>
      <c r="G12" s="8">
        <f>IF(E12="","",ROUND(E12*100,0))</f>
        <v/>
      </c>
    </row>
    <row r="13">
      <c r="A13" s="3" t="n"/>
      <c r="B13" s="4" t="n"/>
      <c r="C13" s="5" t="n"/>
      <c r="D13" s="6">
        <f>IF(AND(ISNUMBER(B13),ISNUMBER(C13)),B13*C13,"")</f>
        <v/>
      </c>
      <c r="E13" s="6">
        <f>IF(D13="","",ROUND(D13,2))</f>
        <v/>
      </c>
      <c r="F13" s="7">
        <f>IF(D13="","",ROUND(E13-D13,4))</f>
        <v/>
      </c>
      <c r="G13" s="8">
        <f>IF(E13="","",ROUND(E13*100,0))</f>
        <v/>
      </c>
    </row>
    <row r="14">
      <c r="A14" s="3" t="n"/>
      <c r="B14" s="4" t="n"/>
      <c r="C14" s="5" t="n"/>
      <c r="D14" s="6">
        <f>IF(AND(ISNUMBER(B14),ISNUMBER(C14)),B14*C14,"")</f>
        <v/>
      </c>
      <c r="E14" s="6">
        <f>IF(D14="","",ROUND(D14,2))</f>
        <v/>
      </c>
      <c r="F14" s="7">
        <f>IF(D14="","",ROUND(E14-D14,4))</f>
        <v/>
      </c>
      <c r="G14" s="8">
        <f>IF(E14="","",ROUND(E14*100,0))</f>
        <v/>
      </c>
    </row>
    <row r="15">
      <c r="A15" s="3" t="n"/>
      <c r="B15" s="4" t="n"/>
      <c r="C15" s="5" t="n"/>
      <c r="D15" s="6">
        <f>IF(AND(ISNUMBER(B15),ISNUMBER(C15)),B15*C15,"")</f>
        <v/>
      </c>
      <c r="E15" s="6">
        <f>IF(D15="","",ROUND(D15,2))</f>
        <v/>
      </c>
      <c r="F15" s="7">
        <f>IF(D15="","",ROUND(E15-D15,4))</f>
        <v/>
      </c>
      <c r="G15" s="8">
        <f>IF(E15="","",ROUND(E15*100,0))</f>
        <v/>
      </c>
    </row>
    <row r="16">
      <c r="A16" s="3" t="n"/>
      <c r="B16" s="4" t="n"/>
      <c r="C16" s="5" t="n"/>
      <c r="D16" s="6">
        <f>IF(AND(ISNUMBER(B16),ISNUMBER(C16)),B16*C16,"")</f>
        <v/>
      </c>
      <c r="E16" s="6">
        <f>IF(D16="","",ROUND(D16,2))</f>
        <v/>
      </c>
      <c r="F16" s="7">
        <f>IF(D16="","",ROUND(E16-D16,4))</f>
        <v/>
      </c>
      <c r="G16" s="8">
        <f>IF(E16="","",ROUND(E16*100,0))</f>
        <v/>
      </c>
    </row>
    <row r="17">
      <c r="A17" s="3" t="n"/>
      <c r="B17" s="4" t="n"/>
      <c r="C17" s="5" t="n"/>
      <c r="D17" s="6">
        <f>IF(AND(ISNUMBER(B17),ISNUMBER(C17)),B17*C17,"")</f>
        <v/>
      </c>
      <c r="E17" s="6">
        <f>IF(D17="","",ROUND(D17,2))</f>
        <v/>
      </c>
      <c r="F17" s="7">
        <f>IF(D17="","",ROUND(E17-D17,4))</f>
        <v/>
      </c>
      <c r="G17" s="8">
        <f>IF(E17="","",ROUND(E17*100,0))</f>
        <v/>
      </c>
    </row>
    <row r="18">
      <c r="A18" s="3" t="n"/>
      <c r="B18" s="4" t="n"/>
      <c r="C18" s="5" t="n"/>
      <c r="D18" s="6">
        <f>IF(AND(ISNUMBER(B18),ISNUMBER(C18)),B18*C18,"")</f>
        <v/>
      </c>
      <c r="E18" s="6">
        <f>IF(D18="","",ROUND(D18,2))</f>
        <v/>
      </c>
      <c r="F18" s="7">
        <f>IF(D18="","",ROUND(E18-D18,4))</f>
        <v/>
      </c>
      <c r="G18" s="8">
        <f>IF(E18="","",ROUND(E18*100,0))</f>
        <v/>
      </c>
    </row>
    <row r="19">
      <c r="A19" s="3" t="n"/>
      <c r="B19" s="4" t="n"/>
      <c r="C19" s="5" t="n"/>
      <c r="D19" s="6">
        <f>IF(AND(ISNUMBER(B19),ISNUMBER(C19)),B19*C19,"")</f>
        <v/>
      </c>
      <c r="E19" s="6">
        <f>IF(D19="","",ROUND(D19,2))</f>
        <v/>
      </c>
      <c r="F19" s="7">
        <f>IF(D19="","",ROUND(E19-D19,4))</f>
        <v/>
      </c>
      <c r="G19" s="8">
        <f>IF(E19="","",ROUND(E19*100,0))</f>
        <v/>
      </c>
    </row>
    <row r="20">
      <c r="A20" s="3" t="n"/>
      <c r="B20" s="4" t="n"/>
      <c r="C20" s="5" t="n"/>
      <c r="D20" s="6">
        <f>IF(AND(ISNUMBER(B20),ISNUMBER(C20)),B20*C20,"")</f>
        <v/>
      </c>
      <c r="E20" s="6">
        <f>IF(D20="","",ROUND(D20,2))</f>
        <v/>
      </c>
      <c r="F20" s="7">
        <f>IF(D20="","",ROUND(E20-D20,4))</f>
        <v/>
      </c>
      <c r="G20" s="8">
        <f>IF(E20="","",ROUND(E20*100,0))</f>
        <v/>
      </c>
    </row>
    <row r="21">
      <c r="A21" s="3" t="n"/>
      <c r="B21" s="4" t="n"/>
      <c r="C21" s="5" t="n"/>
      <c r="D21" s="6">
        <f>IF(AND(ISNUMBER(B21),ISNUMBER(C21)),B21*C21,"")</f>
        <v/>
      </c>
      <c r="E21" s="6">
        <f>IF(D21="","",ROUND(D21,2))</f>
        <v/>
      </c>
      <c r="F21" s="7">
        <f>IF(D21="","",ROUND(E21-D21,4))</f>
        <v/>
      </c>
      <c r="G21" s="8">
        <f>IF(E21="","",ROUND(E21*100,0))</f>
        <v/>
      </c>
    </row>
    <row r="22">
      <c r="A22" s="3" t="n"/>
      <c r="B22" s="4" t="n"/>
      <c r="C22" s="5" t="n"/>
      <c r="D22" s="6">
        <f>IF(AND(ISNUMBER(B22),ISNUMBER(C22)),B22*C22,"")</f>
        <v/>
      </c>
      <c r="E22" s="6">
        <f>IF(D22="","",ROUND(D22,2))</f>
        <v/>
      </c>
      <c r="F22" s="7">
        <f>IF(D22="","",ROUND(E22-D22,4))</f>
        <v/>
      </c>
      <c r="G22" s="8">
        <f>IF(E22="","",ROUND(E22*100,0))</f>
        <v/>
      </c>
    </row>
    <row r="23">
      <c r="A23" s="3" t="n"/>
      <c r="B23" s="4" t="n"/>
      <c r="C23" s="5" t="n"/>
      <c r="D23" s="6">
        <f>IF(AND(ISNUMBER(B23),ISNUMBER(C23)),B23*C23,"")</f>
        <v/>
      </c>
      <c r="E23" s="6">
        <f>IF(D23="","",ROUND(D23,2))</f>
        <v/>
      </c>
      <c r="F23" s="7">
        <f>IF(D23="","",ROUND(E23-D23,4))</f>
        <v/>
      </c>
      <c r="G23" s="8">
        <f>IF(E23="","",ROUND(E23*100,0))</f>
        <v/>
      </c>
    </row>
    <row r="24">
      <c r="A24" s="3" t="n"/>
      <c r="B24" s="4" t="n"/>
      <c r="C24" s="5" t="n"/>
      <c r="D24" s="6">
        <f>IF(AND(ISNUMBER(B24),ISNUMBER(C24)),B24*C24,"")</f>
        <v/>
      </c>
      <c r="E24" s="6">
        <f>IF(D24="","",ROUND(D24,2))</f>
        <v/>
      </c>
      <c r="F24" s="7">
        <f>IF(D24="","",ROUND(E24-D24,4))</f>
        <v/>
      </c>
      <c r="G24" s="8">
        <f>IF(E24="","",ROUND(E24*100,0))</f>
        <v/>
      </c>
    </row>
  </sheetData>
  <conditionalFormatting sqref="J9">
    <cfRule type="expression" priority="1" dxfId="0">
      <formula>AND(J9&lt;&gt;"OK",J9&lt;&gt;"")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Tidy Tabs: Make Invoice Lines Add Up to the Total</t>
        </is>
      </c>
    </row>
    <row r="2">
      <c r="A2" s="13" t="inlineStr"/>
    </row>
    <row r="3">
      <c r="A3" s="13" t="inlineStr">
        <is>
          <t>1. Invoice tab: type the item, Qty (B) and Unit price (C) in the yellow cells. The sample is 8 fictional lines whose unit prices have fractions of a cent (for example 3 x $0.335).</t>
        </is>
      </c>
    </row>
    <row r="4">
      <c r="A4" s="13" t="inlineStr">
        <is>
          <t>2. Line, unrounded, D5: =B5*C5. The cell is shown to 2 decimals, so a line of $1.005 is displayed as a whole number of cents, but the cell still holds the full value and a plain SUM adds the full values.</t>
        </is>
      </c>
    </row>
    <row r="5">
      <c r="A5" s="13" t="inlineStr">
        <is>
          <t>3. Line, rounded, E5: =ROUND(D5,2). This is the amount a printed invoice shows. Rounding half a cent goes up (away from zero).</t>
        </is>
      </c>
    </row>
    <row r="6">
      <c r="A6" s="13" t="inlineStr">
        <is>
          <t>4. Totals, J5:J7: J5 =SUM(D5:D24) adds the full values; J6 =SUM(E5:E24) adds the rounded lines; J7 is J5 shown to cents minus J6. When J7 is not $0.00, the printed lines add up to a different amount than a plain SUM of the unrounded column. In the sample the unrounded total is $55.19, the rounded-lines total is $55.22 and the difference is -$0.03.</t>
        </is>
      </c>
    </row>
    <row r="7">
      <c r="A7" s="13" t="inlineStr">
        <is>
          <t>5. Column G turns each rounded line into whole cents so J9 can compare them without decimals. J9 shows OK when every line has a Qty and a price, the cents add up to the printed total and the difference is no more than half a cent per line plus half a cent.</t>
        </is>
      </c>
    </row>
    <row r="8">
      <c r="A8" s="13" t="inlineStr">
        <is>
          <t>6. Rounding each line first is one way to make the page add up. This sheet does not say which method an invoice, a customer or a tax rule requires.</t>
        </is>
      </c>
    </row>
    <row r="9">
      <c r="A9" s="13" t="inlineStr">
        <is>
          <t>7. Excel's "Set precision as displayed" option changes stored values for the whole workbook and cannot be undone, so this sheet uses ROUND instead.</t>
        </is>
      </c>
    </row>
    <row r="10">
      <c r="A10" s="13" t="inlineStr">
        <is>
          <t>8. Amounts are checked here with decimal arithmetic. Half-cent results can round differently in programs that use binary floating point, so the sample uses values checked in LibreOffice Calc.</t>
        </is>
      </c>
    </row>
    <row r="11">
      <c r="A11" s="13" t="inlineStr"/>
    </row>
    <row r="12">
      <c r="A12" s="13" t="inlineStr">
        <is>
          <t>Items and prices are fictional. Checked in LibreOffice Calc only; not opened in Excel or Google Sheets.</t>
        </is>
      </c>
    </row>
    <row r="13">
      <c r="A13" s="13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2026-10-28T07:35:44Z</dcterms:created>
  <dcterms:modified xmlns:dcterms="http://purl.org/dc/terms/" xmlns:xsi="http://www.w3.org/2001/XMLSchema-instance" xsi:type="dcterms:W3CDTF">2026-10-28T07:35:44Z</dcterms:modified>
</cp:coreProperties>
</file>