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ling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How to use" sheetId="3" state="visible" r:id="rId3"/>
  </sheets>
  <definedNames>
    <definedName name="_xlnm.Print_Titles" localSheetId="0">'Trailing'!$1:$1</definedName>
    <definedName name="_xlnm.Print_Area" localSheetId="0">'Trailing'!$A$1:$C$8</definedName>
    <definedName name="_xlnm.Print_Titles" localSheetId="1">'Sales'!$1:$1</definedName>
    <definedName name="_xlnm.Print_Area" localSheetId="1">'Sales'!$A$1:$C$37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&quot;$&quot;#,##0.00"/>
    <numFmt numFmtId="166" formatCode="yyyy-mm-dd"/>
    <numFmt numFmtId="167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164" fontId="0" fillId="3" borderId="0" applyAlignment="1" pivotButton="0" quotePrefix="0" xfId="0">
      <alignment horizontal="right"/>
    </xf>
    <xf numFmtId="165" fontId="0" fillId="4" borderId="0" applyAlignment="1" pivotButton="0" quotePrefix="0" xfId="0">
      <alignment horizontal="right"/>
    </xf>
    <xf numFmtId="1" fontId="0" fillId="4" borderId="0" applyAlignment="1" pivotButton="0" quotePrefix="0" xfId="0">
      <alignment horizontal="right"/>
    </xf>
    <xf numFmtId="167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1" fillId="2" borderId="0" applyAlignment="1" pivotButton="0" quotePrefix="0" xfId="0">
      <alignment vertical="center" wrapText="1"/>
    </xf>
    <xf numFmtId="164" fontId="0" fillId="3" borderId="0" pivotButton="0" quotePrefix="0" xfId="0"/>
    <xf numFmtId="165" fontId="0" fillId="3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84" customWidth="1" min="3" max="3"/>
  </cols>
  <sheetData>
    <row r="1">
      <c r="A1" s="1" t="inlineStr">
        <is>
          <t>Last month included (type the 1st)</t>
        </is>
      </c>
      <c r="B1" s="2" t="n">
        <v>46266</v>
      </c>
      <c r="C1" t="inlineStr">
        <is>
          <t>Yellow. Type the 1st of the last month you want, such as 09/01/2026.</t>
        </is>
      </c>
    </row>
    <row r="2">
      <c r="A2" s="1" t="inlineStr">
        <is>
          <t>Trailing 12 months sales</t>
        </is>
      </c>
      <c r="B2" s="3">
        <f>IF(ISNUMBER(B1),SUMIFS(Sales!$B$2:$B$200,Sales!$A$2:$A$200,"&gt;"&amp;EDATE(B1,-12),Sales!$A$2:$A$200,"&lt;="&amp;B1),"Type the month in B1")</f>
        <v/>
      </c>
      <c r="C2" t="inlineStr">
        <is>
          <t>The 12 months ending at B1: later than EDATE(B1,-12), up to B1.</t>
        </is>
      </c>
    </row>
    <row r="3">
      <c r="A3" s="1" t="inlineStr">
        <is>
          <t>Months found in those 12</t>
        </is>
      </c>
      <c r="B3" s="4">
        <f>IF(ISNUMBER(B1),COUNTIFS(Sales!$A$2:$A$200,"&gt;"&amp;EDATE(B1,-12),Sales!$A$2:$A$200,"&lt;="&amp;B1),"")</f>
        <v/>
      </c>
      <c r="C3">
        <f>IF(ISNUMBER(B3),IF(B3=12,"All 12 months found","Not 12 months: a month is missing or the data starts later"),"")</f>
        <v/>
      </c>
    </row>
    <row r="4">
      <c r="A4" s="1" t="inlineStr">
        <is>
          <t>Previous 12 months sales</t>
        </is>
      </c>
      <c r="B4" s="3">
        <f>IF(ISNUMBER(B1),SUMIFS(Sales!$B$2:$B$200,Sales!$A$2:$A$200,"&gt;"&amp;EDATE(B1,-24),Sales!$A$2:$A$200,"&lt;="&amp;EDATE(B1,-12)),"")</f>
        <v/>
      </c>
      <c r="C4" t="inlineStr">
        <is>
          <t>The 12 months before those.</t>
        </is>
      </c>
    </row>
    <row r="5">
      <c r="A5" s="1" t="inlineStr">
        <is>
          <t>Change in dollars</t>
        </is>
      </c>
      <c r="B5" s="3">
        <f>IF(AND(B3=12,B7=12),B2-B4,"Need 12 months in both")</f>
        <v/>
      </c>
      <c r="C5" t="inlineStr">
        <is>
          <t>Trailing minus previous.</t>
        </is>
      </c>
    </row>
    <row r="6">
      <c r="A6" s="1" t="inlineStr">
        <is>
          <t>Change in percent</t>
        </is>
      </c>
      <c r="B6" s="5">
        <f>IF(ISNUMBER(B5),IF(B4=0,"Previous 12 is 0",B5/B4),"")</f>
        <v/>
      </c>
      <c r="C6" t="inlineStr">
        <is>
          <t>Change divided by the previous 12.</t>
        </is>
      </c>
    </row>
    <row r="7">
      <c r="A7" s="1" t="inlineStr">
        <is>
          <t>Months found in the previous 12</t>
        </is>
      </c>
      <c r="B7" s="4">
        <f>IF(ISNUMBER(B1),COUNTIFS(Sales!$A$2:$A$200,"&gt;"&amp;EDATE(B1,-24),Sales!$A$2:$A$200,"&lt;="&amp;EDATE(B1,-12)),"")</f>
        <v/>
      </c>
      <c r="C7">
        <f>IF(ISNUMBER(B7),IF(B7=12,"All 12 months found","Not 12 months: a month is missing or the data starts later"),"")</f>
        <v/>
      </c>
    </row>
    <row r="8">
      <c r="A8" s="1" t="inlineStr">
        <is>
          <t>Check: end month and months are the 1st, no repeats, numbers</t>
        </is>
      </c>
      <c r="B8" s="6">
        <f>IF(AND(ISNUMBER(B1),COUNT(Sales!$A$2:$A$200)=COUNTA(Sales!$A$2:$A$200),COUNT(Sales!$B$2:$B$200)=COUNTA(Sales!$B$2:$B$200)),IF(AND(DAY(B1)=1,SUMPRODUCT((Sales!$A$2:$A$200&lt;&gt;"")*(DAY(Sales!$A$2:$A$200)&lt;&gt;1))=0,SUMPRODUCT((Sales!$A$2:$A$200&lt;&gt;"")*(COUNTIF(Sales!$A$2:$A$200,Sales!$A$2:$A$200)&gt;1))=0),"OK","CHECK"),"CHECK")</f>
        <v/>
      </c>
      <c r="C8" t="inlineStr">
        <is>
          <t>CHECK means B1 or a Sales month is not the 1st, a month repeats, or an entry is text.</t>
        </is>
      </c>
    </row>
  </sheetData>
  <conditionalFormatting sqref="B8">
    <cfRule type="expression" priority="1" dxfId="0">
      <formula>AND(B8&lt;&gt;"OK",B8&lt;&gt;"")</formula>
    </cfRule>
  </conditionalFormatting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8" customWidth="1" min="3" max="3"/>
  </cols>
  <sheetData>
    <row r="1" ht="30" customHeight="1">
      <c r="A1" s="7" t="inlineStr">
        <is>
          <t>Month (1st of month)</t>
        </is>
      </c>
      <c r="B1" s="7" t="inlineStr">
        <is>
          <t>Sales</t>
        </is>
      </c>
      <c r="C1" s="7" t="inlineStr">
        <is>
          <t>12 months ending this month</t>
        </is>
      </c>
    </row>
    <row r="2">
      <c r="A2" s="8" t="n">
        <v>45200</v>
      </c>
      <c r="B2" s="9" t="n">
        <v>4200</v>
      </c>
      <c r="C2" s="3">
        <f>IF(NOT(ISNUMBER(A2)),"",IF(COUNTIFS($A$2:$A$200,"&gt;"&amp;EDATE(A2,-12),$A$2:$A$200,"&lt;="&amp;A2)&lt;12,"",SUMIFS($B$2:$B$200,$A$2:$A$200,"&gt;"&amp;EDATE(A2,-12),$A$2:$A$200,"&lt;="&amp;A2)))</f>
        <v/>
      </c>
    </row>
    <row r="3">
      <c r="A3" s="8" t="n">
        <v>45231</v>
      </c>
      <c r="B3" s="9" t="n">
        <v>7800</v>
      </c>
      <c r="C3" s="3">
        <f>IF(NOT(ISNUMBER(A3)),"",IF(COUNTIFS($A$2:$A$200,"&gt;"&amp;EDATE(A3,-12),$A$2:$A$200,"&lt;="&amp;A3)&lt;12,"",SUMIFS($B$2:$B$200,$A$2:$A$200,"&gt;"&amp;EDATE(A3,-12),$A$2:$A$200,"&lt;="&amp;A3)))</f>
        <v/>
      </c>
    </row>
    <row r="4">
      <c r="A4" s="8" t="n">
        <v>45261</v>
      </c>
      <c r="B4" s="9" t="n">
        <v>11500</v>
      </c>
      <c r="C4" s="3">
        <f>IF(NOT(ISNUMBER(A4)),"",IF(COUNTIFS($A$2:$A$200,"&gt;"&amp;EDATE(A4,-12),$A$2:$A$200,"&lt;="&amp;A4)&lt;12,"",SUMIFS($B$2:$B$200,$A$2:$A$200,"&gt;"&amp;EDATE(A4,-12),$A$2:$A$200,"&lt;="&amp;A4)))</f>
        <v/>
      </c>
    </row>
    <row r="5">
      <c r="A5" s="8" t="n">
        <v>45292</v>
      </c>
      <c r="B5" s="9" t="n">
        <v>3100</v>
      </c>
      <c r="C5" s="3">
        <f>IF(NOT(ISNUMBER(A5)),"",IF(COUNTIFS($A$2:$A$200,"&gt;"&amp;EDATE(A5,-12),$A$2:$A$200,"&lt;="&amp;A5)&lt;12,"",SUMIFS($B$2:$B$200,$A$2:$A$200,"&gt;"&amp;EDATE(A5,-12),$A$2:$A$200,"&lt;="&amp;A5)))</f>
        <v/>
      </c>
    </row>
    <row r="6">
      <c r="A6" s="8" t="n">
        <v>45323</v>
      </c>
      <c r="B6" s="9" t="n">
        <v>3400</v>
      </c>
      <c r="C6" s="3">
        <f>IF(NOT(ISNUMBER(A6)),"",IF(COUNTIFS($A$2:$A$200,"&gt;"&amp;EDATE(A6,-12),$A$2:$A$200,"&lt;="&amp;A6)&lt;12,"",SUMIFS($B$2:$B$200,$A$2:$A$200,"&gt;"&amp;EDATE(A6,-12),$A$2:$A$200,"&lt;="&amp;A6)))</f>
        <v/>
      </c>
    </row>
    <row r="7">
      <c r="A7" s="8" t="n">
        <v>45352</v>
      </c>
      <c r="B7" s="9" t="n">
        <v>3700</v>
      </c>
      <c r="C7" s="3">
        <f>IF(NOT(ISNUMBER(A7)),"",IF(COUNTIFS($A$2:$A$200,"&gt;"&amp;EDATE(A7,-12),$A$2:$A$200,"&lt;="&amp;A7)&lt;12,"",SUMIFS($B$2:$B$200,$A$2:$A$200,"&gt;"&amp;EDATE(A7,-12),$A$2:$A$200,"&lt;="&amp;A7)))</f>
        <v/>
      </c>
    </row>
    <row r="8">
      <c r="A8" s="8" t="n">
        <v>45383</v>
      </c>
      <c r="B8" s="9" t="n">
        <v>4000</v>
      </c>
      <c r="C8" s="3">
        <f>IF(NOT(ISNUMBER(A8)),"",IF(COUNTIFS($A$2:$A$200,"&gt;"&amp;EDATE(A8,-12),$A$2:$A$200,"&lt;="&amp;A8)&lt;12,"",SUMIFS($B$2:$B$200,$A$2:$A$200,"&gt;"&amp;EDATE(A8,-12),$A$2:$A$200,"&lt;="&amp;A8)))</f>
        <v/>
      </c>
    </row>
    <row r="9">
      <c r="A9" s="8" t="n">
        <v>45413</v>
      </c>
      <c r="B9" s="9" t="n">
        <v>4800</v>
      </c>
      <c r="C9" s="3">
        <f>IF(NOT(ISNUMBER(A9)),"",IF(COUNTIFS($A$2:$A$200,"&gt;"&amp;EDATE(A9,-12),$A$2:$A$200,"&lt;="&amp;A9)&lt;12,"",SUMIFS($B$2:$B$200,$A$2:$A$200,"&gt;"&amp;EDATE(A9,-12),$A$2:$A$200,"&lt;="&amp;A9)))</f>
        <v/>
      </c>
    </row>
    <row r="10">
      <c r="A10" s="8" t="n">
        <v>45444</v>
      </c>
      <c r="B10" s="9" t="n">
        <v>4300</v>
      </c>
      <c r="C10" s="3">
        <f>IF(NOT(ISNUMBER(A10)),"",IF(COUNTIFS($A$2:$A$200,"&gt;"&amp;EDATE(A10,-12),$A$2:$A$200,"&lt;="&amp;A10)&lt;12,"",SUMIFS($B$2:$B$200,$A$2:$A$200,"&gt;"&amp;EDATE(A10,-12),$A$2:$A$200,"&lt;="&amp;A10)))</f>
        <v/>
      </c>
    </row>
    <row r="11">
      <c r="A11" s="8" t="n">
        <v>45474</v>
      </c>
      <c r="B11" s="9" t="n">
        <v>4100</v>
      </c>
      <c r="C11" s="3">
        <f>IF(NOT(ISNUMBER(A11)),"",IF(COUNTIFS($A$2:$A$200,"&gt;"&amp;EDATE(A11,-12),$A$2:$A$200,"&lt;="&amp;A11)&lt;12,"",SUMIFS($B$2:$B$200,$A$2:$A$200,"&gt;"&amp;EDATE(A11,-12),$A$2:$A$200,"&lt;="&amp;A11)))</f>
        <v/>
      </c>
    </row>
    <row r="12">
      <c r="A12" s="8" t="n">
        <v>45505</v>
      </c>
      <c r="B12" s="9" t="n">
        <v>4400</v>
      </c>
      <c r="C12" s="3">
        <f>IF(NOT(ISNUMBER(A12)),"",IF(COUNTIFS($A$2:$A$200,"&gt;"&amp;EDATE(A12,-12),$A$2:$A$200,"&lt;="&amp;A12)&lt;12,"",SUMIFS($B$2:$B$200,$A$2:$A$200,"&gt;"&amp;EDATE(A12,-12),$A$2:$A$200,"&lt;="&amp;A12)))</f>
        <v/>
      </c>
    </row>
    <row r="13">
      <c r="A13" s="8" t="n">
        <v>45536</v>
      </c>
      <c r="B13" s="9" t="n">
        <v>4600</v>
      </c>
      <c r="C13" s="3">
        <f>IF(NOT(ISNUMBER(A13)),"",IF(COUNTIFS($A$2:$A$200,"&gt;"&amp;EDATE(A13,-12),$A$2:$A$200,"&lt;="&amp;A13)&lt;12,"",SUMIFS($B$2:$B$200,$A$2:$A$200,"&gt;"&amp;EDATE(A13,-12),$A$2:$A$200,"&lt;="&amp;A13)))</f>
        <v/>
      </c>
    </row>
    <row r="14">
      <c r="A14" s="8" t="n">
        <v>45566</v>
      </c>
      <c r="B14" s="9" t="n">
        <v>4450</v>
      </c>
      <c r="C14" s="3">
        <f>IF(NOT(ISNUMBER(A14)),"",IF(COUNTIFS($A$2:$A$200,"&gt;"&amp;EDATE(A14,-12),$A$2:$A$200,"&lt;="&amp;A14)&lt;12,"",SUMIFS($B$2:$B$200,$A$2:$A$200,"&gt;"&amp;EDATE(A14,-12),$A$2:$A$200,"&lt;="&amp;A14)))</f>
        <v/>
      </c>
    </row>
    <row r="15">
      <c r="A15" s="8" t="n">
        <v>45597</v>
      </c>
      <c r="B15" s="9" t="n">
        <v>8270</v>
      </c>
      <c r="C15" s="3">
        <f>IF(NOT(ISNUMBER(A15)),"",IF(COUNTIFS($A$2:$A$200,"&gt;"&amp;EDATE(A15,-12),$A$2:$A$200,"&lt;="&amp;A15)&lt;12,"",SUMIFS($B$2:$B$200,$A$2:$A$200,"&gt;"&amp;EDATE(A15,-12),$A$2:$A$200,"&lt;="&amp;A15)))</f>
        <v/>
      </c>
    </row>
    <row r="16">
      <c r="A16" s="8" t="n">
        <v>45627</v>
      </c>
      <c r="B16" s="9" t="n">
        <v>12190</v>
      </c>
      <c r="C16" s="3">
        <f>IF(NOT(ISNUMBER(A16)),"",IF(COUNTIFS($A$2:$A$200,"&gt;"&amp;EDATE(A16,-12),$A$2:$A$200,"&lt;="&amp;A16)&lt;12,"",SUMIFS($B$2:$B$200,$A$2:$A$200,"&gt;"&amp;EDATE(A16,-12),$A$2:$A$200,"&lt;="&amp;A16)))</f>
        <v/>
      </c>
    </row>
    <row r="17">
      <c r="A17" s="8" t="n">
        <v>45658</v>
      </c>
      <c r="B17" s="9" t="n">
        <v>3290</v>
      </c>
      <c r="C17" s="3">
        <f>IF(NOT(ISNUMBER(A17)),"",IF(COUNTIFS($A$2:$A$200,"&gt;"&amp;EDATE(A17,-12),$A$2:$A$200,"&lt;="&amp;A17)&lt;12,"",SUMIFS($B$2:$B$200,$A$2:$A$200,"&gt;"&amp;EDATE(A17,-12),$A$2:$A$200,"&lt;="&amp;A17)))</f>
        <v/>
      </c>
    </row>
    <row r="18">
      <c r="A18" s="8" t="n">
        <v>45689</v>
      </c>
      <c r="B18" s="9" t="n">
        <v>3600</v>
      </c>
      <c r="C18" s="3">
        <f>IF(NOT(ISNUMBER(A18)),"",IF(COUNTIFS($A$2:$A$200,"&gt;"&amp;EDATE(A18,-12),$A$2:$A$200,"&lt;="&amp;A18)&lt;12,"",SUMIFS($B$2:$B$200,$A$2:$A$200,"&gt;"&amp;EDATE(A18,-12),$A$2:$A$200,"&lt;="&amp;A18)))</f>
        <v/>
      </c>
    </row>
    <row r="19">
      <c r="A19" s="8" t="n">
        <v>45717</v>
      </c>
      <c r="B19" s="9" t="n">
        <v>3920</v>
      </c>
      <c r="C19" s="3">
        <f>IF(NOT(ISNUMBER(A19)),"",IF(COUNTIFS($A$2:$A$200,"&gt;"&amp;EDATE(A19,-12),$A$2:$A$200,"&lt;="&amp;A19)&lt;12,"",SUMIFS($B$2:$B$200,$A$2:$A$200,"&gt;"&amp;EDATE(A19,-12),$A$2:$A$200,"&lt;="&amp;A19)))</f>
        <v/>
      </c>
    </row>
    <row r="20">
      <c r="A20" s="8" t="n">
        <v>45748</v>
      </c>
      <c r="B20" s="9" t="n">
        <v>4240</v>
      </c>
      <c r="C20" s="3">
        <f>IF(NOT(ISNUMBER(A20)),"",IF(COUNTIFS($A$2:$A$200,"&gt;"&amp;EDATE(A20,-12),$A$2:$A$200,"&lt;="&amp;A20)&lt;12,"",SUMIFS($B$2:$B$200,$A$2:$A$200,"&gt;"&amp;EDATE(A20,-12),$A$2:$A$200,"&lt;="&amp;A20)))</f>
        <v/>
      </c>
    </row>
    <row r="21">
      <c r="A21" s="8" t="n">
        <v>45778</v>
      </c>
      <c r="B21" s="9" t="n">
        <v>5090</v>
      </c>
      <c r="C21" s="3">
        <f>IF(NOT(ISNUMBER(A21)),"",IF(COUNTIFS($A$2:$A$200,"&gt;"&amp;EDATE(A21,-12),$A$2:$A$200,"&lt;="&amp;A21)&lt;12,"",SUMIFS($B$2:$B$200,$A$2:$A$200,"&gt;"&amp;EDATE(A21,-12),$A$2:$A$200,"&lt;="&amp;A21)))</f>
        <v/>
      </c>
    </row>
    <row r="22">
      <c r="A22" s="8" t="n">
        <v>45809</v>
      </c>
      <c r="B22" s="9" t="n">
        <v>4560</v>
      </c>
      <c r="C22" s="3">
        <f>IF(NOT(ISNUMBER(A22)),"",IF(COUNTIFS($A$2:$A$200,"&gt;"&amp;EDATE(A22,-12),$A$2:$A$200,"&lt;="&amp;A22)&lt;12,"",SUMIFS($B$2:$B$200,$A$2:$A$200,"&gt;"&amp;EDATE(A22,-12),$A$2:$A$200,"&lt;="&amp;A22)))</f>
        <v/>
      </c>
    </row>
    <row r="23">
      <c r="A23" s="8" t="n">
        <v>45839</v>
      </c>
      <c r="B23" s="9" t="n">
        <v>4350</v>
      </c>
      <c r="C23" s="3">
        <f>IF(NOT(ISNUMBER(A23)),"",IF(COUNTIFS($A$2:$A$200,"&gt;"&amp;EDATE(A23,-12),$A$2:$A$200,"&lt;="&amp;A23)&lt;12,"",SUMIFS($B$2:$B$200,$A$2:$A$200,"&gt;"&amp;EDATE(A23,-12),$A$2:$A$200,"&lt;="&amp;A23)))</f>
        <v/>
      </c>
    </row>
    <row r="24">
      <c r="A24" s="8" t="n">
        <v>45870</v>
      </c>
      <c r="B24" s="9" t="n">
        <v>4660</v>
      </c>
      <c r="C24" s="3">
        <f>IF(NOT(ISNUMBER(A24)),"",IF(COUNTIFS($A$2:$A$200,"&gt;"&amp;EDATE(A24,-12),$A$2:$A$200,"&lt;="&amp;A24)&lt;12,"",SUMIFS($B$2:$B$200,$A$2:$A$200,"&gt;"&amp;EDATE(A24,-12),$A$2:$A$200,"&lt;="&amp;A24)))</f>
        <v/>
      </c>
    </row>
    <row r="25">
      <c r="A25" s="8" t="n">
        <v>45901</v>
      </c>
      <c r="B25" s="9" t="n">
        <v>4880</v>
      </c>
      <c r="C25" s="3">
        <f>IF(NOT(ISNUMBER(A25)),"",IF(COUNTIFS($A$2:$A$200,"&gt;"&amp;EDATE(A25,-12),$A$2:$A$200,"&lt;="&amp;A25)&lt;12,"",SUMIFS($B$2:$B$200,$A$2:$A$200,"&gt;"&amp;EDATE(A25,-12),$A$2:$A$200,"&lt;="&amp;A25)))</f>
        <v/>
      </c>
    </row>
    <row r="26">
      <c r="A26" s="8" t="n">
        <v>45931</v>
      </c>
      <c r="B26" s="9" t="n">
        <v>4700</v>
      </c>
      <c r="C26" s="3">
        <f>IF(NOT(ISNUMBER(A26)),"",IF(COUNTIFS($A$2:$A$200,"&gt;"&amp;EDATE(A26,-12),$A$2:$A$200,"&lt;="&amp;A26)&lt;12,"",SUMIFS($B$2:$B$200,$A$2:$A$200,"&gt;"&amp;EDATE(A26,-12),$A$2:$A$200,"&lt;="&amp;A26)))</f>
        <v/>
      </c>
    </row>
    <row r="27">
      <c r="A27" s="8" t="n">
        <v>45962</v>
      </c>
      <c r="B27" s="9" t="n">
        <v>8740</v>
      </c>
      <c r="C27" s="3">
        <f>IF(NOT(ISNUMBER(A27)),"",IF(COUNTIFS($A$2:$A$200,"&gt;"&amp;EDATE(A27,-12),$A$2:$A$200,"&lt;="&amp;A27)&lt;12,"",SUMIFS($B$2:$B$200,$A$2:$A$200,"&gt;"&amp;EDATE(A27,-12),$A$2:$A$200,"&lt;="&amp;A27)))</f>
        <v/>
      </c>
    </row>
    <row r="28">
      <c r="A28" s="8" t="n">
        <v>45992</v>
      </c>
      <c r="B28" s="9" t="n">
        <v>12880</v>
      </c>
      <c r="C28" s="3">
        <f>IF(NOT(ISNUMBER(A28)),"",IF(COUNTIFS($A$2:$A$200,"&gt;"&amp;EDATE(A28,-12),$A$2:$A$200,"&lt;="&amp;A28)&lt;12,"",SUMIFS($B$2:$B$200,$A$2:$A$200,"&gt;"&amp;EDATE(A28,-12),$A$2:$A$200,"&lt;="&amp;A28)))</f>
        <v/>
      </c>
    </row>
    <row r="29">
      <c r="A29" s="8" t="n">
        <v>46023</v>
      </c>
      <c r="B29" s="9" t="n">
        <v>3470</v>
      </c>
      <c r="C29" s="3">
        <f>IF(NOT(ISNUMBER(A29)),"",IF(COUNTIFS($A$2:$A$200,"&gt;"&amp;EDATE(A29,-12),$A$2:$A$200,"&lt;="&amp;A29)&lt;12,"",SUMIFS($B$2:$B$200,$A$2:$A$200,"&gt;"&amp;EDATE(A29,-12),$A$2:$A$200,"&lt;="&amp;A29)))</f>
        <v/>
      </c>
    </row>
    <row r="30">
      <c r="A30" s="8" t="n">
        <v>46054</v>
      </c>
      <c r="B30" s="9" t="n">
        <v>3810</v>
      </c>
      <c r="C30" s="3">
        <f>IF(NOT(ISNUMBER(A30)),"",IF(COUNTIFS($A$2:$A$200,"&gt;"&amp;EDATE(A30,-12),$A$2:$A$200,"&lt;="&amp;A30)&lt;12,"",SUMIFS($B$2:$B$200,$A$2:$A$200,"&gt;"&amp;EDATE(A30,-12),$A$2:$A$200,"&lt;="&amp;A30)))</f>
        <v/>
      </c>
    </row>
    <row r="31">
      <c r="A31" s="8" t="n">
        <v>46082</v>
      </c>
      <c r="B31" s="9" t="n">
        <v>4140</v>
      </c>
      <c r="C31" s="3">
        <f>IF(NOT(ISNUMBER(A31)),"",IF(COUNTIFS($A$2:$A$200,"&gt;"&amp;EDATE(A31,-12),$A$2:$A$200,"&lt;="&amp;A31)&lt;12,"",SUMIFS($B$2:$B$200,$A$2:$A$200,"&gt;"&amp;EDATE(A31,-12),$A$2:$A$200,"&lt;="&amp;A31)))</f>
        <v/>
      </c>
    </row>
    <row r="32">
      <c r="A32" s="8" t="n">
        <v>46113</v>
      </c>
      <c r="B32" s="9" t="n">
        <v>4480</v>
      </c>
      <c r="C32" s="3">
        <f>IF(NOT(ISNUMBER(A32)),"",IF(COUNTIFS($A$2:$A$200,"&gt;"&amp;EDATE(A32,-12),$A$2:$A$200,"&lt;="&amp;A32)&lt;12,"",SUMIFS($B$2:$B$200,$A$2:$A$200,"&gt;"&amp;EDATE(A32,-12),$A$2:$A$200,"&lt;="&amp;A32)))</f>
        <v/>
      </c>
    </row>
    <row r="33">
      <c r="A33" s="8" t="n">
        <v>46143</v>
      </c>
      <c r="B33" s="9" t="n">
        <v>5380</v>
      </c>
      <c r="C33" s="3">
        <f>IF(NOT(ISNUMBER(A33)),"",IF(COUNTIFS($A$2:$A$200,"&gt;"&amp;EDATE(A33,-12),$A$2:$A$200,"&lt;="&amp;A33)&lt;12,"",SUMIFS($B$2:$B$200,$A$2:$A$200,"&gt;"&amp;EDATE(A33,-12),$A$2:$A$200,"&lt;="&amp;A33)))</f>
        <v/>
      </c>
    </row>
    <row r="34">
      <c r="A34" s="8" t="n">
        <v>46174</v>
      </c>
      <c r="B34" s="9" t="n">
        <v>4820</v>
      </c>
      <c r="C34" s="3">
        <f>IF(NOT(ISNUMBER(A34)),"",IF(COUNTIFS($A$2:$A$200,"&gt;"&amp;EDATE(A34,-12),$A$2:$A$200,"&lt;="&amp;A34)&lt;12,"",SUMIFS($B$2:$B$200,$A$2:$A$200,"&gt;"&amp;EDATE(A34,-12),$A$2:$A$200,"&lt;="&amp;A34)))</f>
        <v/>
      </c>
    </row>
    <row r="35">
      <c r="A35" s="8" t="n">
        <v>46204</v>
      </c>
      <c r="B35" s="9" t="n">
        <v>4590</v>
      </c>
      <c r="C35" s="3">
        <f>IF(NOT(ISNUMBER(A35)),"",IF(COUNTIFS($A$2:$A$200,"&gt;"&amp;EDATE(A35,-12),$A$2:$A$200,"&lt;="&amp;A35)&lt;12,"",SUMIFS($B$2:$B$200,$A$2:$A$200,"&gt;"&amp;EDATE(A35,-12),$A$2:$A$200,"&lt;="&amp;A35)))</f>
        <v/>
      </c>
    </row>
    <row r="36">
      <c r="A36" s="8" t="n">
        <v>46235</v>
      </c>
      <c r="B36" s="9" t="n">
        <v>4930</v>
      </c>
      <c r="C36" s="3">
        <f>IF(NOT(ISNUMBER(A36)),"",IF(COUNTIFS($A$2:$A$200,"&gt;"&amp;EDATE(A36,-12),$A$2:$A$200,"&lt;="&amp;A36)&lt;12,"",SUMIFS($B$2:$B$200,$A$2:$A$200,"&gt;"&amp;EDATE(A36,-12),$A$2:$A$200,"&lt;="&amp;A36)))</f>
        <v/>
      </c>
    </row>
    <row r="37">
      <c r="A37" s="8" t="n">
        <v>46266</v>
      </c>
      <c r="B37" s="9" t="n">
        <v>5150</v>
      </c>
      <c r="C37" s="3">
        <f>IF(NOT(ISNUMBER(A37)),"",IF(COUNTIFS($A$2:$A$200,"&gt;"&amp;EDATE(A37,-12),$A$2:$A$200,"&lt;="&amp;A37)&lt;12,"",SUMIFS($B$2:$B$200,$A$2:$A$200,"&gt;"&amp;EDATE(A37,-12),$A$2:$A$200,"&lt;="&amp;A37)))</f>
        <v/>
      </c>
    </row>
    <row r="38">
      <c r="A38" s="8" t="n"/>
      <c r="B38" s="9" t="n"/>
      <c r="C38" s="3">
        <f>IF(NOT(ISNUMBER(A38)),"",IF(COUNTIFS($A$2:$A$200,"&gt;"&amp;EDATE(A38,-12),$A$2:$A$200,"&lt;="&amp;A38)&lt;12,"",SUMIFS($B$2:$B$200,$A$2:$A$200,"&gt;"&amp;EDATE(A38,-12),$A$2:$A$200,"&lt;="&amp;A38)))</f>
        <v/>
      </c>
    </row>
    <row r="39">
      <c r="A39" s="8" t="n"/>
      <c r="B39" s="9" t="n"/>
      <c r="C39" s="3">
        <f>IF(NOT(ISNUMBER(A39)),"",IF(COUNTIFS($A$2:$A$200,"&gt;"&amp;EDATE(A39,-12),$A$2:$A$200,"&lt;="&amp;A39)&lt;12,"",SUMIFS($B$2:$B$200,$A$2:$A$200,"&gt;"&amp;EDATE(A39,-12),$A$2:$A$200,"&lt;="&amp;A39)))</f>
        <v/>
      </c>
    </row>
    <row r="40">
      <c r="A40" s="8" t="n"/>
      <c r="B40" s="9" t="n"/>
      <c r="C40" s="3">
        <f>IF(NOT(ISNUMBER(A40)),"",IF(COUNTIFS($A$2:$A$200,"&gt;"&amp;EDATE(A40,-12),$A$2:$A$200,"&lt;="&amp;A40)&lt;12,"",SUMIFS($B$2:$B$200,$A$2:$A$200,"&gt;"&amp;EDATE(A40,-12),$A$2:$A$200,"&lt;="&amp;A40)))</f>
        <v/>
      </c>
    </row>
    <row r="41">
      <c r="A41" s="8" t="n"/>
      <c r="B41" s="9" t="n"/>
      <c r="C41" s="3">
        <f>IF(NOT(ISNUMBER(A41)),"",IF(COUNTIFS($A$2:$A$200,"&gt;"&amp;EDATE(A41,-12),$A$2:$A$200,"&lt;="&amp;A41)&lt;12,"",SUMIFS($B$2:$B$200,$A$2:$A$200,"&gt;"&amp;EDATE(A41,-12),$A$2:$A$200,"&lt;="&amp;A41)))</f>
        <v/>
      </c>
    </row>
    <row r="42">
      <c r="A42" s="8" t="n"/>
      <c r="B42" s="9" t="n"/>
      <c r="C42" s="3">
        <f>IF(NOT(ISNUMBER(A42)),"",IF(COUNTIFS($A$2:$A$200,"&gt;"&amp;EDATE(A42,-12),$A$2:$A$200,"&lt;="&amp;A42)&lt;12,"",SUMIFS($B$2:$B$200,$A$2:$A$200,"&gt;"&amp;EDATE(A42,-12),$A$2:$A$200,"&lt;="&amp;A42)))</f>
        <v/>
      </c>
    </row>
    <row r="43">
      <c r="A43" s="8" t="n"/>
      <c r="B43" s="9" t="n"/>
      <c r="C43" s="3">
        <f>IF(NOT(ISNUMBER(A43)),"",IF(COUNTIFS($A$2:$A$200,"&gt;"&amp;EDATE(A43,-12),$A$2:$A$200,"&lt;="&amp;A43)&lt;12,"",SUMIFS($B$2:$B$200,$A$2:$A$200,"&gt;"&amp;EDATE(A43,-12),$A$2:$A$200,"&lt;="&amp;A43)))</f>
        <v/>
      </c>
    </row>
    <row r="44">
      <c r="A44" s="8" t="n"/>
      <c r="B44" s="9" t="n"/>
      <c r="C44" s="3">
        <f>IF(NOT(ISNUMBER(A44)),"",IF(COUNTIFS($A$2:$A$200,"&gt;"&amp;EDATE(A44,-12),$A$2:$A$200,"&lt;="&amp;A44)&lt;12,"",SUMIFS($B$2:$B$200,$A$2:$A$200,"&gt;"&amp;EDATE(A44,-12),$A$2:$A$200,"&lt;="&amp;A44)))</f>
        <v/>
      </c>
    </row>
    <row r="45">
      <c r="A45" s="8" t="n"/>
      <c r="B45" s="9" t="n"/>
      <c r="C45" s="3">
        <f>IF(NOT(ISNUMBER(A45)),"",IF(COUNTIFS($A$2:$A$200,"&gt;"&amp;EDATE(A45,-12),$A$2:$A$200,"&lt;="&amp;A45)&lt;12,"",SUMIFS($B$2:$B$200,$A$2:$A$200,"&gt;"&amp;EDATE(A45,-12),$A$2:$A$200,"&lt;="&amp;A45)))</f>
        <v/>
      </c>
    </row>
    <row r="46">
      <c r="A46" s="8" t="n"/>
      <c r="B46" s="9" t="n"/>
      <c r="C46" s="3">
        <f>IF(NOT(ISNUMBER(A46)),"",IF(COUNTIFS($A$2:$A$200,"&gt;"&amp;EDATE(A46,-12),$A$2:$A$200,"&lt;="&amp;A46)&lt;12,"",SUMIFS($B$2:$B$200,$A$2:$A$200,"&gt;"&amp;EDATE(A46,-12),$A$2:$A$200,"&lt;="&amp;A46)))</f>
        <v/>
      </c>
    </row>
    <row r="47">
      <c r="A47" s="8" t="n"/>
      <c r="B47" s="9" t="n"/>
      <c r="C47" s="3">
        <f>IF(NOT(ISNUMBER(A47)),"",IF(COUNTIFS($A$2:$A$200,"&gt;"&amp;EDATE(A47,-12),$A$2:$A$200,"&lt;="&amp;A47)&lt;12,"",SUMIFS($B$2:$B$200,$A$2:$A$200,"&gt;"&amp;EDATE(A47,-12),$A$2:$A$200,"&lt;="&amp;A47)))</f>
        <v/>
      </c>
    </row>
    <row r="48">
      <c r="A48" s="8" t="n"/>
      <c r="B48" s="9" t="n"/>
      <c r="C48" s="3">
        <f>IF(NOT(ISNUMBER(A48)),"",IF(COUNTIFS($A$2:$A$200,"&gt;"&amp;EDATE(A48,-12),$A$2:$A$200,"&lt;="&amp;A48)&lt;12,"",SUMIFS($B$2:$B$200,$A$2:$A$200,"&gt;"&amp;EDATE(A48,-12),$A$2:$A$200,"&lt;="&amp;A48)))</f>
        <v/>
      </c>
    </row>
    <row r="49">
      <c r="A49" s="8" t="n"/>
      <c r="B49" s="9" t="n"/>
      <c r="C49" s="3">
        <f>IF(NOT(ISNUMBER(A49)),"",IF(COUNTIFS($A$2:$A$200,"&gt;"&amp;EDATE(A49,-12),$A$2:$A$200,"&lt;="&amp;A49)&lt;12,"",SUMIFS($B$2:$B$200,$A$2:$A$200,"&gt;"&amp;EDATE(A49,-12),$A$2:$A$200,"&lt;="&amp;A49)))</f>
        <v/>
      </c>
    </row>
    <row r="50">
      <c r="A50" s="8" t="n"/>
      <c r="B50" s="9" t="n"/>
      <c r="C50" s="3">
        <f>IF(NOT(ISNUMBER(A50)),"",IF(COUNTIFS($A$2:$A$200,"&gt;"&amp;EDATE(A50,-12),$A$2:$A$200,"&lt;="&amp;A50)&lt;12,"",SUMIFS($B$2:$B$200,$A$2:$A$200,"&gt;"&amp;EDATE(A50,-12),$A$2:$A$200,"&lt;="&amp;A50)))</f>
        <v/>
      </c>
    </row>
    <row r="51">
      <c r="A51" s="8" t="n"/>
      <c r="B51" s="9" t="n"/>
      <c r="C51" s="3">
        <f>IF(NOT(ISNUMBER(A51)),"",IF(COUNTIFS($A$2:$A$200,"&gt;"&amp;EDATE(A51,-12),$A$2:$A$200,"&lt;="&amp;A51)&lt;12,"",SUMIFS($B$2:$B$200,$A$2:$A$200,"&gt;"&amp;EDATE(A51,-12),$A$2:$A$200,"&lt;="&amp;A51)))</f>
        <v/>
      </c>
    </row>
    <row r="52">
      <c r="A52" s="8" t="n"/>
      <c r="B52" s="9" t="n"/>
      <c r="C52" s="3">
        <f>IF(NOT(ISNUMBER(A52)),"",IF(COUNTIFS($A$2:$A$200,"&gt;"&amp;EDATE(A52,-12),$A$2:$A$200,"&lt;="&amp;A52)&lt;12,"",SUMIFS($B$2:$B$200,$A$2:$A$200,"&gt;"&amp;EDATE(A52,-12),$A$2:$A$200,"&lt;="&amp;A52)))</f>
        <v/>
      </c>
    </row>
    <row r="53">
      <c r="A53" s="8" t="n"/>
      <c r="B53" s="9" t="n"/>
      <c r="C53" s="3">
        <f>IF(NOT(ISNUMBER(A53)),"",IF(COUNTIFS($A$2:$A$200,"&gt;"&amp;EDATE(A53,-12),$A$2:$A$200,"&lt;="&amp;A53)&lt;12,"",SUMIFS($B$2:$B$200,$A$2:$A$200,"&gt;"&amp;EDATE(A53,-12),$A$2:$A$200,"&lt;="&amp;A53)))</f>
        <v/>
      </c>
    </row>
    <row r="54">
      <c r="A54" s="8" t="n"/>
      <c r="B54" s="9" t="n"/>
      <c r="C54" s="3">
        <f>IF(NOT(ISNUMBER(A54)),"",IF(COUNTIFS($A$2:$A$200,"&gt;"&amp;EDATE(A54,-12),$A$2:$A$200,"&lt;="&amp;A54)&lt;12,"",SUMIFS($B$2:$B$200,$A$2:$A$200,"&gt;"&amp;EDATE(A54,-12),$A$2:$A$200,"&lt;="&amp;A54)))</f>
        <v/>
      </c>
    </row>
    <row r="55">
      <c r="A55" s="8" t="n"/>
      <c r="B55" s="9" t="n"/>
      <c r="C55" s="3">
        <f>IF(NOT(ISNUMBER(A55)),"",IF(COUNTIFS($A$2:$A$200,"&gt;"&amp;EDATE(A55,-12),$A$2:$A$200,"&lt;="&amp;A55)&lt;12,"",SUMIFS($B$2:$B$200,$A$2:$A$200,"&gt;"&amp;EDATE(A55,-12),$A$2:$A$200,"&lt;="&amp;A55)))</f>
        <v/>
      </c>
    </row>
    <row r="56">
      <c r="A56" s="8" t="n"/>
      <c r="B56" s="9" t="n"/>
      <c r="C56" s="3">
        <f>IF(NOT(ISNUMBER(A56)),"",IF(COUNTIFS($A$2:$A$200,"&gt;"&amp;EDATE(A56,-12),$A$2:$A$200,"&lt;="&amp;A56)&lt;12,"",SUMIFS($B$2:$B$200,$A$2:$A$200,"&gt;"&amp;EDATE(A56,-12),$A$2:$A$200,"&lt;="&amp;A56)))</f>
        <v/>
      </c>
    </row>
    <row r="57">
      <c r="A57" s="8" t="n"/>
      <c r="B57" s="9" t="n"/>
      <c r="C57" s="3">
        <f>IF(NOT(ISNUMBER(A57)),"",IF(COUNTIFS($A$2:$A$200,"&gt;"&amp;EDATE(A57,-12),$A$2:$A$200,"&lt;="&amp;A57)&lt;12,"",SUMIFS($B$2:$B$200,$A$2:$A$200,"&gt;"&amp;EDATE(A57,-12),$A$2:$A$200,"&lt;="&amp;A57)))</f>
        <v/>
      </c>
    </row>
    <row r="58">
      <c r="A58" s="8" t="n"/>
      <c r="B58" s="9" t="n"/>
      <c r="C58" s="3">
        <f>IF(NOT(ISNUMBER(A58)),"",IF(COUNTIFS($A$2:$A$200,"&gt;"&amp;EDATE(A58,-12),$A$2:$A$200,"&lt;="&amp;A58)&lt;12,"",SUMIFS($B$2:$B$200,$A$2:$A$200,"&gt;"&amp;EDATE(A58,-12),$A$2:$A$200,"&lt;="&amp;A58)))</f>
        <v/>
      </c>
    </row>
    <row r="59">
      <c r="A59" s="8" t="n"/>
      <c r="B59" s="9" t="n"/>
      <c r="C59" s="3">
        <f>IF(NOT(ISNUMBER(A59)),"",IF(COUNTIFS($A$2:$A$200,"&gt;"&amp;EDATE(A59,-12),$A$2:$A$200,"&lt;="&amp;A59)&lt;12,"",SUMIFS($B$2:$B$200,$A$2:$A$200,"&gt;"&amp;EDATE(A59,-12),$A$2:$A$200,"&lt;="&amp;A59)))</f>
        <v/>
      </c>
    </row>
    <row r="60">
      <c r="A60" s="8" t="n"/>
      <c r="B60" s="9" t="n"/>
      <c r="C60" s="3">
        <f>IF(NOT(ISNUMBER(A60)),"",IF(COUNTIFS($A$2:$A$200,"&gt;"&amp;EDATE(A60,-12),$A$2:$A$200,"&lt;="&amp;A60)&lt;12,"",SUMIFS($B$2:$B$200,$A$2:$A$200,"&gt;"&amp;EDATE(A60,-12),$A$2:$A$200,"&lt;="&amp;A60)))</f>
        <v/>
      </c>
    </row>
    <row r="61">
      <c r="A61" s="8" t="n"/>
      <c r="B61" s="9" t="n"/>
      <c r="C61" s="3">
        <f>IF(NOT(ISNUMBER(A61)),"",IF(COUNTIFS($A$2:$A$200,"&gt;"&amp;EDATE(A61,-12),$A$2:$A$200,"&lt;="&amp;A61)&lt;12,"",SUMIFS($B$2:$B$200,$A$2:$A$200,"&gt;"&amp;EDATE(A61,-12),$A$2:$A$200,"&lt;="&amp;A61)))</f>
        <v/>
      </c>
    </row>
    <row r="62">
      <c r="A62" s="8" t="n"/>
      <c r="B62" s="9" t="n"/>
      <c r="C62" s="3">
        <f>IF(NOT(ISNUMBER(A62)),"",IF(COUNTIFS($A$2:$A$200,"&gt;"&amp;EDATE(A62,-12),$A$2:$A$200,"&lt;="&amp;A62)&lt;12,"",SUMIFS($B$2:$B$200,$A$2:$A$200,"&gt;"&amp;EDATE(A62,-12),$A$2:$A$200,"&lt;="&amp;A62)))</f>
        <v/>
      </c>
    </row>
    <row r="63">
      <c r="A63" s="8" t="n"/>
      <c r="B63" s="9" t="n"/>
      <c r="C63" s="3">
        <f>IF(NOT(ISNUMBER(A63)),"",IF(COUNTIFS($A$2:$A$200,"&gt;"&amp;EDATE(A63,-12),$A$2:$A$200,"&lt;="&amp;A63)&lt;12,"",SUMIFS($B$2:$B$200,$A$2:$A$200,"&gt;"&amp;EDATE(A63,-12),$A$2:$A$200,"&lt;="&amp;A63)))</f>
        <v/>
      </c>
    </row>
    <row r="64">
      <c r="A64" s="8" t="n"/>
      <c r="B64" s="9" t="n"/>
      <c r="C64" s="3">
        <f>IF(NOT(ISNUMBER(A64)),"",IF(COUNTIFS($A$2:$A$200,"&gt;"&amp;EDATE(A64,-12),$A$2:$A$200,"&lt;="&amp;A64)&lt;12,"",SUMIFS($B$2:$B$200,$A$2:$A$200,"&gt;"&amp;EDATE(A64,-12),$A$2:$A$200,"&lt;="&amp;A64)))</f>
        <v/>
      </c>
    </row>
    <row r="65">
      <c r="A65" s="8" t="n"/>
      <c r="B65" s="9" t="n"/>
      <c r="C65" s="3">
        <f>IF(NOT(ISNUMBER(A65)),"",IF(COUNTIFS($A$2:$A$200,"&gt;"&amp;EDATE(A65,-12),$A$2:$A$200,"&lt;="&amp;A65)&lt;12,"",SUMIFS($B$2:$B$200,$A$2:$A$200,"&gt;"&amp;EDATE(A65,-12),$A$2:$A$200,"&lt;="&amp;A65)))</f>
        <v/>
      </c>
    </row>
    <row r="66">
      <c r="A66" s="8" t="n"/>
      <c r="B66" s="9" t="n"/>
      <c r="C66" s="3">
        <f>IF(NOT(ISNUMBER(A66)),"",IF(COUNTIFS($A$2:$A$200,"&gt;"&amp;EDATE(A66,-12),$A$2:$A$200,"&lt;="&amp;A66)&lt;12,"",SUMIFS($B$2:$B$200,$A$2:$A$200,"&gt;"&amp;EDATE(A66,-12),$A$2:$A$200,"&lt;="&amp;A66)))</f>
        <v/>
      </c>
    </row>
    <row r="67">
      <c r="A67" s="8" t="n"/>
      <c r="B67" s="9" t="n"/>
      <c r="C67" s="3">
        <f>IF(NOT(ISNUMBER(A67)),"",IF(COUNTIFS($A$2:$A$200,"&gt;"&amp;EDATE(A67,-12),$A$2:$A$200,"&lt;="&amp;A67)&lt;12,"",SUMIFS($B$2:$B$200,$A$2:$A$200,"&gt;"&amp;EDATE(A67,-12),$A$2:$A$200,"&lt;="&amp;A67)))</f>
        <v/>
      </c>
    </row>
    <row r="68">
      <c r="A68" s="8" t="n"/>
      <c r="B68" s="9" t="n"/>
      <c r="C68" s="3">
        <f>IF(NOT(ISNUMBER(A68)),"",IF(COUNTIFS($A$2:$A$200,"&gt;"&amp;EDATE(A68,-12),$A$2:$A$200,"&lt;="&amp;A68)&lt;12,"",SUMIFS($B$2:$B$200,$A$2:$A$200,"&gt;"&amp;EDATE(A68,-12),$A$2:$A$200,"&lt;="&amp;A68)))</f>
        <v/>
      </c>
    </row>
    <row r="69">
      <c r="A69" s="8" t="n"/>
      <c r="B69" s="9" t="n"/>
      <c r="C69" s="3">
        <f>IF(NOT(ISNUMBER(A69)),"",IF(COUNTIFS($A$2:$A$200,"&gt;"&amp;EDATE(A69,-12),$A$2:$A$200,"&lt;="&amp;A69)&lt;12,"",SUMIFS($B$2:$B$200,$A$2:$A$200,"&gt;"&amp;EDATE(A69,-12),$A$2:$A$200,"&lt;="&amp;A69)))</f>
        <v/>
      </c>
    </row>
    <row r="70">
      <c r="A70" s="8" t="n"/>
      <c r="B70" s="9" t="n"/>
      <c r="C70" s="3">
        <f>IF(NOT(ISNUMBER(A70)),"",IF(COUNTIFS($A$2:$A$200,"&gt;"&amp;EDATE(A70,-12),$A$2:$A$200,"&lt;="&amp;A70)&lt;12,"",SUMIFS($B$2:$B$200,$A$2:$A$200,"&gt;"&amp;EDATE(A70,-12),$A$2:$A$200,"&lt;="&amp;A70)))</f>
        <v/>
      </c>
    </row>
    <row r="71">
      <c r="A71" s="8" t="n"/>
      <c r="B71" s="9" t="n"/>
      <c r="C71" s="3">
        <f>IF(NOT(ISNUMBER(A71)),"",IF(COUNTIFS($A$2:$A$200,"&gt;"&amp;EDATE(A71,-12),$A$2:$A$200,"&lt;="&amp;A71)&lt;12,"",SUMIFS($B$2:$B$200,$A$2:$A$200,"&gt;"&amp;EDATE(A71,-12),$A$2:$A$200,"&lt;="&amp;A71)))</f>
        <v/>
      </c>
    </row>
    <row r="72">
      <c r="A72" s="8" t="n"/>
      <c r="B72" s="9" t="n"/>
      <c r="C72" s="3">
        <f>IF(NOT(ISNUMBER(A72)),"",IF(COUNTIFS($A$2:$A$200,"&gt;"&amp;EDATE(A72,-12),$A$2:$A$200,"&lt;="&amp;A72)&lt;12,"",SUMIFS($B$2:$B$200,$A$2:$A$200,"&gt;"&amp;EDATE(A72,-12),$A$2:$A$200,"&lt;="&amp;A72)))</f>
        <v/>
      </c>
    </row>
    <row r="73">
      <c r="A73" s="8" t="n"/>
      <c r="B73" s="9" t="n"/>
      <c r="C73" s="3">
        <f>IF(NOT(ISNUMBER(A73)),"",IF(COUNTIFS($A$2:$A$200,"&gt;"&amp;EDATE(A73,-12),$A$2:$A$200,"&lt;="&amp;A73)&lt;12,"",SUMIFS($B$2:$B$200,$A$2:$A$200,"&gt;"&amp;EDATE(A73,-12),$A$2:$A$200,"&lt;="&amp;A73)))</f>
        <v/>
      </c>
    </row>
    <row r="74">
      <c r="A74" s="8" t="n"/>
      <c r="B74" s="9" t="n"/>
      <c r="C74" s="3">
        <f>IF(NOT(ISNUMBER(A74)),"",IF(COUNTIFS($A$2:$A$200,"&gt;"&amp;EDATE(A74,-12),$A$2:$A$200,"&lt;="&amp;A74)&lt;12,"",SUMIFS($B$2:$B$200,$A$2:$A$200,"&gt;"&amp;EDATE(A74,-12),$A$2:$A$200,"&lt;="&amp;A74)))</f>
        <v/>
      </c>
    </row>
    <row r="75">
      <c r="A75" s="8" t="n"/>
      <c r="B75" s="9" t="n"/>
      <c r="C75" s="3">
        <f>IF(NOT(ISNUMBER(A75)),"",IF(COUNTIFS($A$2:$A$200,"&gt;"&amp;EDATE(A75,-12),$A$2:$A$200,"&lt;="&amp;A75)&lt;12,"",SUMIFS($B$2:$B$200,$A$2:$A$200,"&gt;"&amp;EDATE(A75,-12),$A$2:$A$200,"&lt;="&amp;A75)))</f>
        <v/>
      </c>
    </row>
    <row r="76">
      <c r="A76" s="8" t="n"/>
      <c r="B76" s="9" t="n"/>
      <c r="C76" s="3">
        <f>IF(NOT(ISNUMBER(A76)),"",IF(COUNTIFS($A$2:$A$200,"&gt;"&amp;EDATE(A76,-12),$A$2:$A$200,"&lt;="&amp;A76)&lt;12,"",SUMIFS($B$2:$B$200,$A$2:$A$200,"&gt;"&amp;EDATE(A76,-12),$A$2:$A$200,"&lt;="&amp;A76)))</f>
        <v/>
      </c>
    </row>
    <row r="77">
      <c r="A77" s="8" t="n"/>
      <c r="B77" s="9" t="n"/>
      <c r="C77" s="3">
        <f>IF(NOT(ISNUMBER(A77)),"",IF(COUNTIFS($A$2:$A$200,"&gt;"&amp;EDATE(A77,-12),$A$2:$A$200,"&lt;="&amp;A77)&lt;12,"",SUMIFS($B$2:$B$200,$A$2:$A$200,"&gt;"&amp;EDATE(A77,-12),$A$2:$A$200,"&lt;="&amp;A77)))</f>
        <v/>
      </c>
    </row>
    <row r="78">
      <c r="A78" s="8" t="n"/>
      <c r="B78" s="9" t="n"/>
      <c r="C78" s="3">
        <f>IF(NOT(ISNUMBER(A78)),"",IF(COUNTIFS($A$2:$A$200,"&gt;"&amp;EDATE(A78,-12),$A$2:$A$200,"&lt;="&amp;A78)&lt;12,"",SUMIFS($B$2:$B$200,$A$2:$A$200,"&gt;"&amp;EDATE(A78,-12),$A$2:$A$200,"&lt;="&amp;A78)))</f>
        <v/>
      </c>
    </row>
    <row r="79">
      <c r="A79" s="8" t="n"/>
      <c r="B79" s="9" t="n"/>
      <c r="C79" s="3">
        <f>IF(NOT(ISNUMBER(A79)),"",IF(COUNTIFS($A$2:$A$200,"&gt;"&amp;EDATE(A79,-12),$A$2:$A$200,"&lt;="&amp;A79)&lt;12,"",SUMIFS($B$2:$B$200,$A$2:$A$200,"&gt;"&amp;EDATE(A79,-12),$A$2:$A$200,"&lt;="&amp;A79)))</f>
        <v/>
      </c>
    </row>
    <row r="80">
      <c r="A80" s="8" t="n"/>
      <c r="B80" s="9" t="n"/>
      <c r="C80" s="3">
        <f>IF(NOT(ISNUMBER(A80)),"",IF(COUNTIFS($A$2:$A$200,"&gt;"&amp;EDATE(A80,-12),$A$2:$A$200,"&lt;="&amp;A80)&lt;12,"",SUMIFS($B$2:$B$200,$A$2:$A$200,"&gt;"&amp;EDATE(A80,-12),$A$2:$A$200,"&lt;="&amp;A80)))</f>
        <v/>
      </c>
    </row>
    <row r="81">
      <c r="A81" s="8" t="n"/>
      <c r="B81" s="9" t="n"/>
      <c r="C81" s="3">
        <f>IF(NOT(ISNUMBER(A81)),"",IF(COUNTIFS($A$2:$A$200,"&gt;"&amp;EDATE(A81,-12),$A$2:$A$200,"&lt;="&amp;A81)&lt;12,"",SUMIFS($B$2:$B$200,$A$2:$A$200,"&gt;"&amp;EDATE(A81,-12),$A$2:$A$200,"&lt;="&amp;A81)))</f>
        <v/>
      </c>
    </row>
    <row r="82">
      <c r="A82" s="8" t="n"/>
      <c r="B82" s="9" t="n"/>
      <c r="C82" s="3">
        <f>IF(NOT(ISNUMBER(A82)),"",IF(COUNTIFS($A$2:$A$200,"&gt;"&amp;EDATE(A82,-12),$A$2:$A$200,"&lt;="&amp;A82)&lt;12,"",SUMIFS($B$2:$B$200,$A$2:$A$200,"&gt;"&amp;EDATE(A82,-12),$A$2:$A$200,"&lt;="&amp;A82)))</f>
        <v/>
      </c>
    </row>
    <row r="83">
      <c r="A83" s="8" t="n"/>
      <c r="B83" s="9" t="n"/>
      <c r="C83" s="3">
        <f>IF(NOT(ISNUMBER(A83)),"",IF(COUNTIFS($A$2:$A$200,"&gt;"&amp;EDATE(A83,-12),$A$2:$A$200,"&lt;="&amp;A83)&lt;12,"",SUMIFS($B$2:$B$200,$A$2:$A$200,"&gt;"&amp;EDATE(A83,-12),$A$2:$A$200,"&lt;="&amp;A83)))</f>
        <v/>
      </c>
    </row>
    <row r="84">
      <c r="A84" s="8" t="n"/>
      <c r="B84" s="9" t="n"/>
      <c r="C84" s="3">
        <f>IF(NOT(ISNUMBER(A84)),"",IF(COUNTIFS($A$2:$A$200,"&gt;"&amp;EDATE(A84,-12),$A$2:$A$200,"&lt;="&amp;A84)&lt;12,"",SUMIFS($B$2:$B$200,$A$2:$A$200,"&gt;"&amp;EDATE(A84,-12),$A$2:$A$200,"&lt;="&amp;A84)))</f>
        <v/>
      </c>
    </row>
    <row r="85">
      <c r="A85" s="8" t="n"/>
      <c r="B85" s="9" t="n"/>
      <c r="C85" s="3">
        <f>IF(NOT(ISNUMBER(A85)),"",IF(COUNTIFS($A$2:$A$200,"&gt;"&amp;EDATE(A85,-12),$A$2:$A$200,"&lt;="&amp;A85)&lt;12,"",SUMIFS($B$2:$B$200,$A$2:$A$200,"&gt;"&amp;EDATE(A85,-12),$A$2:$A$200,"&lt;="&amp;A85)))</f>
        <v/>
      </c>
    </row>
    <row r="86">
      <c r="A86" s="8" t="n"/>
      <c r="B86" s="9" t="n"/>
      <c r="C86" s="3">
        <f>IF(NOT(ISNUMBER(A86)),"",IF(COUNTIFS($A$2:$A$200,"&gt;"&amp;EDATE(A86,-12),$A$2:$A$200,"&lt;="&amp;A86)&lt;12,"",SUMIFS($B$2:$B$200,$A$2:$A$200,"&gt;"&amp;EDATE(A86,-12),$A$2:$A$200,"&lt;="&amp;A86)))</f>
        <v/>
      </c>
    </row>
    <row r="87">
      <c r="A87" s="8" t="n"/>
      <c r="B87" s="9" t="n"/>
      <c r="C87" s="3">
        <f>IF(NOT(ISNUMBER(A87)),"",IF(COUNTIFS($A$2:$A$200,"&gt;"&amp;EDATE(A87,-12),$A$2:$A$200,"&lt;="&amp;A87)&lt;12,"",SUMIFS($B$2:$B$200,$A$2:$A$200,"&gt;"&amp;EDATE(A87,-12),$A$2:$A$200,"&lt;="&amp;A87)))</f>
        <v/>
      </c>
    </row>
    <row r="88">
      <c r="A88" s="8" t="n"/>
      <c r="B88" s="9" t="n"/>
      <c r="C88" s="3">
        <f>IF(NOT(ISNUMBER(A88)),"",IF(COUNTIFS($A$2:$A$200,"&gt;"&amp;EDATE(A88,-12),$A$2:$A$200,"&lt;="&amp;A88)&lt;12,"",SUMIFS($B$2:$B$200,$A$2:$A$200,"&gt;"&amp;EDATE(A88,-12),$A$2:$A$200,"&lt;="&amp;A88)))</f>
        <v/>
      </c>
    </row>
    <row r="89">
      <c r="A89" s="8" t="n"/>
      <c r="B89" s="9" t="n"/>
      <c r="C89" s="3">
        <f>IF(NOT(ISNUMBER(A89)),"",IF(COUNTIFS($A$2:$A$200,"&gt;"&amp;EDATE(A89,-12),$A$2:$A$200,"&lt;="&amp;A89)&lt;12,"",SUMIFS($B$2:$B$200,$A$2:$A$200,"&gt;"&amp;EDATE(A89,-12),$A$2:$A$200,"&lt;="&amp;A89)))</f>
        <v/>
      </c>
    </row>
    <row r="90">
      <c r="A90" s="8" t="n"/>
      <c r="B90" s="9" t="n"/>
      <c r="C90" s="3">
        <f>IF(NOT(ISNUMBER(A90)),"",IF(COUNTIFS($A$2:$A$200,"&gt;"&amp;EDATE(A90,-12),$A$2:$A$200,"&lt;="&amp;A90)&lt;12,"",SUMIFS($B$2:$B$200,$A$2:$A$200,"&gt;"&amp;EDATE(A90,-12),$A$2:$A$200,"&lt;="&amp;A90)))</f>
        <v/>
      </c>
    </row>
    <row r="91">
      <c r="A91" s="8" t="n"/>
      <c r="B91" s="9" t="n"/>
      <c r="C91" s="3">
        <f>IF(NOT(ISNUMBER(A91)),"",IF(COUNTIFS($A$2:$A$200,"&gt;"&amp;EDATE(A91,-12),$A$2:$A$200,"&lt;="&amp;A91)&lt;12,"",SUMIFS($B$2:$B$200,$A$2:$A$200,"&gt;"&amp;EDATE(A91,-12),$A$2:$A$200,"&lt;="&amp;A91)))</f>
        <v/>
      </c>
    </row>
    <row r="92">
      <c r="A92" s="8" t="n"/>
      <c r="B92" s="9" t="n"/>
      <c r="C92" s="3">
        <f>IF(NOT(ISNUMBER(A92)),"",IF(COUNTIFS($A$2:$A$200,"&gt;"&amp;EDATE(A92,-12),$A$2:$A$200,"&lt;="&amp;A92)&lt;12,"",SUMIFS($B$2:$B$200,$A$2:$A$200,"&gt;"&amp;EDATE(A92,-12),$A$2:$A$200,"&lt;="&amp;A92)))</f>
        <v/>
      </c>
    </row>
    <row r="93">
      <c r="A93" s="8" t="n"/>
      <c r="B93" s="9" t="n"/>
      <c r="C93" s="3">
        <f>IF(NOT(ISNUMBER(A93)),"",IF(COUNTIFS($A$2:$A$200,"&gt;"&amp;EDATE(A93,-12),$A$2:$A$200,"&lt;="&amp;A93)&lt;12,"",SUMIFS($B$2:$B$200,$A$2:$A$200,"&gt;"&amp;EDATE(A93,-12),$A$2:$A$200,"&lt;="&amp;A93)))</f>
        <v/>
      </c>
    </row>
    <row r="94">
      <c r="A94" s="8" t="n"/>
      <c r="B94" s="9" t="n"/>
      <c r="C94" s="3">
        <f>IF(NOT(ISNUMBER(A94)),"",IF(COUNTIFS($A$2:$A$200,"&gt;"&amp;EDATE(A94,-12),$A$2:$A$200,"&lt;="&amp;A94)&lt;12,"",SUMIFS($B$2:$B$200,$A$2:$A$200,"&gt;"&amp;EDATE(A94,-12),$A$2:$A$200,"&lt;="&amp;A94)))</f>
        <v/>
      </c>
    </row>
    <row r="95">
      <c r="A95" s="8" t="n"/>
      <c r="B95" s="9" t="n"/>
      <c r="C95" s="3">
        <f>IF(NOT(ISNUMBER(A95)),"",IF(COUNTIFS($A$2:$A$200,"&gt;"&amp;EDATE(A95,-12),$A$2:$A$200,"&lt;="&amp;A95)&lt;12,"",SUMIFS($B$2:$B$200,$A$2:$A$200,"&gt;"&amp;EDATE(A95,-12),$A$2:$A$200,"&lt;="&amp;A95)))</f>
        <v/>
      </c>
    </row>
    <row r="96">
      <c r="A96" s="8" t="n"/>
      <c r="B96" s="9" t="n"/>
      <c r="C96" s="3">
        <f>IF(NOT(ISNUMBER(A96)),"",IF(COUNTIFS($A$2:$A$200,"&gt;"&amp;EDATE(A96,-12),$A$2:$A$200,"&lt;="&amp;A96)&lt;12,"",SUMIFS($B$2:$B$200,$A$2:$A$200,"&gt;"&amp;EDATE(A96,-12),$A$2:$A$200,"&lt;="&amp;A96)))</f>
        <v/>
      </c>
    </row>
    <row r="97">
      <c r="A97" s="8" t="n"/>
      <c r="B97" s="9" t="n"/>
      <c r="C97" s="3">
        <f>IF(NOT(ISNUMBER(A97)),"",IF(COUNTIFS($A$2:$A$200,"&gt;"&amp;EDATE(A97,-12),$A$2:$A$200,"&lt;="&amp;A97)&lt;12,"",SUMIFS($B$2:$B$200,$A$2:$A$200,"&gt;"&amp;EDATE(A97,-12),$A$2:$A$200,"&lt;="&amp;A97)))</f>
        <v/>
      </c>
    </row>
    <row r="98">
      <c r="A98" s="8" t="n"/>
      <c r="B98" s="9" t="n"/>
      <c r="C98" s="3">
        <f>IF(NOT(ISNUMBER(A98)),"",IF(COUNTIFS($A$2:$A$200,"&gt;"&amp;EDATE(A98,-12),$A$2:$A$200,"&lt;="&amp;A98)&lt;12,"",SUMIFS($B$2:$B$200,$A$2:$A$200,"&gt;"&amp;EDATE(A98,-12),$A$2:$A$200,"&lt;="&amp;A98)))</f>
        <v/>
      </c>
    </row>
    <row r="99">
      <c r="A99" s="8" t="n"/>
      <c r="B99" s="9" t="n"/>
      <c r="C99" s="3">
        <f>IF(NOT(ISNUMBER(A99)),"",IF(COUNTIFS($A$2:$A$200,"&gt;"&amp;EDATE(A99,-12),$A$2:$A$200,"&lt;="&amp;A99)&lt;12,"",SUMIFS($B$2:$B$200,$A$2:$A$200,"&gt;"&amp;EDATE(A99,-12),$A$2:$A$200,"&lt;="&amp;A99)))</f>
        <v/>
      </c>
    </row>
    <row r="100">
      <c r="A100" s="8" t="n"/>
      <c r="B100" s="9" t="n"/>
      <c r="C100" s="3">
        <f>IF(NOT(ISNUMBER(A100)),"",IF(COUNTIFS($A$2:$A$200,"&gt;"&amp;EDATE(A100,-12),$A$2:$A$200,"&lt;="&amp;A100)&lt;12,"",SUMIFS($B$2:$B$200,$A$2:$A$200,"&gt;"&amp;EDATE(A100,-12),$A$2:$A$200,"&lt;="&amp;A100)))</f>
        <v/>
      </c>
    </row>
    <row r="101">
      <c r="A101" s="8" t="n"/>
      <c r="B101" s="9" t="n"/>
      <c r="C101" s="3">
        <f>IF(NOT(ISNUMBER(A101)),"",IF(COUNTIFS($A$2:$A$200,"&gt;"&amp;EDATE(A101,-12),$A$2:$A$200,"&lt;="&amp;A101)&lt;12,"",SUMIFS($B$2:$B$200,$A$2:$A$200,"&gt;"&amp;EDATE(A101,-12),$A$2:$A$200,"&lt;="&amp;A101)))</f>
        <v/>
      </c>
    </row>
    <row r="102">
      <c r="A102" s="8" t="n"/>
      <c r="B102" s="9" t="n"/>
      <c r="C102" s="3">
        <f>IF(NOT(ISNUMBER(A102)),"",IF(COUNTIFS($A$2:$A$200,"&gt;"&amp;EDATE(A102,-12),$A$2:$A$200,"&lt;="&amp;A102)&lt;12,"",SUMIFS($B$2:$B$200,$A$2:$A$200,"&gt;"&amp;EDATE(A102,-12),$A$2:$A$200,"&lt;="&amp;A102)))</f>
        <v/>
      </c>
    </row>
    <row r="103">
      <c r="A103" s="8" t="n"/>
      <c r="B103" s="9" t="n"/>
      <c r="C103" s="3">
        <f>IF(NOT(ISNUMBER(A103)),"",IF(COUNTIFS($A$2:$A$200,"&gt;"&amp;EDATE(A103,-12),$A$2:$A$200,"&lt;="&amp;A103)&lt;12,"",SUMIFS($B$2:$B$200,$A$2:$A$200,"&gt;"&amp;EDATE(A103,-12),$A$2:$A$200,"&lt;="&amp;A103)))</f>
        <v/>
      </c>
    </row>
    <row r="104">
      <c r="A104" s="8" t="n"/>
      <c r="B104" s="9" t="n"/>
      <c r="C104" s="3">
        <f>IF(NOT(ISNUMBER(A104)),"",IF(COUNTIFS($A$2:$A$200,"&gt;"&amp;EDATE(A104,-12),$A$2:$A$200,"&lt;="&amp;A104)&lt;12,"",SUMIFS($B$2:$B$200,$A$2:$A$200,"&gt;"&amp;EDATE(A104,-12),$A$2:$A$200,"&lt;="&amp;A104)))</f>
        <v/>
      </c>
    </row>
    <row r="105">
      <c r="A105" s="8" t="n"/>
      <c r="B105" s="9" t="n"/>
      <c r="C105" s="3">
        <f>IF(NOT(ISNUMBER(A105)),"",IF(COUNTIFS($A$2:$A$200,"&gt;"&amp;EDATE(A105,-12),$A$2:$A$200,"&lt;="&amp;A105)&lt;12,"",SUMIFS($B$2:$B$200,$A$2:$A$200,"&gt;"&amp;EDATE(A105,-12),$A$2:$A$200,"&lt;="&amp;A105)))</f>
        <v/>
      </c>
    </row>
    <row r="106">
      <c r="A106" s="8" t="n"/>
      <c r="B106" s="9" t="n"/>
      <c r="C106" s="3">
        <f>IF(NOT(ISNUMBER(A106)),"",IF(COUNTIFS($A$2:$A$200,"&gt;"&amp;EDATE(A106,-12),$A$2:$A$200,"&lt;="&amp;A106)&lt;12,"",SUMIFS($B$2:$B$200,$A$2:$A$200,"&gt;"&amp;EDATE(A106,-12),$A$2:$A$200,"&lt;="&amp;A106)))</f>
        <v/>
      </c>
    </row>
    <row r="107">
      <c r="A107" s="8" t="n"/>
      <c r="B107" s="9" t="n"/>
      <c r="C107" s="3">
        <f>IF(NOT(ISNUMBER(A107)),"",IF(COUNTIFS($A$2:$A$200,"&gt;"&amp;EDATE(A107,-12),$A$2:$A$200,"&lt;="&amp;A107)&lt;12,"",SUMIFS($B$2:$B$200,$A$2:$A$200,"&gt;"&amp;EDATE(A107,-12),$A$2:$A$200,"&lt;="&amp;A107)))</f>
        <v/>
      </c>
    </row>
    <row r="108">
      <c r="A108" s="8" t="n"/>
      <c r="B108" s="9" t="n"/>
      <c r="C108" s="3">
        <f>IF(NOT(ISNUMBER(A108)),"",IF(COUNTIFS($A$2:$A$200,"&gt;"&amp;EDATE(A108,-12),$A$2:$A$200,"&lt;="&amp;A108)&lt;12,"",SUMIFS($B$2:$B$200,$A$2:$A$200,"&gt;"&amp;EDATE(A108,-12),$A$2:$A$200,"&lt;="&amp;A108)))</f>
        <v/>
      </c>
    </row>
    <row r="109">
      <c r="A109" s="8" t="n"/>
      <c r="B109" s="9" t="n"/>
      <c r="C109" s="3">
        <f>IF(NOT(ISNUMBER(A109)),"",IF(COUNTIFS($A$2:$A$200,"&gt;"&amp;EDATE(A109,-12),$A$2:$A$200,"&lt;="&amp;A109)&lt;12,"",SUMIFS($B$2:$B$200,$A$2:$A$200,"&gt;"&amp;EDATE(A109,-12),$A$2:$A$200,"&lt;="&amp;A109)))</f>
        <v/>
      </c>
    </row>
    <row r="110">
      <c r="A110" s="8" t="n"/>
      <c r="B110" s="9" t="n"/>
      <c r="C110" s="3">
        <f>IF(NOT(ISNUMBER(A110)),"",IF(COUNTIFS($A$2:$A$200,"&gt;"&amp;EDATE(A110,-12),$A$2:$A$200,"&lt;="&amp;A110)&lt;12,"",SUMIFS($B$2:$B$200,$A$2:$A$200,"&gt;"&amp;EDATE(A110,-12),$A$2:$A$200,"&lt;="&amp;A110)))</f>
        <v/>
      </c>
    </row>
    <row r="111">
      <c r="A111" s="8" t="n"/>
      <c r="B111" s="9" t="n"/>
      <c r="C111" s="3">
        <f>IF(NOT(ISNUMBER(A111)),"",IF(COUNTIFS($A$2:$A$200,"&gt;"&amp;EDATE(A111,-12),$A$2:$A$200,"&lt;="&amp;A111)&lt;12,"",SUMIFS($B$2:$B$200,$A$2:$A$200,"&gt;"&amp;EDATE(A111,-12),$A$2:$A$200,"&lt;="&amp;A111)))</f>
        <v/>
      </c>
    </row>
    <row r="112">
      <c r="A112" s="8" t="n"/>
      <c r="B112" s="9" t="n"/>
      <c r="C112" s="3">
        <f>IF(NOT(ISNUMBER(A112)),"",IF(COUNTIFS($A$2:$A$200,"&gt;"&amp;EDATE(A112,-12),$A$2:$A$200,"&lt;="&amp;A112)&lt;12,"",SUMIFS($B$2:$B$200,$A$2:$A$200,"&gt;"&amp;EDATE(A112,-12),$A$2:$A$200,"&lt;="&amp;A112)))</f>
        <v/>
      </c>
    </row>
    <row r="113">
      <c r="A113" s="8" t="n"/>
      <c r="B113" s="9" t="n"/>
      <c r="C113" s="3">
        <f>IF(NOT(ISNUMBER(A113)),"",IF(COUNTIFS($A$2:$A$200,"&gt;"&amp;EDATE(A113,-12),$A$2:$A$200,"&lt;="&amp;A113)&lt;12,"",SUMIFS($B$2:$B$200,$A$2:$A$200,"&gt;"&amp;EDATE(A113,-12),$A$2:$A$200,"&lt;="&amp;A113)))</f>
        <v/>
      </c>
    </row>
    <row r="114">
      <c r="A114" s="8" t="n"/>
      <c r="B114" s="9" t="n"/>
      <c r="C114" s="3">
        <f>IF(NOT(ISNUMBER(A114)),"",IF(COUNTIFS($A$2:$A$200,"&gt;"&amp;EDATE(A114,-12),$A$2:$A$200,"&lt;="&amp;A114)&lt;12,"",SUMIFS($B$2:$B$200,$A$2:$A$200,"&gt;"&amp;EDATE(A114,-12),$A$2:$A$200,"&lt;="&amp;A114)))</f>
        <v/>
      </c>
    </row>
    <row r="115">
      <c r="A115" s="8" t="n"/>
      <c r="B115" s="9" t="n"/>
      <c r="C115" s="3">
        <f>IF(NOT(ISNUMBER(A115)),"",IF(COUNTIFS($A$2:$A$200,"&gt;"&amp;EDATE(A115,-12),$A$2:$A$200,"&lt;="&amp;A115)&lt;12,"",SUMIFS($B$2:$B$200,$A$2:$A$200,"&gt;"&amp;EDATE(A115,-12),$A$2:$A$200,"&lt;="&amp;A115)))</f>
        <v/>
      </c>
    </row>
    <row r="116">
      <c r="A116" s="8" t="n"/>
      <c r="B116" s="9" t="n"/>
      <c r="C116" s="3">
        <f>IF(NOT(ISNUMBER(A116)),"",IF(COUNTIFS($A$2:$A$200,"&gt;"&amp;EDATE(A116,-12),$A$2:$A$200,"&lt;="&amp;A116)&lt;12,"",SUMIFS($B$2:$B$200,$A$2:$A$200,"&gt;"&amp;EDATE(A116,-12),$A$2:$A$200,"&lt;="&amp;A116)))</f>
        <v/>
      </c>
    </row>
    <row r="117">
      <c r="A117" s="8" t="n"/>
      <c r="B117" s="9" t="n"/>
      <c r="C117" s="3">
        <f>IF(NOT(ISNUMBER(A117)),"",IF(COUNTIFS($A$2:$A$200,"&gt;"&amp;EDATE(A117,-12),$A$2:$A$200,"&lt;="&amp;A117)&lt;12,"",SUMIFS($B$2:$B$200,$A$2:$A$200,"&gt;"&amp;EDATE(A117,-12),$A$2:$A$200,"&lt;="&amp;A117)))</f>
        <v/>
      </c>
    </row>
    <row r="118">
      <c r="A118" s="8" t="n"/>
      <c r="B118" s="9" t="n"/>
      <c r="C118" s="3">
        <f>IF(NOT(ISNUMBER(A118)),"",IF(COUNTIFS($A$2:$A$200,"&gt;"&amp;EDATE(A118,-12),$A$2:$A$200,"&lt;="&amp;A118)&lt;12,"",SUMIFS($B$2:$B$200,$A$2:$A$200,"&gt;"&amp;EDATE(A118,-12),$A$2:$A$200,"&lt;="&amp;A118)))</f>
        <v/>
      </c>
    </row>
    <row r="119">
      <c r="A119" s="8" t="n"/>
      <c r="B119" s="9" t="n"/>
      <c r="C119" s="3">
        <f>IF(NOT(ISNUMBER(A119)),"",IF(COUNTIFS($A$2:$A$200,"&gt;"&amp;EDATE(A119,-12),$A$2:$A$200,"&lt;="&amp;A119)&lt;12,"",SUMIFS($B$2:$B$200,$A$2:$A$200,"&gt;"&amp;EDATE(A119,-12),$A$2:$A$200,"&lt;="&amp;A119)))</f>
        <v/>
      </c>
    </row>
    <row r="120">
      <c r="A120" s="8" t="n"/>
      <c r="B120" s="9" t="n"/>
      <c r="C120" s="3">
        <f>IF(NOT(ISNUMBER(A120)),"",IF(COUNTIFS($A$2:$A$200,"&gt;"&amp;EDATE(A120,-12),$A$2:$A$200,"&lt;="&amp;A120)&lt;12,"",SUMIFS($B$2:$B$200,$A$2:$A$200,"&gt;"&amp;EDATE(A120,-12),$A$2:$A$200,"&lt;="&amp;A120)))</f>
        <v/>
      </c>
    </row>
    <row r="121">
      <c r="A121" s="8" t="n"/>
      <c r="B121" s="9" t="n"/>
      <c r="C121" s="3">
        <f>IF(NOT(ISNUMBER(A121)),"",IF(COUNTIFS($A$2:$A$200,"&gt;"&amp;EDATE(A121,-12),$A$2:$A$200,"&lt;="&amp;A121)&lt;12,"",SUMIFS($B$2:$B$200,$A$2:$A$200,"&gt;"&amp;EDATE(A121,-12),$A$2:$A$200,"&lt;="&amp;A121)))</f>
        <v/>
      </c>
    </row>
    <row r="122">
      <c r="A122" s="8" t="n"/>
      <c r="B122" s="9" t="n"/>
      <c r="C122" s="3">
        <f>IF(NOT(ISNUMBER(A122)),"",IF(COUNTIFS($A$2:$A$200,"&gt;"&amp;EDATE(A122,-12),$A$2:$A$200,"&lt;="&amp;A122)&lt;12,"",SUMIFS($B$2:$B$200,$A$2:$A$200,"&gt;"&amp;EDATE(A122,-12),$A$2:$A$200,"&lt;="&amp;A122)))</f>
        <v/>
      </c>
    </row>
    <row r="123">
      <c r="A123" s="8" t="n"/>
      <c r="B123" s="9" t="n"/>
      <c r="C123" s="3">
        <f>IF(NOT(ISNUMBER(A123)),"",IF(COUNTIFS($A$2:$A$200,"&gt;"&amp;EDATE(A123,-12),$A$2:$A$200,"&lt;="&amp;A123)&lt;12,"",SUMIFS($B$2:$B$200,$A$2:$A$200,"&gt;"&amp;EDATE(A123,-12),$A$2:$A$200,"&lt;="&amp;A123)))</f>
        <v/>
      </c>
    </row>
    <row r="124">
      <c r="A124" s="8" t="n"/>
      <c r="B124" s="9" t="n"/>
      <c r="C124" s="3">
        <f>IF(NOT(ISNUMBER(A124)),"",IF(COUNTIFS($A$2:$A$200,"&gt;"&amp;EDATE(A124,-12),$A$2:$A$200,"&lt;="&amp;A124)&lt;12,"",SUMIFS($B$2:$B$200,$A$2:$A$200,"&gt;"&amp;EDATE(A124,-12),$A$2:$A$200,"&lt;="&amp;A124)))</f>
        <v/>
      </c>
    </row>
    <row r="125">
      <c r="A125" s="8" t="n"/>
      <c r="B125" s="9" t="n"/>
      <c r="C125" s="3">
        <f>IF(NOT(ISNUMBER(A125)),"",IF(COUNTIFS($A$2:$A$200,"&gt;"&amp;EDATE(A125,-12),$A$2:$A$200,"&lt;="&amp;A125)&lt;12,"",SUMIFS($B$2:$B$200,$A$2:$A$200,"&gt;"&amp;EDATE(A125,-12),$A$2:$A$200,"&lt;="&amp;A125)))</f>
        <v/>
      </c>
    </row>
    <row r="126">
      <c r="A126" s="8" t="n"/>
      <c r="B126" s="9" t="n"/>
      <c r="C126" s="3">
        <f>IF(NOT(ISNUMBER(A126)),"",IF(COUNTIFS($A$2:$A$200,"&gt;"&amp;EDATE(A126,-12),$A$2:$A$200,"&lt;="&amp;A126)&lt;12,"",SUMIFS($B$2:$B$200,$A$2:$A$200,"&gt;"&amp;EDATE(A126,-12),$A$2:$A$200,"&lt;="&amp;A126)))</f>
        <v/>
      </c>
    </row>
    <row r="127">
      <c r="A127" s="8" t="n"/>
      <c r="B127" s="9" t="n"/>
      <c r="C127" s="3">
        <f>IF(NOT(ISNUMBER(A127)),"",IF(COUNTIFS($A$2:$A$200,"&gt;"&amp;EDATE(A127,-12),$A$2:$A$200,"&lt;="&amp;A127)&lt;12,"",SUMIFS($B$2:$B$200,$A$2:$A$200,"&gt;"&amp;EDATE(A127,-12),$A$2:$A$200,"&lt;="&amp;A127)))</f>
        <v/>
      </c>
    </row>
    <row r="128">
      <c r="A128" s="8" t="n"/>
      <c r="B128" s="9" t="n"/>
      <c r="C128" s="3">
        <f>IF(NOT(ISNUMBER(A128)),"",IF(COUNTIFS($A$2:$A$200,"&gt;"&amp;EDATE(A128,-12),$A$2:$A$200,"&lt;="&amp;A128)&lt;12,"",SUMIFS($B$2:$B$200,$A$2:$A$200,"&gt;"&amp;EDATE(A128,-12),$A$2:$A$200,"&lt;="&amp;A128)))</f>
        <v/>
      </c>
    </row>
    <row r="129">
      <c r="A129" s="8" t="n"/>
      <c r="B129" s="9" t="n"/>
      <c r="C129" s="3">
        <f>IF(NOT(ISNUMBER(A129)),"",IF(COUNTIFS($A$2:$A$200,"&gt;"&amp;EDATE(A129,-12),$A$2:$A$200,"&lt;="&amp;A129)&lt;12,"",SUMIFS($B$2:$B$200,$A$2:$A$200,"&gt;"&amp;EDATE(A129,-12),$A$2:$A$200,"&lt;="&amp;A129)))</f>
        <v/>
      </c>
    </row>
    <row r="130">
      <c r="A130" s="8" t="n"/>
      <c r="B130" s="9" t="n"/>
      <c r="C130" s="3">
        <f>IF(NOT(ISNUMBER(A130)),"",IF(COUNTIFS($A$2:$A$200,"&gt;"&amp;EDATE(A130,-12),$A$2:$A$200,"&lt;="&amp;A130)&lt;12,"",SUMIFS($B$2:$B$200,$A$2:$A$200,"&gt;"&amp;EDATE(A130,-12),$A$2:$A$200,"&lt;="&amp;A130)))</f>
        <v/>
      </c>
    </row>
    <row r="131">
      <c r="A131" s="8" t="n"/>
      <c r="B131" s="9" t="n"/>
      <c r="C131" s="3">
        <f>IF(NOT(ISNUMBER(A131)),"",IF(COUNTIFS($A$2:$A$200,"&gt;"&amp;EDATE(A131,-12),$A$2:$A$200,"&lt;="&amp;A131)&lt;12,"",SUMIFS($B$2:$B$200,$A$2:$A$200,"&gt;"&amp;EDATE(A131,-12),$A$2:$A$200,"&lt;="&amp;A131)))</f>
        <v/>
      </c>
    </row>
    <row r="132">
      <c r="A132" s="8" t="n"/>
      <c r="B132" s="9" t="n"/>
      <c r="C132" s="3">
        <f>IF(NOT(ISNUMBER(A132)),"",IF(COUNTIFS($A$2:$A$200,"&gt;"&amp;EDATE(A132,-12),$A$2:$A$200,"&lt;="&amp;A132)&lt;12,"",SUMIFS($B$2:$B$200,$A$2:$A$200,"&gt;"&amp;EDATE(A132,-12),$A$2:$A$200,"&lt;="&amp;A132)))</f>
        <v/>
      </c>
    </row>
    <row r="133">
      <c r="A133" s="8" t="n"/>
      <c r="B133" s="9" t="n"/>
      <c r="C133" s="3">
        <f>IF(NOT(ISNUMBER(A133)),"",IF(COUNTIFS($A$2:$A$200,"&gt;"&amp;EDATE(A133,-12),$A$2:$A$200,"&lt;="&amp;A133)&lt;12,"",SUMIFS($B$2:$B$200,$A$2:$A$200,"&gt;"&amp;EDATE(A133,-12),$A$2:$A$200,"&lt;="&amp;A133)))</f>
        <v/>
      </c>
    </row>
    <row r="134">
      <c r="A134" s="8" t="n"/>
      <c r="B134" s="9" t="n"/>
      <c r="C134" s="3">
        <f>IF(NOT(ISNUMBER(A134)),"",IF(COUNTIFS($A$2:$A$200,"&gt;"&amp;EDATE(A134,-12),$A$2:$A$200,"&lt;="&amp;A134)&lt;12,"",SUMIFS($B$2:$B$200,$A$2:$A$200,"&gt;"&amp;EDATE(A134,-12),$A$2:$A$200,"&lt;="&amp;A134)))</f>
        <v/>
      </c>
    </row>
    <row r="135">
      <c r="A135" s="8" t="n"/>
      <c r="B135" s="9" t="n"/>
      <c r="C135" s="3">
        <f>IF(NOT(ISNUMBER(A135)),"",IF(COUNTIFS($A$2:$A$200,"&gt;"&amp;EDATE(A135,-12),$A$2:$A$200,"&lt;="&amp;A135)&lt;12,"",SUMIFS($B$2:$B$200,$A$2:$A$200,"&gt;"&amp;EDATE(A135,-12),$A$2:$A$200,"&lt;="&amp;A135)))</f>
        <v/>
      </c>
    </row>
    <row r="136">
      <c r="A136" s="8" t="n"/>
      <c r="B136" s="9" t="n"/>
      <c r="C136" s="3">
        <f>IF(NOT(ISNUMBER(A136)),"",IF(COUNTIFS($A$2:$A$200,"&gt;"&amp;EDATE(A136,-12),$A$2:$A$200,"&lt;="&amp;A136)&lt;12,"",SUMIFS($B$2:$B$200,$A$2:$A$200,"&gt;"&amp;EDATE(A136,-12),$A$2:$A$200,"&lt;="&amp;A136)))</f>
        <v/>
      </c>
    </row>
    <row r="137">
      <c r="A137" s="8" t="n"/>
      <c r="B137" s="9" t="n"/>
      <c r="C137" s="3">
        <f>IF(NOT(ISNUMBER(A137)),"",IF(COUNTIFS($A$2:$A$200,"&gt;"&amp;EDATE(A137,-12),$A$2:$A$200,"&lt;="&amp;A137)&lt;12,"",SUMIFS($B$2:$B$200,$A$2:$A$200,"&gt;"&amp;EDATE(A137,-12),$A$2:$A$200,"&lt;="&amp;A137)))</f>
        <v/>
      </c>
    </row>
    <row r="138">
      <c r="A138" s="8" t="n"/>
      <c r="B138" s="9" t="n"/>
      <c r="C138" s="3">
        <f>IF(NOT(ISNUMBER(A138)),"",IF(COUNTIFS($A$2:$A$200,"&gt;"&amp;EDATE(A138,-12),$A$2:$A$200,"&lt;="&amp;A138)&lt;12,"",SUMIFS($B$2:$B$200,$A$2:$A$200,"&gt;"&amp;EDATE(A138,-12),$A$2:$A$200,"&lt;="&amp;A138)))</f>
        <v/>
      </c>
    </row>
    <row r="139">
      <c r="A139" s="8" t="n"/>
      <c r="B139" s="9" t="n"/>
      <c r="C139" s="3">
        <f>IF(NOT(ISNUMBER(A139)),"",IF(COUNTIFS($A$2:$A$200,"&gt;"&amp;EDATE(A139,-12),$A$2:$A$200,"&lt;="&amp;A139)&lt;12,"",SUMIFS($B$2:$B$200,$A$2:$A$200,"&gt;"&amp;EDATE(A139,-12),$A$2:$A$200,"&lt;="&amp;A139)))</f>
        <v/>
      </c>
    </row>
    <row r="140">
      <c r="A140" s="8" t="n"/>
      <c r="B140" s="9" t="n"/>
      <c r="C140" s="3">
        <f>IF(NOT(ISNUMBER(A140)),"",IF(COUNTIFS($A$2:$A$200,"&gt;"&amp;EDATE(A140,-12),$A$2:$A$200,"&lt;="&amp;A140)&lt;12,"",SUMIFS($B$2:$B$200,$A$2:$A$200,"&gt;"&amp;EDATE(A140,-12),$A$2:$A$200,"&lt;="&amp;A140)))</f>
        <v/>
      </c>
    </row>
    <row r="141">
      <c r="A141" s="8" t="n"/>
      <c r="B141" s="9" t="n"/>
      <c r="C141" s="3">
        <f>IF(NOT(ISNUMBER(A141)),"",IF(COUNTIFS($A$2:$A$200,"&gt;"&amp;EDATE(A141,-12),$A$2:$A$200,"&lt;="&amp;A141)&lt;12,"",SUMIFS($B$2:$B$200,$A$2:$A$200,"&gt;"&amp;EDATE(A141,-12),$A$2:$A$200,"&lt;="&amp;A141)))</f>
        <v/>
      </c>
    </row>
    <row r="142">
      <c r="A142" s="8" t="n"/>
      <c r="B142" s="9" t="n"/>
      <c r="C142" s="3">
        <f>IF(NOT(ISNUMBER(A142)),"",IF(COUNTIFS($A$2:$A$200,"&gt;"&amp;EDATE(A142,-12),$A$2:$A$200,"&lt;="&amp;A142)&lt;12,"",SUMIFS($B$2:$B$200,$A$2:$A$200,"&gt;"&amp;EDATE(A142,-12),$A$2:$A$200,"&lt;="&amp;A142)))</f>
        <v/>
      </c>
    </row>
    <row r="143">
      <c r="A143" s="8" t="n"/>
      <c r="B143" s="9" t="n"/>
      <c r="C143" s="3">
        <f>IF(NOT(ISNUMBER(A143)),"",IF(COUNTIFS($A$2:$A$200,"&gt;"&amp;EDATE(A143,-12),$A$2:$A$200,"&lt;="&amp;A143)&lt;12,"",SUMIFS($B$2:$B$200,$A$2:$A$200,"&gt;"&amp;EDATE(A143,-12),$A$2:$A$200,"&lt;="&amp;A143)))</f>
        <v/>
      </c>
    </row>
    <row r="144">
      <c r="A144" s="8" t="n"/>
      <c r="B144" s="9" t="n"/>
      <c r="C144" s="3">
        <f>IF(NOT(ISNUMBER(A144)),"",IF(COUNTIFS($A$2:$A$200,"&gt;"&amp;EDATE(A144,-12),$A$2:$A$200,"&lt;="&amp;A144)&lt;12,"",SUMIFS($B$2:$B$200,$A$2:$A$200,"&gt;"&amp;EDATE(A144,-12),$A$2:$A$200,"&lt;="&amp;A144)))</f>
        <v/>
      </c>
    </row>
    <row r="145">
      <c r="A145" s="8" t="n"/>
      <c r="B145" s="9" t="n"/>
      <c r="C145" s="3">
        <f>IF(NOT(ISNUMBER(A145)),"",IF(COUNTIFS($A$2:$A$200,"&gt;"&amp;EDATE(A145,-12),$A$2:$A$200,"&lt;="&amp;A145)&lt;12,"",SUMIFS($B$2:$B$200,$A$2:$A$200,"&gt;"&amp;EDATE(A145,-12),$A$2:$A$200,"&lt;="&amp;A145)))</f>
        <v/>
      </c>
    </row>
    <row r="146">
      <c r="A146" s="8" t="n"/>
      <c r="B146" s="9" t="n"/>
      <c r="C146" s="3">
        <f>IF(NOT(ISNUMBER(A146)),"",IF(COUNTIFS($A$2:$A$200,"&gt;"&amp;EDATE(A146,-12),$A$2:$A$200,"&lt;="&amp;A146)&lt;12,"",SUMIFS($B$2:$B$200,$A$2:$A$200,"&gt;"&amp;EDATE(A146,-12),$A$2:$A$200,"&lt;="&amp;A146)))</f>
        <v/>
      </c>
    </row>
    <row r="147">
      <c r="A147" s="8" t="n"/>
      <c r="B147" s="9" t="n"/>
      <c r="C147" s="3">
        <f>IF(NOT(ISNUMBER(A147)),"",IF(COUNTIFS($A$2:$A$200,"&gt;"&amp;EDATE(A147,-12),$A$2:$A$200,"&lt;="&amp;A147)&lt;12,"",SUMIFS($B$2:$B$200,$A$2:$A$200,"&gt;"&amp;EDATE(A147,-12),$A$2:$A$200,"&lt;="&amp;A147)))</f>
        <v/>
      </c>
    </row>
    <row r="148">
      <c r="A148" s="8" t="n"/>
      <c r="B148" s="9" t="n"/>
      <c r="C148" s="3">
        <f>IF(NOT(ISNUMBER(A148)),"",IF(COUNTIFS($A$2:$A$200,"&gt;"&amp;EDATE(A148,-12),$A$2:$A$200,"&lt;="&amp;A148)&lt;12,"",SUMIFS($B$2:$B$200,$A$2:$A$200,"&gt;"&amp;EDATE(A148,-12),$A$2:$A$200,"&lt;="&amp;A148)))</f>
        <v/>
      </c>
    </row>
    <row r="149">
      <c r="A149" s="8" t="n"/>
      <c r="B149" s="9" t="n"/>
      <c r="C149" s="3">
        <f>IF(NOT(ISNUMBER(A149)),"",IF(COUNTIFS($A$2:$A$200,"&gt;"&amp;EDATE(A149,-12),$A$2:$A$200,"&lt;="&amp;A149)&lt;12,"",SUMIFS($B$2:$B$200,$A$2:$A$200,"&gt;"&amp;EDATE(A149,-12),$A$2:$A$200,"&lt;="&amp;A149)))</f>
        <v/>
      </c>
    </row>
    <row r="150">
      <c r="A150" s="8" t="n"/>
      <c r="B150" s="9" t="n"/>
      <c r="C150" s="3">
        <f>IF(NOT(ISNUMBER(A150)),"",IF(COUNTIFS($A$2:$A$200,"&gt;"&amp;EDATE(A150,-12),$A$2:$A$200,"&lt;="&amp;A150)&lt;12,"",SUMIFS($B$2:$B$200,$A$2:$A$200,"&gt;"&amp;EDATE(A150,-12),$A$2:$A$200,"&lt;="&amp;A150)))</f>
        <v/>
      </c>
    </row>
    <row r="151">
      <c r="A151" s="8" t="n"/>
      <c r="B151" s="9" t="n"/>
      <c r="C151" s="3">
        <f>IF(NOT(ISNUMBER(A151)),"",IF(COUNTIFS($A$2:$A$200,"&gt;"&amp;EDATE(A151,-12),$A$2:$A$200,"&lt;="&amp;A151)&lt;12,"",SUMIFS($B$2:$B$200,$A$2:$A$200,"&gt;"&amp;EDATE(A151,-12),$A$2:$A$200,"&lt;="&amp;A151)))</f>
        <v/>
      </c>
    </row>
    <row r="152">
      <c r="A152" s="8" t="n"/>
      <c r="B152" s="9" t="n"/>
      <c r="C152" s="3">
        <f>IF(NOT(ISNUMBER(A152)),"",IF(COUNTIFS($A$2:$A$200,"&gt;"&amp;EDATE(A152,-12),$A$2:$A$200,"&lt;="&amp;A152)&lt;12,"",SUMIFS($B$2:$B$200,$A$2:$A$200,"&gt;"&amp;EDATE(A152,-12),$A$2:$A$200,"&lt;="&amp;A152)))</f>
        <v/>
      </c>
    </row>
    <row r="153">
      <c r="A153" s="8" t="n"/>
      <c r="B153" s="9" t="n"/>
      <c r="C153" s="3">
        <f>IF(NOT(ISNUMBER(A153)),"",IF(COUNTIFS($A$2:$A$200,"&gt;"&amp;EDATE(A153,-12),$A$2:$A$200,"&lt;="&amp;A153)&lt;12,"",SUMIFS($B$2:$B$200,$A$2:$A$200,"&gt;"&amp;EDATE(A153,-12),$A$2:$A$200,"&lt;="&amp;A153)))</f>
        <v/>
      </c>
    </row>
    <row r="154">
      <c r="A154" s="8" t="n"/>
      <c r="B154" s="9" t="n"/>
      <c r="C154" s="3">
        <f>IF(NOT(ISNUMBER(A154)),"",IF(COUNTIFS($A$2:$A$200,"&gt;"&amp;EDATE(A154,-12),$A$2:$A$200,"&lt;="&amp;A154)&lt;12,"",SUMIFS($B$2:$B$200,$A$2:$A$200,"&gt;"&amp;EDATE(A154,-12),$A$2:$A$200,"&lt;="&amp;A154)))</f>
        <v/>
      </c>
    </row>
    <row r="155">
      <c r="A155" s="8" t="n"/>
      <c r="B155" s="9" t="n"/>
      <c r="C155" s="3">
        <f>IF(NOT(ISNUMBER(A155)),"",IF(COUNTIFS($A$2:$A$200,"&gt;"&amp;EDATE(A155,-12),$A$2:$A$200,"&lt;="&amp;A155)&lt;12,"",SUMIFS($B$2:$B$200,$A$2:$A$200,"&gt;"&amp;EDATE(A155,-12),$A$2:$A$200,"&lt;="&amp;A155)))</f>
        <v/>
      </c>
    </row>
    <row r="156">
      <c r="A156" s="8" t="n"/>
      <c r="B156" s="9" t="n"/>
      <c r="C156" s="3">
        <f>IF(NOT(ISNUMBER(A156)),"",IF(COUNTIFS($A$2:$A$200,"&gt;"&amp;EDATE(A156,-12),$A$2:$A$200,"&lt;="&amp;A156)&lt;12,"",SUMIFS($B$2:$B$200,$A$2:$A$200,"&gt;"&amp;EDATE(A156,-12),$A$2:$A$200,"&lt;="&amp;A156)))</f>
        <v/>
      </c>
    </row>
    <row r="157">
      <c r="A157" s="8" t="n"/>
      <c r="B157" s="9" t="n"/>
      <c r="C157" s="3">
        <f>IF(NOT(ISNUMBER(A157)),"",IF(COUNTIFS($A$2:$A$200,"&gt;"&amp;EDATE(A157,-12),$A$2:$A$200,"&lt;="&amp;A157)&lt;12,"",SUMIFS($B$2:$B$200,$A$2:$A$200,"&gt;"&amp;EDATE(A157,-12),$A$2:$A$200,"&lt;="&amp;A157)))</f>
        <v/>
      </c>
    </row>
    <row r="158">
      <c r="A158" s="8" t="n"/>
      <c r="B158" s="9" t="n"/>
      <c r="C158" s="3">
        <f>IF(NOT(ISNUMBER(A158)),"",IF(COUNTIFS($A$2:$A$200,"&gt;"&amp;EDATE(A158,-12),$A$2:$A$200,"&lt;="&amp;A158)&lt;12,"",SUMIFS($B$2:$B$200,$A$2:$A$200,"&gt;"&amp;EDATE(A158,-12),$A$2:$A$200,"&lt;="&amp;A158)))</f>
        <v/>
      </c>
    </row>
    <row r="159">
      <c r="A159" s="8" t="n"/>
      <c r="B159" s="9" t="n"/>
      <c r="C159" s="3">
        <f>IF(NOT(ISNUMBER(A159)),"",IF(COUNTIFS($A$2:$A$200,"&gt;"&amp;EDATE(A159,-12),$A$2:$A$200,"&lt;="&amp;A159)&lt;12,"",SUMIFS($B$2:$B$200,$A$2:$A$200,"&gt;"&amp;EDATE(A159,-12),$A$2:$A$200,"&lt;="&amp;A159)))</f>
        <v/>
      </c>
    </row>
    <row r="160">
      <c r="A160" s="8" t="n"/>
      <c r="B160" s="9" t="n"/>
      <c r="C160" s="3">
        <f>IF(NOT(ISNUMBER(A160)),"",IF(COUNTIFS($A$2:$A$200,"&gt;"&amp;EDATE(A160,-12),$A$2:$A$200,"&lt;="&amp;A160)&lt;12,"",SUMIFS($B$2:$B$200,$A$2:$A$200,"&gt;"&amp;EDATE(A160,-12),$A$2:$A$200,"&lt;="&amp;A160)))</f>
        <v/>
      </c>
    </row>
    <row r="161">
      <c r="A161" s="8" t="n"/>
      <c r="B161" s="9" t="n"/>
      <c r="C161" s="3">
        <f>IF(NOT(ISNUMBER(A161)),"",IF(COUNTIFS($A$2:$A$200,"&gt;"&amp;EDATE(A161,-12),$A$2:$A$200,"&lt;="&amp;A161)&lt;12,"",SUMIFS($B$2:$B$200,$A$2:$A$200,"&gt;"&amp;EDATE(A161,-12),$A$2:$A$200,"&lt;="&amp;A161)))</f>
        <v/>
      </c>
    </row>
    <row r="162">
      <c r="A162" s="8" t="n"/>
      <c r="B162" s="9" t="n"/>
      <c r="C162" s="3">
        <f>IF(NOT(ISNUMBER(A162)),"",IF(COUNTIFS($A$2:$A$200,"&gt;"&amp;EDATE(A162,-12),$A$2:$A$200,"&lt;="&amp;A162)&lt;12,"",SUMIFS($B$2:$B$200,$A$2:$A$200,"&gt;"&amp;EDATE(A162,-12),$A$2:$A$200,"&lt;="&amp;A162)))</f>
        <v/>
      </c>
    </row>
    <row r="163">
      <c r="A163" s="8" t="n"/>
      <c r="B163" s="9" t="n"/>
      <c r="C163" s="3">
        <f>IF(NOT(ISNUMBER(A163)),"",IF(COUNTIFS($A$2:$A$200,"&gt;"&amp;EDATE(A163,-12),$A$2:$A$200,"&lt;="&amp;A163)&lt;12,"",SUMIFS($B$2:$B$200,$A$2:$A$200,"&gt;"&amp;EDATE(A163,-12),$A$2:$A$200,"&lt;="&amp;A163)))</f>
        <v/>
      </c>
    </row>
    <row r="164">
      <c r="A164" s="8" t="n"/>
      <c r="B164" s="9" t="n"/>
      <c r="C164" s="3">
        <f>IF(NOT(ISNUMBER(A164)),"",IF(COUNTIFS($A$2:$A$200,"&gt;"&amp;EDATE(A164,-12),$A$2:$A$200,"&lt;="&amp;A164)&lt;12,"",SUMIFS($B$2:$B$200,$A$2:$A$200,"&gt;"&amp;EDATE(A164,-12),$A$2:$A$200,"&lt;="&amp;A164)))</f>
        <v/>
      </c>
    </row>
    <row r="165">
      <c r="A165" s="8" t="n"/>
      <c r="B165" s="9" t="n"/>
      <c r="C165" s="3">
        <f>IF(NOT(ISNUMBER(A165)),"",IF(COUNTIFS($A$2:$A$200,"&gt;"&amp;EDATE(A165,-12),$A$2:$A$200,"&lt;="&amp;A165)&lt;12,"",SUMIFS($B$2:$B$200,$A$2:$A$200,"&gt;"&amp;EDATE(A165,-12),$A$2:$A$200,"&lt;="&amp;A165)))</f>
        <v/>
      </c>
    </row>
    <row r="166">
      <c r="A166" s="8" t="n"/>
      <c r="B166" s="9" t="n"/>
      <c r="C166" s="3">
        <f>IF(NOT(ISNUMBER(A166)),"",IF(COUNTIFS($A$2:$A$200,"&gt;"&amp;EDATE(A166,-12),$A$2:$A$200,"&lt;="&amp;A166)&lt;12,"",SUMIFS($B$2:$B$200,$A$2:$A$200,"&gt;"&amp;EDATE(A166,-12),$A$2:$A$200,"&lt;="&amp;A166)))</f>
        <v/>
      </c>
    </row>
    <row r="167">
      <c r="A167" s="8" t="n"/>
      <c r="B167" s="9" t="n"/>
      <c r="C167" s="3">
        <f>IF(NOT(ISNUMBER(A167)),"",IF(COUNTIFS($A$2:$A$200,"&gt;"&amp;EDATE(A167,-12),$A$2:$A$200,"&lt;="&amp;A167)&lt;12,"",SUMIFS($B$2:$B$200,$A$2:$A$200,"&gt;"&amp;EDATE(A167,-12),$A$2:$A$200,"&lt;="&amp;A167)))</f>
        <v/>
      </c>
    </row>
    <row r="168">
      <c r="A168" s="8" t="n"/>
      <c r="B168" s="9" t="n"/>
      <c r="C168" s="3">
        <f>IF(NOT(ISNUMBER(A168)),"",IF(COUNTIFS($A$2:$A$200,"&gt;"&amp;EDATE(A168,-12),$A$2:$A$200,"&lt;="&amp;A168)&lt;12,"",SUMIFS($B$2:$B$200,$A$2:$A$200,"&gt;"&amp;EDATE(A168,-12),$A$2:$A$200,"&lt;="&amp;A168)))</f>
        <v/>
      </c>
    </row>
    <row r="169">
      <c r="A169" s="8" t="n"/>
      <c r="B169" s="9" t="n"/>
      <c r="C169" s="3">
        <f>IF(NOT(ISNUMBER(A169)),"",IF(COUNTIFS($A$2:$A$200,"&gt;"&amp;EDATE(A169,-12),$A$2:$A$200,"&lt;="&amp;A169)&lt;12,"",SUMIFS($B$2:$B$200,$A$2:$A$200,"&gt;"&amp;EDATE(A169,-12),$A$2:$A$200,"&lt;="&amp;A169)))</f>
        <v/>
      </c>
    </row>
    <row r="170">
      <c r="A170" s="8" t="n"/>
      <c r="B170" s="9" t="n"/>
      <c r="C170" s="3">
        <f>IF(NOT(ISNUMBER(A170)),"",IF(COUNTIFS($A$2:$A$200,"&gt;"&amp;EDATE(A170,-12),$A$2:$A$200,"&lt;="&amp;A170)&lt;12,"",SUMIFS($B$2:$B$200,$A$2:$A$200,"&gt;"&amp;EDATE(A170,-12),$A$2:$A$200,"&lt;="&amp;A170)))</f>
        <v/>
      </c>
    </row>
    <row r="171">
      <c r="A171" s="8" t="n"/>
      <c r="B171" s="9" t="n"/>
      <c r="C171" s="3">
        <f>IF(NOT(ISNUMBER(A171)),"",IF(COUNTIFS($A$2:$A$200,"&gt;"&amp;EDATE(A171,-12),$A$2:$A$200,"&lt;="&amp;A171)&lt;12,"",SUMIFS($B$2:$B$200,$A$2:$A$200,"&gt;"&amp;EDATE(A171,-12),$A$2:$A$200,"&lt;="&amp;A171)))</f>
        <v/>
      </c>
    </row>
    <row r="172">
      <c r="A172" s="8" t="n"/>
      <c r="B172" s="9" t="n"/>
      <c r="C172" s="3">
        <f>IF(NOT(ISNUMBER(A172)),"",IF(COUNTIFS($A$2:$A$200,"&gt;"&amp;EDATE(A172,-12),$A$2:$A$200,"&lt;="&amp;A172)&lt;12,"",SUMIFS($B$2:$B$200,$A$2:$A$200,"&gt;"&amp;EDATE(A172,-12),$A$2:$A$200,"&lt;="&amp;A172)))</f>
        <v/>
      </c>
    </row>
    <row r="173">
      <c r="A173" s="8" t="n"/>
      <c r="B173" s="9" t="n"/>
      <c r="C173" s="3">
        <f>IF(NOT(ISNUMBER(A173)),"",IF(COUNTIFS($A$2:$A$200,"&gt;"&amp;EDATE(A173,-12),$A$2:$A$200,"&lt;="&amp;A173)&lt;12,"",SUMIFS($B$2:$B$200,$A$2:$A$200,"&gt;"&amp;EDATE(A173,-12),$A$2:$A$200,"&lt;="&amp;A173)))</f>
        <v/>
      </c>
    </row>
    <row r="174">
      <c r="A174" s="8" t="n"/>
      <c r="B174" s="9" t="n"/>
      <c r="C174" s="3">
        <f>IF(NOT(ISNUMBER(A174)),"",IF(COUNTIFS($A$2:$A$200,"&gt;"&amp;EDATE(A174,-12),$A$2:$A$200,"&lt;="&amp;A174)&lt;12,"",SUMIFS($B$2:$B$200,$A$2:$A$200,"&gt;"&amp;EDATE(A174,-12),$A$2:$A$200,"&lt;="&amp;A174)))</f>
        <v/>
      </c>
    </row>
    <row r="175">
      <c r="A175" s="8" t="n"/>
      <c r="B175" s="9" t="n"/>
      <c r="C175" s="3">
        <f>IF(NOT(ISNUMBER(A175)),"",IF(COUNTIFS($A$2:$A$200,"&gt;"&amp;EDATE(A175,-12),$A$2:$A$200,"&lt;="&amp;A175)&lt;12,"",SUMIFS($B$2:$B$200,$A$2:$A$200,"&gt;"&amp;EDATE(A175,-12),$A$2:$A$200,"&lt;="&amp;A175)))</f>
        <v/>
      </c>
    </row>
    <row r="176">
      <c r="A176" s="8" t="n"/>
      <c r="B176" s="9" t="n"/>
      <c r="C176" s="3">
        <f>IF(NOT(ISNUMBER(A176)),"",IF(COUNTIFS($A$2:$A$200,"&gt;"&amp;EDATE(A176,-12),$A$2:$A$200,"&lt;="&amp;A176)&lt;12,"",SUMIFS($B$2:$B$200,$A$2:$A$200,"&gt;"&amp;EDATE(A176,-12),$A$2:$A$200,"&lt;="&amp;A176)))</f>
        <v/>
      </c>
    </row>
    <row r="177">
      <c r="A177" s="8" t="n"/>
      <c r="B177" s="9" t="n"/>
      <c r="C177" s="3">
        <f>IF(NOT(ISNUMBER(A177)),"",IF(COUNTIFS($A$2:$A$200,"&gt;"&amp;EDATE(A177,-12),$A$2:$A$200,"&lt;="&amp;A177)&lt;12,"",SUMIFS($B$2:$B$200,$A$2:$A$200,"&gt;"&amp;EDATE(A177,-12),$A$2:$A$200,"&lt;="&amp;A177)))</f>
        <v/>
      </c>
    </row>
    <row r="178">
      <c r="A178" s="8" t="n"/>
      <c r="B178" s="9" t="n"/>
      <c r="C178" s="3">
        <f>IF(NOT(ISNUMBER(A178)),"",IF(COUNTIFS($A$2:$A$200,"&gt;"&amp;EDATE(A178,-12),$A$2:$A$200,"&lt;="&amp;A178)&lt;12,"",SUMIFS($B$2:$B$200,$A$2:$A$200,"&gt;"&amp;EDATE(A178,-12),$A$2:$A$200,"&lt;="&amp;A178)))</f>
        <v/>
      </c>
    </row>
    <row r="179">
      <c r="A179" s="8" t="n"/>
      <c r="B179" s="9" t="n"/>
      <c r="C179" s="3">
        <f>IF(NOT(ISNUMBER(A179)),"",IF(COUNTIFS($A$2:$A$200,"&gt;"&amp;EDATE(A179,-12),$A$2:$A$200,"&lt;="&amp;A179)&lt;12,"",SUMIFS($B$2:$B$200,$A$2:$A$200,"&gt;"&amp;EDATE(A179,-12),$A$2:$A$200,"&lt;="&amp;A179)))</f>
        <v/>
      </c>
    </row>
    <row r="180">
      <c r="A180" s="8" t="n"/>
      <c r="B180" s="9" t="n"/>
      <c r="C180" s="3">
        <f>IF(NOT(ISNUMBER(A180)),"",IF(COUNTIFS($A$2:$A$200,"&gt;"&amp;EDATE(A180,-12),$A$2:$A$200,"&lt;="&amp;A180)&lt;12,"",SUMIFS($B$2:$B$200,$A$2:$A$200,"&gt;"&amp;EDATE(A180,-12),$A$2:$A$200,"&lt;="&amp;A180)))</f>
        <v/>
      </c>
    </row>
    <row r="181">
      <c r="A181" s="8" t="n"/>
      <c r="B181" s="9" t="n"/>
      <c r="C181" s="3">
        <f>IF(NOT(ISNUMBER(A181)),"",IF(COUNTIFS($A$2:$A$200,"&gt;"&amp;EDATE(A181,-12),$A$2:$A$200,"&lt;="&amp;A181)&lt;12,"",SUMIFS($B$2:$B$200,$A$2:$A$200,"&gt;"&amp;EDATE(A181,-12),$A$2:$A$200,"&lt;="&amp;A181)))</f>
        <v/>
      </c>
    </row>
    <row r="182">
      <c r="A182" s="8" t="n"/>
      <c r="B182" s="9" t="n"/>
      <c r="C182" s="3">
        <f>IF(NOT(ISNUMBER(A182)),"",IF(COUNTIFS($A$2:$A$200,"&gt;"&amp;EDATE(A182,-12),$A$2:$A$200,"&lt;="&amp;A182)&lt;12,"",SUMIFS($B$2:$B$200,$A$2:$A$200,"&gt;"&amp;EDATE(A182,-12),$A$2:$A$200,"&lt;="&amp;A182)))</f>
        <v/>
      </c>
    </row>
    <row r="183">
      <c r="A183" s="8" t="n"/>
      <c r="B183" s="9" t="n"/>
      <c r="C183" s="3">
        <f>IF(NOT(ISNUMBER(A183)),"",IF(COUNTIFS($A$2:$A$200,"&gt;"&amp;EDATE(A183,-12),$A$2:$A$200,"&lt;="&amp;A183)&lt;12,"",SUMIFS($B$2:$B$200,$A$2:$A$200,"&gt;"&amp;EDATE(A183,-12),$A$2:$A$200,"&lt;="&amp;A183)))</f>
        <v/>
      </c>
    </row>
    <row r="184">
      <c r="A184" s="8" t="n"/>
      <c r="B184" s="9" t="n"/>
      <c r="C184" s="3">
        <f>IF(NOT(ISNUMBER(A184)),"",IF(COUNTIFS($A$2:$A$200,"&gt;"&amp;EDATE(A184,-12),$A$2:$A$200,"&lt;="&amp;A184)&lt;12,"",SUMIFS($B$2:$B$200,$A$2:$A$200,"&gt;"&amp;EDATE(A184,-12),$A$2:$A$200,"&lt;="&amp;A184)))</f>
        <v/>
      </c>
    </row>
    <row r="185">
      <c r="A185" s="8" t="n"/>
      <c r="B185" s="9" t="n"/>
      <c r="C185" s="3">
        <f>IF(NOT(ISNUMBER(A185)),"",IF(COUNTIFS($A$2:$A$200,"&gt;"&amp;EDATE(A185,-12),$A$2:$A$200,"&lt;="&amp;A185)&lt;12,"",SUMIFS($B$2:$B$200,$A$2:$A$200,"&gt;"&amp;EDATE(A185,-12),$A$2:$A$200,"&lt;="&amp;A185)))</f>
        <v/>
      </c>
    </row>
    <row r="186">
      <c r="A186" s="8" t="n"/>
      <c r="B186" s="9" t="n"/>
      <c r="C186" s="3">
        <f>IF(NOT(ISNUMBER(A186)),"",IF(COUNTIFS($A$2:$A$200,"&gt;"&amp;EDATE(A186,-12),$A$2:$A$200,"&lt;="&amp;A186)&lt;12,"",SUMIFS($B$2:$B$200,$A$2:$A$200,"&gt;"&amp;EDATE(A186,-12),$A$2:$A$200,"&lt;="&amp;A186)))</f>
        <v/>
      </c>
    </row>
    <row r="187">
      <c r="A187" s="8" t="n"/>
      <c r="B187" s="9" t="n"/>
      <c r="C187" s="3">
        <f>IF(NOT(ISNUMBER(A187)),"",IF(COUNTIFS($A$2:$A$200,"&gt;"&amp;EDATE(A187,-12),$A$2:$A$200,"&lt;="&amp;A187)&lt;12,"",SUMIFS($B$2:$B$200,$A$2:$A$200,"&gt;"&amp;EDATE(A187,-12),$A$2:$A$200,"&lt;="&amp;A187)))</f>
        <v/>
      </c>
    </row>
    <row r="188">
      <c r="A188" s="8" t="n"/>
      <c r="B188" s="9" t="n"/>
      <c r="C188" s="3">
        <f>IF(NOT(ISNUMBER(A188)),"",IF(COUNTIFS($A$2:$A$200,"&gt;"&amp;EDATE(A188,-12),$A$2:$A$200,"&lt;="&amp;A188)&lt;12,"",SUMIFS($B$2:$B$200,$A$2:$A$200,"&gt;"&amp;EDATE(A188,-12),$A$2:$A$200,"&lt;="&amp;A188)))</f>
        <v/>
      </c>
    </row>
    <row r="189">
      <c r="A189" s="8" t="n"/>
      <c r="B189" s="9" t="n"/>
      <c r="C189" s="3">
        <f>IF(NOT(ISNUMBER(A189)),"",IF(COUNTIFS($A$2:$A$200,"&gt;"&amp;EDATE(A189,-12),$A$2:$A$200,"&lt;="&amp;A189)&lt;12,"",SUMIFS($B$2:$B$200,$A$2:$A$200,"&gt;"&amp;EDATE(A189,-12),$A$2:$A$200,"&lt;="&amp;A189)))</f>
        <v/>
      </c>
    </row>
    <row r="190">
      <c r="A190" s="8" t="n"/>
      <c r="B190" s="9" t="n"/>
      <c r="C190" s="3">
        <f>IF(NOT(ISNUMBER(A190)),"",IF(COUNTIFS($A$2:$A$200,"&gt;"&amp;EDATE(A190,-12),$A$2:$A$200,"&lt;="&amp;A190)&lt;12,"",SUMIFS($B$2:$B$200,$A$2:$A$200,"&gt;"&amp;EDATE(A190,-12),$A$2:$A$200,"&lt;="&amp;A190)))</f>
        <v/>
      </c>
    </row>
    <row r="191">
      <c r="A191" s="8" t="n"/>
      <c r="B191" s="9" t="n"/>
      <c r="C191" s="3">
        <f>IF(NOT(ISNUMBER(A191)),"",IF(COUNTIFS($A$2:$A$200,"&gt;"&amp;EDATE(A191,-12),$A$2:$A$200,"&lt;="&amp;A191)&lt;12,"",SUMIFS($B$2:$B$200,$A$2:$A$200,"&gt;"&amp;EDATE(A191,-12),$A$2:$A$200,"&lt;="&amp;A191)))</f>
        <v/>
      </c>
    </row>
    <row r="192">
      <c r="A192" s="8" t="n"/>
      <c r="B192" s="9" t="n"/>
      <c r="C192" s="3">
        <f>IF(NOT(ISNUMBER(A192)),"",IF(COUNTIFS($A$2:$A$200,"&gt;"&amp;EDATE(A192,-12),$A$2:$A$200,"&lt;="&amp;A192)&lt;12,"",SUMIFS($B$2:$B$200,$A$2:$A$200,"&gt;"&amp;EDATE(A192,-12),$A$2:$A$200,"&lt;="&amp;A192)))</f>
        <v/>
      </c>
    </row>
    <row r="193">
      <c r="A193" s="8" t="n"/>
      <c r="B193" s="9" t="n"/>
      <c r="C193" s="3">
        <f>IF(NOT(ISNUMBER(A193)),"",IF(COUNTIFS($A$2:$A$200,"&gt;"&amp;EDATE(A193,-12),$A$2:$A$200,"&lt;="&amp;A193)&lt;12,"",SUMIFS($B$2:$B$200,$A$2:$A$200,"&gt;"&amp;EDATE(A193,-12),$A$2:$A$200,"&lt;="&amp;A193)))</f>
        <v/>
      </c>
    </row>
    <row r="194">
      <c r="A194" s="8" t="n"/>
      <c r="B194" s="9" t="n"/>
      <c r="C194" s="3">
        <f>IF(NOT(ISNUMBER(A194)),"",IF(COUNTIFS($A$2:$A$200,"&gt;"&amp;EDATE(A194,-12),$A$2:$A$200,"&lt;="&amp;A194)&lt;12,"",SUMIFS($B$2:$B$200,$A$2:$A$200,"&gt;"&amp;EDATE(A194,-12),$A$2:$A$200,"&lt;="&amp;A194)))</f>
        <v/>
      </c>
    </row>
    <row r="195">
      <c r="A195" s="8" t="n"/>
      <c r="B195" s="9" t="n"/>
      <c r="C195" s="3">
        <f>IF(NOT(ISNUMBER(A195)),"",IF(COUNTIFS($A$2:$A$200,"&gt;"&amp;EDATE(A195,-12),$A$2:$A$200,"&lt;="&amp;A195)&lt;12,"",SUMIFS($B$2:$B$200,$A$2:$A$200,"&gt;"&amp;EDATE(A195,-12),$A$2:$A$200,"&lt;="&amp;A195)))</f>
        <v/>
      </c>
    </row>
    <row r="196">
      <c r="A196" s="8" t="n"/>
      <c r="B196" s="9" t="n"/>
      <c r="C196" s="3">
        <f>IF(NOT(ISNUMBER(A196)),"",IF(COUNTIFS($A$2:$A$200,"&gt;"&amp;EDATE(A196,-12),$A$2:$A$200,"&lt;="&amp;A196)&lt;12,"",SUMIFS($B$2:$B$200,$A$2:$A$200,"&gt;"&amp;EDATE(A196,-12),$A$2:$A$200,"&lt;="&amp;A196)))</f>
        <v/>
      </c>
    </row>
    <row r="197">
      <c r="A197" s="8" t="n"/>
      <c r="B197" s="9" t="n"/>
      <c r="C197" s="3">
        <f>IF(NOT(ISNUMBER(A197)),"",IF(COUNTIFS($A$2:$A$200,"&gt;"&amp;EDATE(A197,-12),$A$2:$A$200,"&lt;="&amp;A197)&lt;12,"",SUMIFS($B$2:$B$200,$A$2:$A$200,"&gt;"&amp;EDATE(A197,-12),$A$2:$A$200,"&lt;="&amp;A197)))</f>
        <v/>
      </c>
    </row>
    <row r="198">
      <c r="A198" s="8" t="n"/>
      <c r="B198" s="9" t="n"/>
      <c r="C198" s="3">
        <f>IF(NOT(ISNUMBER(A198)),"",IF(COUNTIFS($A$2:$A$200,"&gt;"&amp;EDATE(A198,-12),$A$2:$A$200,"&lt;="&amp;A198)&lt;12,"",SUMIFS($B$2:$B$200,$A$2:$A$200,"&gt;"&amp;EDATE(A198,-12),$A$2:$A$200,"&lt;="&amp;A198)))</f>
        <v/>
      </c>
    </row>
    <row r="199">
      <c r="A199" s="8" t="n"/>
      <c r="B199" s="9" t="n"/>
      <c r="C199" s="3">
        <f>IF(NOT(ISNUMBER(A199)),"",IF(COUNTIFS($A$2:$A$200,"&gt;"&amp;EDATE(A199,-12),$A$2:$A$200,"&lt;="&amp;A199)&lt;12,"",SUMIFS($B$2:$B$200,$A$2:$A$200,"&gt;"&amp;EDATE(A199,-12),$A$2:$A$200,"&lt;="&amp;A199)))</f>
        <v/>
      </c>
    </row>
    <row r="200">
      <c r="A200" s="8" t="n"/>
      <c r="B200" s="9" t="n"/>
      <c r="C200" s="3">
        <f>IF(NOT(ISNUMBER(A200)),"",IF(COUNTIFS($A$2:$A$200,"&gt;"&amp;EDATE(A200,-12),$A$2:$A$200,"&lt;="&amp;A200)&lt;12,"",SUMIFS($B$2:$B$200,$A$2:$A$200,"&gt;"&amp;EDATE(A200,-12),$A$2:$A$200,"&lt;="&amp;A200)))</f>
        <v/>
      </c>
    </row>
  </sheetData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Tidy Tabs: Trailing 12 Month Sales</t>
        </is>
      </c>
    </row>
    <row r="2">
      <c r="A2" s="11" t="inlineStr"/>
    </row>
    <row r="3">
      <c r="A3" s="11" t="inlineStr">
        <is>
          <t>1. Sales tab: type the first day of each month in A (such as 10/01/2025) and that month's sales in B. Yellow. Rows 2 to 200 are read. The sample is 36 fictional months of a gift shop, 10/01/2023 to 09/01/2026.</t>
        </is>
      </c>
    </row>
    <row r="4">
      <c r="A4" s="11" t="inlineStr">
        <is>
          <t>2. Trailing tab, B1: type the last month you want included, also the 1st of a month (09/01/2026 in the sample). No TODAY is used, so the number only changes when you change B1 or the Sales rows.</t>
        </is>
      </c>
    </row>
    <row r="5">
      <c r="A5" s="11" t="inlineStr">
        <is>
          <t>3. Trailing 12 months, B2: =SUMIFS(Sales!$B$2:$B$200,Sales!$A$2:$A$200,"&gt;"&amp;EDATE(B1,-12),Sales!$A$2:$A$200,"&lt;="&amp;B1). It adds the sales dated later than 12 months before B1 and up to B1, which is the 12 months ending at B1.</t>
        </is>
      </c>
    </row>
    <row r="6">
      <c r="A6" s="11" t="inlineStr">
        <is>
          <t>4. B3 counts the months found with the same two conditions (COUNTIFS). If it is not 12, C3 says so: a month is missing or the data starts later. B2 still adds what it finds.</t>
        </is>
      </c>
    </row>
    <row r="7">
      <c r="A7" s="11" t="inlineStr">
        <is>
          <t>5. Previous 12 months, B4: the same SUMIFS from EDATE(B1,-24) to EDATE(B1,-12). B7 counts its months. B5 and B6 (change in dollars and percent) show Need 12 months in both until B3 and B7 are 12.</t>
        </is>
      </c>
    </row>
    <row r="8">
      <c r="A8" s="11" t="inlineStr">
        <is>
          <t>6. Sales column C: the same 12 month total for each row's month. It stays blank until 12 months of data exist up to that row.</t>
        </is>
      </c>
    </row>
    <row r="9">
      <c r="A9" s="11" t="inlineStr">
        <is>
          <t>7. Dates must be the 1st of the month. A date such as 09/15/2026 after the end date is left out by the "&lt;=" test, and B8 shows CHECK. Two rows for the same month also give CHECK. Dates or sales typed as text give CHECK.</t>
        </is>
      </c>
    </row>
    <row r="10">
      <c r="A10" s="11" t="inlineStr">
        <is>
          <t>8. This describes past sales only. It is not a forecast and not a valuation.</t>
        </is>
      </c>
    </row>
    <row r="11">
      <c r="A11" s="11" t="inlineStr"/>
    </row>
    <row r="12">
      <c r="A12" s="11" t="inlineStr">
        <is>
          <t>Sales are fictional. Checked in LibreOffice Calc only; not opened in Excel or Google Sheets.</t>
        </is>
      </c>
    </row>
    <row r="13">
      <c r="A13" s="11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2026-10-23T07:41:03Z</dcterms:created>
  <dcterms:modified xmlns:dcterms="http://purl.org/dc/terms/" xmlns:xsi="http://www.w3.org/2001/XMLSchema-instance" xsi:type="dcterms:W3CDTF">2026-10-23T07:41:03Z</dcterms:modified>
</cp:coreProperties>
</file>