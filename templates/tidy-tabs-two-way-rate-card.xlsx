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Quote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'Rate card'!$1:$1</definedName>
    <definedName name="_xlnm.Print_Titles" localSheetId="1">'Quote'!$1:$1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0" fillId="4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</cols>
  <sheetData>
    <row r="1" ht="30" customHeight="1">
      <c r="A1" s="1" t="inlineStr">
        <is>
          <t>Service</t>
        </is>
      </c>
      <c r="B1" s="1" t="inlineStr">
        <is>
          <t>Standard</t>
        </is>
      </c>
      <c r="C1" s="1" t="inlineStr">
        <is>
          <t>Rush</t>
        </is>
      </c>
      <c r="D1" s="1" t="inlineStr">
        <is>
          <t>Same day</t>
        </is>
      </c>
    </row>
    <row r="2">
      <c r="A2" t="inlineStr">
        <is>
          <t>Logo</t>
        </is>
      </c>
      <c r="B2" s="2" t="n">
        <v>300</v>
      </c>
      <c r="C2" s="2" t="n">
        <v>420</v>
      </c>
      <c r="D2" s="2" t="n">
        <v>600</v>
      </c>
    </row>
    <row r="3">
      <c r="A3" t="inlineStr">
        <is>
          <t>Brochure</t>
        </is>
      </c>
      <c r="B3" s="2" t="n">
        <v>350</v>
      </c>
      <c r="C3" s="2" t="n">
        <v>500</v>
      </c>
      <c r="D3" s="2" t="n">
        <v>700</v>
      </c>
    </row>
    <row r="4">
      <c r="A4" t="inlineStr">
        <is>
          <t>Website</t>
        </is>
      </c>
      <c r="B4" s="2" t="n">
        <v>1200</v>
      </c>
      <c r="C4" s="2" t="n">
        <v>1600</v>
      </c>
      <c r="D4" s="2" t="n">
        <v>2100</v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Pick a service and a turnaround (yellow cells)</t>
        </is>
      </c>
    </row>
    <row r="2">
      <c r="A2" t="inlineStr">
        <is>
          <t>Service</t>
        </is>
      </c>
      <c r="B2" s="4" t="inlineStr">
        <is>
          <t>Brochure</t>
        </is>
      </c>
    </row>
    <row r="3">
      <c r="A3" t="inlineStr">
        <is>
          <t>Turnaround</t>
        </is>
      </c>
      <c r="B3" s="4" t="inlineStr">
        <is>
          <t>Rush</t>
        </is>
      </c>
    </row>
    <row r="5">
      <c r="A5" t="inlineStr">
        <is>
          <t>Price (INDEX + MATCH)</t>
        </is>
      </c>
      <c r="B5" s="5">
        <f>INDEX('Rate card'!$B$2:$D$4,MATCH(B2,'Rate card'!$A$2:$A$4,0),MATCH(B3,'Rate card'!$B$1:$D$1,0))</f>
        <v/>
      </c>
    </row>
    <row r="6">
      <c r="A6" t="inlineStr">
        <is>
          <t>Price (with IFERROR)</t>
        </is>
      </c>
      <c r="B6" s="5">
        <f>IFERROR(INDEX('Rate card'!$B$2:$D$4,MATCH(B2,'Rate card'!$A$2:$A$4,0),MATCH(B3,'Rate card'!$B$1:$D$1,0)),"Check spelling")</f>
        <v/>
      </c>
    </row>
    <row r="7">
      <c r="A7" t="inlineStr">
        <is>
          <t>Price (SUMPRODUCT, comparison)</t>
        </is>
      </c>
      <c r="B7" s="5">
        <f>SUMPRODUCT(('Rate card'!$A$2:$A$4=B2)*('Rate card'!$B$1:$D$1=B3)*'Rate card'!$B$2:$D$4)</f>
        <v/>
      </c>
    </row>
    <row r="9">
      <c r="A9" s="3" t="inlineStr">
        <is>
          <t>All 9 prices through the same formula</t>
        </is>
      </c>
    </row>
    <row r="10">
      <c r="B10" s="3">
        <f>'Rate card'!B1</f>
        <v/>
      </c>
      <c r="C10" s="3">
        <f>'Rate card'!C1</f>
        <v/>
      </c>
      <c r="D10" s="3">
        <f>'Rate card'!D1</f>
        <v/>
      </c>
    </row>
    <row r="11">
      <c r="A11" s="3">
        <f>'Rate card'!A2</f>
        <v/>
      </c>
      <c r="B11" s="6">
        <f>INDEX('Rate card'!$B$2:$D$4,MATCH($A11,'Rate card'!$A$2:$A$4,0),MATCH(B$10,'Rate card'!$B$1:$D$1,0))</f>
        <v/>
      </c>
      <c r="C11" s="6">
        <f>INDEX('Rate card'!$B$2:$D$4,MATCH($A11,'Rate card'!$A$2:$A$4,0),MATCH(C$10,'Rate card'!$B$1:$D$1,0))</f>
        <v/>
      </c>
      <c r="D11" s="6">
        <f>INDEX('Rate card'!$B$2:$D$4,MATCH($A11,'Rate card'!$A$2:$A$4,0),MATCH(D$10,'Rate card'!$B$1:$D$1,0))</f>
        <v/>
      </c>
    </row>
    <row r="12">
      <c r="A12" s="3">
        <f>'Rate card'!A3</f>
        <v/>
      </c>
      <c r="B12" s="6">
        <f>INDEX('Rate card'!$B$2:$D$4,MATCH($A12,'Rate card'!$A$2:$A$4,0),MATCH(B$10,'Rate card'!$B$1:$D$1,0))</f>
        <v/>
      </c>
      <c r="C12" s="6">
        <f>INDEX('Rate card'!$B$2:$D$4,MATCH($A12,'Rate card'!$A$2:$A$4,0),MATCH(C$10,'Rate card'!$B$1:$D$1,0))</f>
        <v/>
      </c>
      <c r="D12" s="6">
        <f>INDEX('Rate card'!$B$2:$D$4,MATCH($A12,'Rate card'!$A$2:$A$4,0),MATCH(D$10,'Rate card'!$B$1:$D$1,0))</f>
        <v/>
      </c>
    </row>
    <row r="13">
      <c r="A13" s="3">
        <f>'Rate card'!A4</f>
        <v/>
      </c>
      <c r="B13" s="6">
        <f>INDEX('Rate card'!$B$2:$D$4,MATCH($A13,'Rate card'!$A$2:$A$4,0),MATCH(B$10,'Rate card'!$B$1:$D$1,0))</f>
        <v/>
      </c>
      <c r="C13" s="6">
        <f>INDEX('Rate card'!$B$2:$D$4,MATCH($A13,'Rate card'!$A$2:$A$4,0),MATCH(C$10,'Rate card'!$B$1:$D$1,0))</f>
        <v/>
      </c>
      <c r="D13" s="6">
        <f>INDEX('Rate card'!$B$2:$D$4,MATCH($A13,'Rate card'!$A$2:$A$4,0),MATCH(D$10,'Rate card'!$B$1:$D$1,0))</f>
        <v/>
      </c>
    </row>
    <row r="14">
      <c r="A14" t="inlineStr">
        <is>
          <t>Cells that match the rate card (should be 9)</t>
        </is>
      </c>
      <c r="B14">
        <f>SUMPRODUCT(--(B11:D13='Rate card'!B2:D4))</f>
        <v/>
      </c>
    </row>
  </sheetData>
  <dataValidations count="2">
    <dataValidation sqref="B2" showDropDown="0" showInputMessage="0" showErrorMessage="0" allowBlank="0" type="list">
      <formula1>='Rate card'!$A$2:$A$4</formula1>
    </dataValidation>
    <dataValidation sqref="B3" showDropDown="0" showInputMessage="0" showErrorMessage="0" allowBlank="0" type="list">
      <formula1>='Rate card'!$B$1:$D$1</formula1>
    </dataValidation>
  </dataValidations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Tidy Tabs: Two-Way Rate Card Lookup With INDEX and MATCH</t>
        </is>
      </c>
    </row>
    <row r="2">
      <c r="A2" s="8" t="inlineStr"/>
    </row>
    <row r="3">
      <c r="A3" s="8" t="inlineStr">
        <is>
          <t>1. Rate card tab: services down column A, turnaround speeds across row 1, prices in B2:D4. Keep the labels spelled the same everywhere.</t>
        </is>
      </c>
    </row>
    <row r="4">
      <c r="A4" s="8" t="inlineStr">
        <is>
          <t>2. Quote tab: pick a service in B2 and a turnaround in B3 from the dropdown lists.</t>
        </is>
      </c>
    </row>
    <row r="5">
      <c r="A5" s="8" t="inlineStr">
        <is>
          <t>3. B5: =INDEX('Rate card'!$B$2:$D$4,MATCH(B2,'Rate card'!$A$2:$A$4,0),MATCH(B3,'Rate card'!$B$1:$D$1,0)). The first MATCH finds the row number, the second finds the column number, and INDEX returns the price where they cross.</t>
        </is>
      </c>
    </row>
    <row r="6">
      <c r="A6" s="8" t="inlineStr">
        <is>
          <t>4. The 0 at the end of each MATCH means exact match.</t>
        </is>
      </c>
    </row>
    <row r="7">
      <c r="A7" s="8" t="inlineStr">
        <is>
          <t>5. B6 wraps the same formula in IFERROR so a misspelled service or speed shows Check spelling instead of #N/A. The dropdowns stop most typos, but pasted text can still be wrong.</t>
        </is>
      </c>
    </row>
    <row r="8">
      <c r="A8" s="8" t="inlineStr">
        <is>
          <t>6. B7 gets the same price with SUMPRODUCT. A misspelled label returns $0.00 there, not an error, so use it only as a cross-check.</t>
        </is>
      </c>
    </row>
    <row r="9">
      <c r="A9" s="8" t="inlineStr">
        <is>
          <t>7. Rows 10 to 14 run the INDEX and MATCH formula on all 9 cells and count how many equal the rate card.</t>
        </is>
      </c>
    </row>
    <row r="10">
      <c r="A10" s="8" t="inlineStr">
        <is>
          <t>8. To add a service or speed, insert a row or column inside the table and extend the ranges.</t>
        </is>
      </c>
    </row>
    <row r="11">
      <c r="A11" s="8" t="inlineStr"/>
    </row>
    <row r="12">
      <c r="A12" s="8" t="inlineStr">
        <is>
          <t>Services and prices are fictional. Checked in LibreOffice Calc only; not opened in Excel or Google Sheets.</t>
        </is>
      </c>
    </row>
    <row r="13">
      <c r="A13" s="8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2026-10-09T07:31:22Z</dcterms:created>
  <dcterms:modified xmlns:dcterms="http://purl.org/dc/terms/" xmlns:xsi="http://www.w3.org/2001/XMLSchema-instance" xsi:type="dcterms:W3CDTF">2026-10-09T07:31:22Z</dcterms:modified>
</cp:coreProperties>
</file>