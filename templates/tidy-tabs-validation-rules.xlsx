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  <sheet name="Rules check" sheetId="2" state="visible" r:id="rId2"/>
    <sheet name="How to use" sheetId="3" state="visible" r:id="rId3"/>
  </sheets>
  <definedNames>
    <definedName name="_xlnm.Print_Titles" localSheetId="0">'Entries'!$1:$1</definedName>
    <definedName name="_xlnm.Print_Area" localSheetId="0">'Entries'!$A$1:$C$41</definedName>
    <definedName name="_xlnm.Print_Titles" localSheetId="1">'Rules check'!$1:$1</definedName>
    <definedName name="_xlnm.Print_Area" localSheetId="1">'Rules check'!$A$1:$H$41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 ht="30" customHeight="1">
      <c r="A1" s="1" t="inlineStr">
        <is>
          <t>Invoice #</t>
        </is>
      </c>
      <c r="B1" s="1" t="inlineStr">
        <is>
          <t>Date</t>
        </is>
      </c>
      <c r="C1" s="1" t="inlineStr">
        <is>
          <t>Qty</t>
        </is>
      </c>
    </row>
    <row r="2">
      <c r="A2" s="2" t="inlineStr">
        <is>
          <t>INV-1001</t>
        </is>
      </c>
      <c r="B2" s="3" t="n">
        <v>46296</v>
      </c>
      <c r="C2" s="2" t="n">
        <v>4</v>
      </c>
    </row>
    <row r="3">
      <c r="A3" s="2" t="inlineStr">
        <is>
          <t>INV-1002</t>
        </is>
      </c>
      <c r="B3" s="3" t="n">
        <v>46297</v>
      </c>
      <c r="C3" s="2" t="n">
        <v>1</v>
      </c>
    </row>
    <row r="4">
      <c r="A4" s="2" t="inlineStr">
        <is>
          <t>INV-1003</t>
        </is>
      </c>
      <c r="B4" s="3" t="n">
        <v>46297</v>
      </c>
      <c r="C4" s="2" t="n">
        <v>12</v>
      </c>
    </row>
    <row r="5">
      <c r="A5" s="2" t="inlineStr">
        <is>
          <t>INV-1004</t>
        </is>
      </c>
      <c r="B5" s="3" t="n">
        <v>46300</v>
      </c>
      <c r="C5" s="2" t="n">
        <v>3</v>
      </c>
    </row>
    <row r="6">
      <c r="A6" s="2" t="inlineStr">
        <is>
          <t>INV-1005</t>
        </is>
      </c>
      <c r="B6" s="3" t="n">
        <v>46301</v>
      </c>
      <c r="C6" s="2" t="n">
        <v>6</v>
      </c>
    </row>
    <row r="7">
      <c r="A7" s="2" t="inlineStr">
        <is>
          <t>INV-1006</t>
        </is>
      </c>
      <c r="B7" s="3" t="n">
        <v>46302</v>
      </c>
      <c r="C7" s="2" t="n">
        <v>2</v>
      </c>
    </row>
    <row r="8">
      <c r="A8" s="2" t="inlineStr">
        <is>
          <t>INV-1007</t>
        </is>
      </c>
      <c r="B8" s="3" t="n">
        <v>46303</v>
      </c>
      <c r="C8" s="2" t="n">
        <v>8</v>
      </c>
    </row>
    <row r="9">
      <c r="A9" s="2" t="inlineStr">
        <is>
          <t>INV-1008</t>
        </is>
      </c>
      <c r="B9" s="3" t="n">
        <v>46304</v>
      </c>
      <c r="C9" s="2" t="n">
        <v>2.5</v>
      </c>
    </row>
    <row r="10">
      <c r="A10" s="2" t="inlineStr">
        <is>
          <t>INV-1009</t>
        </is>
      </c>
      <c r="B10" s="3" t="n">
        <v>46307</v>
      </c>
      <c r="C10" s="2" t="n">
        <v>5</v>
      </c>
    </row>
    <row r="11">
      <c r="A11" s="2" t="inlineStr">
        <is>
          <t>INV-1006</t>
        </is>
      </c>
      <c r="B11" s="3" t="n">
        <v>46308</v>
      </c>
      <c r="C11" s="2" t="n">
        <v>1</v>
      </c>
    </row>
    <row r="12">
      <c r="A12" s="2" t="inlineStr">
        <is>
          <t>INV-1010</t>
        </is>
      </c>
      <c r="B12" s="3" t="n">
        <v>46309</v>
      </c>
      <c r="C12" s="2" t="n">
        <v>20</v>
      </c>
    </row>
    <row r="13">
      <c r="A13" s="2" t="inlineStr">
        <is>
          <t>INV-1011</t>
        </is>
      </c>
      <c r="B13" s="3" t="n">
        <v>46310</v>
      </c>
      <c r="C13" s="2" t="n">
        <v>7</v>
      </c>
    </row>
    <row r="14">
      <c r="A14" s="2" t="n"/>
      <c r="B14" s="3" t="n"/>
      <c r="C14" s="2" t="n"/>
    </row>
    <row r="15">
      <c r="A15" s="2" t="n"/>
      <c r="B15" s="3" t="n"/>
      <c r="C15" s="2" t="n"/>
    </row>
    <row r="16">
      <c r="A16" s="2" t="n"/>
      <c r="B16" s="3" t="n"/>
      <c r="C16" s="2" t="n"/>
    </row>
    <row r="17">
      <c r="A17" s="2" t="n"/>
      <c r="B17" s="3" t="n"/>
      <c r="C17" s="2" t="n"/>
    </row>
    <row r="18">
      <c r="A18" s="2" t="n"/>
      <c r="B18" s="3" t="n"/>
      <c r="C18" s="2" t="n"/>
    </row>
    <row r="19">
      <c r="A19" s="2" t="n"/>
      <c r="B19" s="3" t="n"/>
      <c r="C19" s="2" t="n"/>
    </row>
    <row r="20">
      <c r="A20" s="2" t="n"/>
      <c r="B20" s="3" t="n"/>
      <c r="C20" s="2" t="n"/>
    </row>
    <row r="21">
      <c r="A21" s="2" t="n"/>
      <c r="B21" s="3" t="n"/>
      <c r="C21" s="2" t="n"/>
    </row>
    <row r="22">
      <c r="A22" s="2" t="n"/>
      <c r="B22" s="3" t="n"/>
      <c r="C22" s="2" t="n"/>
    </row>
    <row r="23">
      <c r="A23" s="2" t="n"/>
      <c r="B23" s="3" t="n"/>
      <c r="C23" s="2" t="n"/>
    </row>
    <row r="24">
      <c r="A24" s="2" t="n"/>
      <c r="B24" s="3" t="n"/>
      <c r="C24" s="2" t="n"/>
    </row>
    <row r="25">
      <c r="A25" s="2" t="n"/>
      <c r="B25" s="3" t="n"/>
      <c r="C25" s="2" t="n"/>
    </row>
    <row r="26">
      <c r="A26" s="2" t="n"/>
      <c r="B26" s="3" t="n"/>
      <c r="C26" s="2" t="n"/>
    </row>
    <row r="27">
      <c r="A27" s="2" t="n"/>
      <c r="B27" s="3" t="n"/>
      <c r="C27" s="2" t="n"/>
    </row>
    <row r="28">
      <c r="A28" s="2" t="n"/>
      <c r="B28" s="3" t="n"/>
      <c r="C28" s="2" t="n"/>
    </row>
    <row r="29">
      <c r="A29" s="2" t="n"/>
      <c r="B29" s="3" t="n"/>
      <c r="C29" s="2" t="n"/>
    </row>
    <row r="30">
      <c r="A30" s="2" t="n"/>
      <c r="B30" s="3" t="n"/>
      <c r="C30" s="2" t="n"/>
    </row>
    <row r="31">
      <c r="A31" s="2" t="n"/>
      <c r="B31" s="3" t="n"/>
      <c r="C31" s="2" t="n"/>
    </row>
    <row r="32">
      <c r="A32" s="2" t="n"/>
      <c r="B32" s="3" t="n"/>
      <c r="C32" s="2" t="n"/>
    </row>
    <row r="33">
      <c r="A33" s="2" t="n"/>
      <c r="B33" s="3" t="n"/>
      <c r="C33" s="2" t="n"/>
    </row>
    <row r="34">
      <c r="A34" s="2" t="n"/>
      <c r="B34" s="3" t="n"/>
      <c r="C34" s="2" t="n"/>
    </row>
    <row r="35">
      <c r="A35" s="2" t="n"/>
      <c r="B35" s="3" t="n"/>
      <c r="C35" s="2" t="n"/>
    </row>
    <row r="36">
      <c r="A36" s="2" t="n"/>
      <c r="B36" s="3" t="n"/>
      <c r="C36" s="2" t="n"/>
    </row>
    <row r="37">
      <c r="A37" s="2" t="n"/>
      <c r="B37" s="3" t="n"/>
      <c r="C37" s="2" t="n"/>
    </row>
    <row r="38">
      <c r="A38" s="2" t="n"/>
      <c r="B38" s="3" t="n"/>
      <c r="C38" s="2" t="n"/>
    </row>
    <row r="39">
      <c r="A39" s="2" t="n"/>
      <c r="B39" s="3" t="n"/>
      <c r="C39" s="2" t="n"/>
    </row>
    <row r="40">
      <c r="A40" s="2" t="n"/>
      <c r="B40" s="3" t="n"/>
      <c r="C40" s="2" t="n"/>
    </row>
    <row r="41">
      <c r="A41" s="2" t="n"/>
      <c r="B41" s="3" t="n"/>
      <c r="C41" s="2" t="n"/>
    </row>
    <row r="42">
      <c r="A42" s="2" t="n"/>
      <c r="B42" s="3" t="n"/>
      <c r="C42" s="2" t="n"/>
    </row>
    <row r="43">
      <c r="A43" s="2" t="n"/>
      <c r="B43" s="3" t="n"/>
      <c r="C43" s="2" t="n"/>
    </row>
    <row r="44">
      <c r="A44" s="2" t="n"/>
      <c r="B44" s="3" t="n"/>
      <c r="C44" s="2" t="n"/>
    </row>
    <row r="45">
      <c r="A45" s="2" t="n"/>
      <c r="B45" s="3" t="n"/>
      <c r="C45" s="2" t="n"/>
    </row>
    <row r="46">
      <c r="A46" s="2" t="n"/>
      <c r="B46" s="3" t="n"/>
      <c r="C46" s="2" t="n"/>
    </row>
    <row r="47">
      <c r="A47" s="2" t="n"/>
      <c r="B47" s="3" t="n"/>
      <c r="C47" s="2" t="n"/>
    </row>
    <row r="48">
      <c r="A48" s="2" t="n"/>
      <c r="B48" s="3" t="n"/>
      <c r="C48" s="2" t="n"/>
    </row>
    <row r="49">
      <c r="A49" s="2" t="n"/>
      <c r="B49" s="3" t="n"/>
      <c r="C49" s="2" t="n"/>
    </row>
    <row r="50">
      <c r="A50" s="2" t="n"/>
      <c r="B50" s="3" t="n"/>
      <c r="C50" s="2" t="n"/>
    </row>
    <row r="51">
      <c r="A51" s="2" t="n"/>
      <c r="B51" s="3" t="n"/>
      <c r="C51" s="2" t="n"/>
    </row>
    <row r="52">
      <c r="A52" s="2" t="n"/>
      <c r="B52" s="3" t="n"/>
      <c r="C52" s="2" t="n"/>
    </row>
    <row r="53">
      <c r="A53" s="2" t="n"/>
      <c r="B53" s="3" t="n"/>
      <c r="C53" s="2" t="n"/>
    </row>
    <row r="54">
      <c r="A54" s="2" t="n"/>
      <c r="B54" s="3" t="n"/>
      <c r="C54" s="2" t="n"/>
    </row>
    <row r="55">
      <c r="A55" s="2" t="n"/>
      <c r="B55" s="3" t="n"/>
      <c r="C55" s="2" t="n"/>
    </row>
    <row r="56">
      <c r="A56" s="2" t="n"/>
      <c r="B56" s="3" t="n"/>
      <c r="C56" s="2" t="n"/>
    </row>
    <row r="57">
      <c r="A57" s="2" t="n"/>
      <c r="B57" s="3" t="n"/>
      <c r="C57" s="2" t="n"/>
    </row>
    <row r="58">
      <c r="A58" s="2" t="n"/>
      <c r="B58" s="3" t="n"/>
      <c r="C58" s="2" t="n"/>
    </row>
    <row r="59">
      <c r="A59" s="2" t="n"/>
      <c r="B59" s="3" t="n"/>
      <c r="C59" s="2" t="n"/>
    </row>
    <row r="60">
      <c r="A60" s="2" t="n"/>
      <c r="B60" s="3" t="n"/>
      <c r="C60" s="2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</sheetData>
  <dataValidations count="3">
    <dataValidation sqref="A2:A200" showDropDown="0" showInputMessage="1" showErrorMessage="1" allowBlank="1" errorTitle="Duplicate invoice number" error="This invoice number is already in the list. Type a new one." promptTitle="Invoice number" prompt="Type a number not used yet, such as INV-1012." type="custom" errorStyle="stop">
      <formula1>COUNTIF($A$2:$A$200,A2)=1</formula1>
    </dataValidation>
    <dataValidation sqref="B2:B200" showDropDown="0" showInputMessage="1" showErrorMessage="1" allowBlank="1" errorTitle="Not a 2026 date" error="Type a real date from 01/01/2026 to 12/31/2026, such as 10/19/2026." promptTitle="Date" prompt="MM/DD/YYYY, in 2026." type="custom" errorStyle="stop">
      <formula1>AND(ISNUMBER(B2),B2&gt;=DATE(2026,1,1),B2&lt;=DATE(2026,12,31))</formula1>
    </dataValidation>
    <dataValidation sqref="C2:C200" showDropDown="0" showInputMessage="1" showErrorMessage="1" allowBlank="1" errorTitle="Not a whole quantity" error="Type a whole number above 0, such as 3." promptTitle="Qty" prompt="A whole number above 0." type="custom" errorStyle="stop">
      <formula1>IF(ISNUMBER(C2),AND(C2&gt;0,C2=INT(C2)),FALSE)</formula1>
    </dataValidation>
  </dataValidations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9" customWidth="1" min="4" max="4"/>
    <col width="12" customWidth="1" min="5" max="5"/>
    <col width="4" customWidth="1" min="6" max="6"/>
    <col width="46" customWidth="1" min="7" max="7"/>
    <col width="10" customWidth="1" min="8" max="8"/>
  </cols>
  <sheetData>
    <row r="1" ht="30" customHeight="1">
      <c r="A1" s="1" t="inlineStr">
        <is>
          <t>Invoice #</t>
        </is>
      </c>
      <c r="B1" s="1" t="inlineStr">
        <is>
          <t>Invoice # unique?</t>
        </is>
      </c>
      <c r="C1" s="1" t="inlineStr">
        <is>
          <t>Date in 2026?</t>
        </is>
      </c>
      <c r="D1" s="1" t="inlineStr">
        <is>
          <t>Qty whole, above 0?</t>
        </is>
      </c>
      <c r="E1" s="1" t="inlineStr">
        <is>
          <t>Row result</t>
        </is>
      </c>
      <c r="G1" s="5" t="inlineStr">
        <is>
          <t>Counts and check</t>
        </is>
      </c>
    </row>
    <row r="2">
      <c r="A2" s="6">
        <f>IF(AND(Entries!A2="",Entries!B2="",Entries!C2=""),"",IF(Entries!A2="","(blank)",Entries!A2))</f>
        <v/>
      </c>
      <c r="B2" s="6">
        <f>IF(AND(Entries!A2="",Entries!B2="",Entries!C2=""),"",AND(Entries!A2&lt;&gt;"",COUNTIF(Entries!$A$2:$A$200,Entries!A2)=1))</f>
        <v/>
      </c>
      <c r="C2" s="6">
        <f>IF(AND(Entries!A2="",Entries!B2="",Entries!C2=""),"",AND(ISNUMBER(Entries!B2),Entries!B2&gt;=DATE(2026,1,1),Entries!B2&lt;=DATE(2026,12,31)))</f>
        <v/>
      </c>
      <c r="D2" s="6">
        <f>IF(AND(Entries!A2="",Entries!B2="",Entries!C2=""),"",IF(ISNUMBER(Entries!C2),AND(Entries!C2&gt;0,Entries!C2=INT(Entries!C2)),FALSE))</f>
        <v/>
      </c>
      <c r="E2" s="6">
        <f>IF(AND(Entries!A2="",Entries!B2="",Entries!C2=""),"",IF(AND(B2,C2,D2),"OK","Fix"))</f>
        <v/>
      </c>
      <c r="G2" t="inlineStr">
        <is>
          <t>Rows with an entry</t>
        </is>
      </c>
      <c r="H2" s="7">
        <f>SUMPRODUCT(--(E2:E200&lt;&gt;""))</f>
        <v/>
      </c>
    </row>
    <row r="3">
      <c r="A3" s="6">
        <f>IF(AND(Entries!A3="",Entries!B3="",Entries!C3=""),"",IF(Entries!A3="","(blank)",Entries!A3))</f>
        <v/>
      </c>
      <c r="B3" s="6">
        <f>IF(AND(Entries!A3="",Entries!B3="",Entries!C3=""),"",AND(Entries!A3&lt;&gt;"",COUNTIF(Entries!$A$2:$A$200,Entries!A3)=1))</f>
        <v/>
      </c>
      <c r="C3" s="6">
        <f>IF(AND(Entries!A3="",Entries!B3="",Entries!C3=""),"",AND(ISNUMBER(Entries!B3),Entries!B3&gt;=DATE(2026,1,1),Entries!B3&lt;=DATE(2026,12,31)))</f>
        <v/>
      </c>
      <c r="D3" s="6">
        <f>IF(AND(Entries!A3="",Entries!B3="",Entries!C3=""),"",IF(ISNUMBER(Entries!C3),AND(Entries!C3&gt;0,Entries!C3=INT(Entries!C3)),FALSE))</f>
        <v/>
      </c>
      <c r="E3" s="6">
        <f>IF(AND(Entries!A3="",Entries!B3="",Entries!C3=""),"",IF(AND(B3,C3,D3),"OK","Fix"))</f>
        <v/>
      </c>
      <c r="G3" t="inlineStr">
        <is>
          <t>Rows that pass all three rules</t>
        </is>
      </c>
      <c r="H3" s="7">
        <f>COUNTIF(E2:E200,"OK")</f>
        <v/>
      </c>
    </row>
    <row r="4">
      <c r="A4" s="6">
        <f>IF(AND(Entries!A4="",Entries!B4="",Entries!C4=""),"",IF(Entries!A4="","(blank)",Entries!A4))</f>
        <v/>
      </c>
      <c r="B4" s="6">
        <f>IF(AND(Entries!A4="",Entries!B4="",Entries!C4=""),"",AND(Entries!A4&lt;&gt;"",COUNTIF(Entries!$A$2:$A$200,Entries!A4)=1))</f>
        <v/>
      </c>
      <c r="C4" s="6">
        <f>IF(AND(Entries!A4="",Entries!B4="",Entries!C4=""),"",AND(ISNUMBER(Entries!B4),Entries!B4&gt;=DATE(2026,1,1),Entries!B4&lt;=DATE(2026,12,31)))</f>
        <v/>
      </c>
      <c r="D4" s="6">
        <f>IF(AND(Entries!A4="",Entries!B4="",Entries!C4=""),"",IF(ISNUMBER(Entries!C4),AND(Entries!C4&gt;0,Entries!C4=INT(Entries!C4)),FALSE))</f>
        <v/>
      </c>
      <c r="E4" s="6">
        <f>IF(AND(Entries!A4="",Entries!B4="",Entries!C4=""),"",IF(AND(B4,C4,D4),"OK","Fix"))</f>
        <v/>
      </c>
      <c r="G4" t="inlineStr">
        <is>
          <t>Rows to fix</t>
        </is>
      </c>
      <c r="H4" s="7">
        <f>SUMPRODUCT(--(E2:E200="Fix"))</f>
        <v/>
      </c>
    </row>
    <row r="5">
      <c r="A5" s="6">
        <f>IF(AND(Entries!A5="",Entries!B5="",Entries!C5=""),"",IF(Entries!A5="","(blank)",Entries!A5))</f>
        <v/>
      </c>
      <c r="B5" s="6">
        <f>IF(AND(Entries!A5="",Entries!B5="",Entries!C5=""),"",AND(Entries!A5&lt;&gt;"",COUNTIF(Entries!$A$2:$A$200,Entries!A5)=1))</f>
        <v/>
      </c>
      <c r="C5" s="6">
        <f>IF(AND(Entries!A5="",Entries!B5="",Entries!C5=""),"",AND(ISNUMBER(Entries!B5),Entries!B5&gt;=DATE(2026,1,1),Entries!B5&lt;=DATE(2026,12,31)))</f>
        <v/>
      </c>
      <c r="D5" s="6">
        <f>IF(AND(Entries!A5="",Entries!B5="",Entries!C5=""),"",IF(ISNUMBER(Entries!C5),AND(Entries!C5&gt;0,Entries!C5=INT(Entries!C5)),FALSE))</f>
        <v/>
      </c>
      <c r="E5" s="6">
        <f>IF(AND(Entries!A5="",Entries!B5="",Entries!C5=""),"",IF(AND(B5,C5,D5),"OK","Fix"))</f>
        <v/>
      </c>
      <c r="G5" t="inlineStr">
        <is>
          <t>Rows failing the invoice rule</t>
        </is>
      </c>
      <c r="H5" s="7">
        <f>COUNTIF(B2:B200,FALSE)</f>
        <v/>
      </c>
    </row>
    <row r="6">
      <c r="A6" s="6">
        <f>IF(AND(Entries!A6="",Entries!B6="",Entries!C6=""),"",IF(Entries!A6="","(blank)",Entries!A6))</f>
        <v/>
      </c>
      <c r="B6" s="6">
        <f>IF(AND(Entries!A6="",Entries!B6="",Entries!C6=""),"",AND(Entries!A6&lt;&gt;"",COUNTIF(Entries!$A$2:$A$200,Entries!A6)=1))</f>
        <v/>
      </c>
      <c r="C6" s="6">
        <f>IF(AND(Entries!A6="",Entries!B6="",Entries!C6=""),"",AND(ISNUMBER(Entries!B6),Entries!B6&gt;=DATE(2026,1,1),Entries!B6&lt;=DATE(2026,12,31)))</f>
        <v/>
      </c>
      <c r="D6" s="6">
        <f>IF(AND(Entries!A6="",Entries!B6="",Entries!C6=""),"",IF(ISNUMBER(Entries!C6),AND(Entries!C6&gt;0,Entries!C6=INT(Entries!C6)),FALSE))</f>
        <v/>
      </c>
      <c r="E6" s="6">
        <f>IF(AND(Entries!A6="",Entries!B6="",Entries!C6=""),"",IF(AND(B6,C6,D6),"OK","Fix"))</f>
        <v/>
      </c>
      <c r="G6" t="inlineStr">
        <is>
          <t>Rows failing the date rule</t>
        </is>
      </c>
      <c r="H6" s="7">
        <f>COUNTIF(C2:C200,FALSE)</f>
        <v/>
      </c>
    </row>
    <row r="7">
      <c r="A7" s="6">
        <f>IF(AND(Entries!A7="",Entries!B7="",Entries!C7=""),"",IF(Entries!A7="","(blank)",Entries!A7))</f>
        <v/>
      </c>
      <c r="B7" s="6">
        <f>IF(AND(Entries!A7="",Entries!B7="",Entries!C7=""),"",AND(Entries!A7&lt;&gt;"",COUNTIF(Entries!$A$2:$A$200,Entries!A7)=1))</f>
        <v/>
      </c>
      <c r="C7" s="6">
        <f>IF(AND(Entries!A7="",Entries!B7="",Entries!C7=""),"",AND(ISNUMBER(Entries!B7),Entries!B7&gt;=DATE(2026,1,1),Entries!B7&lt;=DATE(2026,12,31)))</f>
        <v/>
      </c>
      <c r="D7" s="6">
        <f>IF(AND(Entries!A7="",Entries!B7="",Entries!C7=""),"",IF(ISNUMBER(Entries!C7),AND(Entries!C7&gt;0,Entries!C7=INT(Entries!C7)),FALSE))</f>
        <v/>
      </c>
      <c r="E7" s="6">
        <f>IF(AND(Entries!A7="",Entries!B7="",Entries!C7=""),"",IF(AND(B7,C7,D7),"OK","Fix"))</f>
        <v/>
      </c>
      <c r="G7" t="inlineStr">
        <is>
          <t>Rows failing the qty rule</t>
        </is>
      </c>
      <c r="H7" s="7">
        <f>COUNTIF(D2:D200,FALSE)</f>
        <v/>
      </c>
    </row>
    <row r="8">
      <c r="A8" s="6">
        <f>IF(AND(Entries!A8="",Entries!B8="",Entries!C8=""),"",IF(Entries!A8="","(blank)",Entries!A8))</f>
        <v/>
      </c>
      <c r="B8" s="6">
        <f>IF(AND(Entries!A8="",Entries!B8="",Entries!C8=""),"",AND(Entries!A8&lt;&gt;"",COUNTIF(Entries!$A$2:$A$200,Entries!A8)=1))</f>
        <v/>
      </c>
      <c r="C8" s="6">
        <f>IF(AND(Entries!A8="",Entries!B8="",Entries!C8=""),"",AND(ISNUMBER(Entries!B8),Entries!B8&gt;=DATE(2026,1,1),Entries!B8&lt;=DATE(2026,12,31)))</f>
        <v/>
      </c>
      <c r="D8" s="6">
        <f>IF(AND(Entries!A8="",Entries!B8="",Entries!C8=""),"",IF(ISNUMBER(Entries!C8),AND(Entries!C8&gt;0,Entries!C8=INT(Entries!C8)),FALSE))</f>
        <v/>
      </c>
      <c r="E8" s="6">
        <f>IF(AND(Entries!A8="",Entries!B8="",Entries!C8=""),"",IF(AND(B8,C8,D8),"OK","Fix"))</f>
        <v/>
      </c>
      <c r="G8" t="inlineStr">
        <is>
          <t>Rows sharing an invoice number (second count)</t>
        </is>
      </c>
      <c r="H8" s="7">
        <f>SUMPRODUCT((Entries!A2:A200&lt;&gt;"")*(COUNTIF(Entries!A2:A200,Entries!A2:A200)&gt;1))</f>
        <v/>
      </c>
    </row>
    <row r="9">
      <c r="A9" s="6">
        <f>IF(AND(Entries!A9="",Entries!B9="",Entries!C9=""),"",IF(Entries!A9="","(blank)",Entries!A9))</f>
        <v/>
      </c>
      <c r="B9" s="6">
        <f>IF(AND(Entries!A9="",Entries!B9="",Entries!C9=""),"",AND(Entries!A9&lt;&gt;"",COUNTIF(Entries!$A$2:$A$200,Entries!A9)=1))</f>
        <v/>
      </c>
      <c r="C9" s="6">
        <f>IF(AND(Entries!A9="",Entries!B9="",Entries!C9=""),"",AND(ISNUMBER(Entries!B9),Entries!B9&gt;=DATE(2026,1,1),Entries!B9&lt;=DATE(2026,12,31)))</f>
        <v/>
      </c>
      <c r="D9" s="6">
        <f>IF(AND(Entries!A9="",Entries!B9="",Entries!C9=""),"",IF(ISNUMBER(Entries!C9),AND(Entries!C9&gt;0,Entries!C9=INT(Entries!C9)),FALSE))</f>
        <v/>
      </c>
      <c r="E9" s="6">
        <f>IF(AND(Entries!A9="",Entries!B9="",Entries!C9=""),"",IF(AND(B9,C9,D9),"OK","Fix"))</f>
        <v/>
      </c>
      <c r="G9" t="inlineStr">
        <is>
          <t>Check: OK + Fix = rows, duplicate counts agree</t>
        </is>
      </c>
      <c r="H9" s="7">
        <f>IF(AND(H3+H4=H2,H8=SUMPRODUCT(--(B2:B200=FALSE),--(Entries!A2:A200&lt;&gt;""))),"OK","CHECK")</f>
        <v/>
      </c>
    </row>
    <row r="10">
      <c r="A10" s="6">
        <f>IF(AND(Entries!A10="",Entries!B10="",Entries!C10=""),"",IF(Entries!A10="","(blank)",Entries!A10))</f>
        <v/>
      </c>
      <c r="B10" s="6">
        <f>IF(AND(Entries!A10="",Entries!B10="",Entries!C10=""),"",AND(Entries!A10&lt;&gt;"",COUNTIF(Entries!$A$2:$A$200,Entries!A10)=1))</f>
        <v/>
      </c>
      <c r="C10" s="6">
        <f>IF(AND(Entries!A10="",Entries!B10="",Entries!C10=""),"",AND(ISNUMBER(Entries!B10),Entries!B10&gt;=DATE(2026,1,1),Entries!B10&lt;=DATE(2026,12,31)))</f>
        <v/>
      </c>
      <c r="D10" s="6">
        <f>IF(AND(Entries!A10="",Entries!B10="",Entries!C10=""),"",IF(ISNUMBER(Entries!C10),AND(Entries!C10&gt;0,Entries!C10=INT(Entries!C10)),FALSE))</f>
        <v/>
      </c>
      <c r="E10" s="6">
        <f>IF(AND(Entries!A10="",Entries!B10="",Entries!C10=""),"",IF(AND(B10,C10,D10),"OK","Fix"))</f>
        <v/>
      </c>
    </row>
    <row r="11">
      <c r="A11" s="6">
        <f>IF(AND(Entries!A11="",Entries!B11="",Entries!C11=""),"",IF(Entries!A11="","(blank)",Entries!A11))</f>
        <v/>
      </c>
      <c r="B11" s="6">
        <f>IF(AND(Entries!A11="",Entries!B11="",Entries!C11=""),"",AND(Entries!A11&lt;&gt;"",COUNTIF(Entries!$A$2:$A$200,Entries!A11)=1))</f>
        <v/>
      </c>
      <c r="C11" s="6">
        <f>IF(AND(Entries!A11="",Entries!B11="",Entries!C11=""),"",AND(ISNUMBER(Entries!B11),Entries!B11&gt;=DATE(2026,1,1),Entries!B11&lt;=DATE(2026,12,31)))</f>
        <v/>
      </c>
      <c r="D11" s="6">
        <f>IF(AND(Entries!A11="",Entries!B11="",Entries!C11=""),"",IF(ISNUMBER(Entries!C11),AND(Entries!C11&gt;0,Entries!C11=INT(Entries!C11)),FALSE))</f>
        <v/>
      </c>
      <c r="E11" s="6">
        <f>IF(AND(Entries!A11="",Entries!B11="",Entries!C11=""),"",IF(AND(B11,C11,D11),"OK","Fix"))</f>
        <v/>
      </c>
    </row>
    <row r="12">
      <c r="A12" s="6">
        <f>IF(AND(Entries!A12="",Entries!B12="",Entries!C12=""),"",IF(Entries!A12="","(blank)",Entries!A12))</f>
        <v/>
      </c>
      <c r="B12" s="6">
        <f>IF(AND(Entries!A12="",Entries!B12="",Entries!C12=""),"",AND(Entries!A12&lt;&gt;"",COUNTIF(Entries!$A$2:$A$200,Entries!A12)=1))</f>
        <v/>
      </c>
      <c r="C12" s="6">
        <f>IF(AND(Entries!A12="",Entries!B12="",Entries!C12=""),"",AND(ISNUMBER(Entries!B12),Entries!B12&gt;=DATE(2026,1,1),Entries!B12&lt;=DATE(2026,12,31)))</f>
        <v/>
      </c>
      <c r="D12" s="6">
        <f>IF(AND(Entries!A12="",Entries!B12="",Entries!C12=""),"",IF(ISNUMBER(Entries!C12),AND(Entries!C12&gt;0,Entries!C12=INT(Entries!C12)),FALSE))</f>
        <v/>
      </c>
      <c r="E12" s="6">
        <f>IF(AND(Entries!A12="",Entries!B12="",Entries!C12=""),"",IF(AND(B12,C12,D12),"OK","Fix"))</f>
        <v/>
      </c>
    </row>
    <row r="13">
      <c r="A13" s="6">
        <f>IF(AND(Entries!A13="",Entries!B13="",Entries!C13=""),"",IF(Entries!A13="","(blank)",Entries!A13))</f>
        <v/>
      </c>
      <c r="B13" s="6">
        <f>IF(AND(Entries!A13="",Entries!B13="",Entries!C13=""),"",AND(Entries!A13&lt;&gt;"",COUNTIF(Entries!$A$2:$A$200,Entries!A13)=1))</f>
        <v/>
      </c>
      <c r="C13" s="6">
        <f>IF(AND(Entries!A13="",Entries!B13="",Entries!C13=""),"",AND(ISNUMBER(Entries!B13),Entries!B13&gt;=DATE(2026,1,1),Entries!B13&lt;=DATE(2026,12,31)))</f>
        <v/>
      </c>
      <c r="D13" s="6">
        <f>IF(AND(Entries!A13="",Entries!B13="",Entries!C13=""),"",IF(ISNUMBER(Entries!C13),AND(Entries!C13&gt;0,Entries!C13=INT(Entries!C13)),FALSE))</f>
        <v/>
      </c>
      <c r="E13" s="6">
        <f>IF(AND(Entries!A13="",Entries!B13="",Entries!C13=""),"",IF(AND(B13,C13,D13),"OK","Fix"))</f>
        <v/>
      </c>
    </row>
    <row r="14">
      <c r="A14" s="6">
        <f>IF(AND(Entries!A14="",Entries!B14="",Entries!C14=""),"",IF(Entries!A14="","(blank)",Entries!A14))</f>
        <v/>
      </c>
      <c r="B14" s="6">
        <f>IF(AND(Entries!A14="",Entries!B14="",Entries!C14=""),"",AND(Entries!A14&lt;&gt;"",COUNTIF(Entries!$A$2:$A$200,Entries!A14)=1))</f>
        <v/>
      </c>
      <c r="C14" s="6">
        <f>IF(AND(Entries!A14="",Entries!B14="",Entries!C14=""),"",AND(ISNUMBER(Entries!B14),Entries!B14&gt;=DATE(2026,1,1),Entries!B14&lt;=DATE(2026,12,31)))</f>
        <v/>
      </c>
      <c r="D14" s="6">
        <f>IF(AND(Entries!A14="",Entries!B14="",Entries!C14=""),"",IF(ISNUMBER(Entries!C14),AND(Entries!C14&gt;0,Entries!C14=INT(Entries!C14)),FALSE))</f>
        <v/>
      </c>
      <c r="E14" s="6">
        <f>IF(AND(Entries!A14="",Entries!B14="",Entries!C14=""),"",IF(AND(B14,C14,D14),"OK","Fix"))</f>
        <v/>
      </c>
    </row>
    <row r="15">
      <c r="A15" s="6">
        <f>IF(AND(Entries!A15="",Entries!B15="",Entries!C15=""),"",IF(Entries!A15="","(blank)",Entries!A15))</f>
        <v/>
      </c>
      <c r="B15" s="6">
        <f>IF(AND(Entries!A15="",Entries!B15="",Entries!C15=""),"",AND(Entries!A15&lt;&gt;"",COUNTIF(Entries!$A$2:$A$200,Entries!A15)=1))</f>
        <v/>
      </c>
      <c r="C15" s="6">
        <f>IF(AND(Entries!A15="",Entries!B15="",Entries!C15=""),"",AND(ISNUMBER(Entries!B15),Entries!B15&gt;=DATE(2026,1,1),Entries!B15&lt;=DATE(2026,12,31)))</f>
        <v/>
      </c>
      <c r="D15" s="6">
        <f>IF(AND(Entries!A15="",Entries!B15="",Entries!C15=""),"",IF(ISNUMBER(Entries!C15),AND(Entries!C15&gt;0,Entries!C15=INT(Entries!C15)),FALSE))</f>
        <v/>
      </c>
      <c r="E15" s="6">
        <f>IF(AND(Entries!A15="",Entries!B15="",Entries!C15=""),"",IF(AND(B15,C15,D15),"OK","Fix"))</f>
        <v/>
      </c>
    </row>
    <row r="16">
      <c r="A16" s="6">
        <f>IF(AND(Entries!A16="",Entries!B16="",Entries!C16=""),"",IF(Entries!A16="","(blank)",Entries!A16))</f>
        <v/>
      </c>
      <c r="B16" s="6">
        <f>IF(AND(Entries!A16="",Entries!B16="",Entries!C16=""),"",AND(Entries!A16&lt;&gt;"",COUNTIF(Entries!$A$2:$A$200,Entries!A16)=1))</f>
        <v/>
      </c>
      <c r="C16" s="6">
        <f>IF(AND(Entries!A16="",Entries!B16="",Entries!C16=""),"",AND(ISNUMBER(Entries!B16),Entries!B16&gt;=DATE(2026,1,1),Entries!B16&lt;=DATE(2026,12,31)))</f>
        <v/>
      </c>
      <c r="D16" s="6">
        <f>IF(AND(Entries!A16="",Entries!B16="",Entries!C16=""),"",IF(ISNUMBER(Entries!C16),AND(Entries!C16&gt;0,Entries!C16=INT(Entries!C16)),FALSE))</f>
        <v/>
      </c>
      <c r="E16" s="6">
        <f>IF(AND(Entries!A16="",Entries!B16="",Entries!C16=""),"",IF(AND(B16,C16,D16),"OK","Fix"))</f>
        <v/>
      </c>
    </row>
    <row r="17">
      <c r="A17" s="6">
        <f>IF(AND(Entries!A17="",Entries!B17="",Entries!C17=""),"",IF(Entries!A17="","(blank)",Entries!A17))</f>
        <v/>
      </c>
      <c r="B17" s="6">
        <f>IF(AND(Entries!A17="",Entries!B17="",Entries!C17=""),"",AND(Entries!A17&lt;&gt;"",COUNTIF(Entries!$A$2:$A$200,Entries!A17)=1))</f>
        <v/>
      </c>
      <c r="C17" s="6">
        <f>IF(AND(Entries!A17="",Entries!B17="",Entries!C17=""),"",AND(ISNUMBER(Entries!B17),Entries!B17&gt;=DATE(2026,1,1),Entries!B17&lt;=DATE(2026,12,31)))</f>
        <v/>
      </c>
      <c r="D17" s="6">
        <f>IF(AND(Entries!A17="",Entries!B17="",Entries!C17=""),"",IF(ISNUMBER(Entries!C17),AND(Entries!C17&gt;0,Entries!C17=INT(Entries!C17)),FALSE))</f>
        <v/>
      </c>
      <c r="E17" s="6">
        <f>IF(AND(Entries!A17="",Entries!B17="",Entries!C17=""),"",IF(AND(B17,C17,D17),"OK","Fix"))</f>
        <v/>
      </c>
    </row>
    <row r="18">
      <c r="A18" s="6">
        <f>IF(AND(Entries!A18="",Entries!B18="",Entries!C18=""),"",IF(Entries!A18="","(blank)",Entries!A18))</f>
        <v/>
      </c>
      <c r="B18" s="6">
        <f>IF(AND(Entries!A18="",Entries!B18="",Entries!C18=""),"",AND(Entries!A18&lt;&gt;"",COUNTIF(Entries!$A$2:$A$200,Entries!A18)=1))</f>
        <v/>
      </c>
      <c r="C18" s="6">
        <f>IF(AND(Entries!A18="",Entries!B18="",Entries!C18=""),"",AND(ISNUMBER(Entries!B18),Entries!B18&gt;=DATE(2026,1,1),Entries!B18&lt;=DATE(2026,12,31)))</f>
        <v/>
      </c>
      <c r="D18" s="6">
        <f>IF(AND(Entries!A18="",Entries!B18="",Entries!C18=""),"",IF(ISNUMBER(Entries!C18),AND(Entries!C18&gt;0,Entries!C18=INT(Entries!C18)),FALSE))</f>
        <v/>
      </c>
      <c r="E18" s="6">
        <f>IF(AND(Entries!A18="",Entries!B18="",Entries!C18=""),"",IF(AND(B18,C18,D18),"OK","Fix"))</f>
        <v/>
      </c>
    </row>
    <row r="19">
      <c r="A19" s="6">
        <f>IF(AND(Entries!A19="",Entries!B19="",Entries!C19=""),"",IF(Entries!A19="","(blank)",Entries!A19))</f>
        <v/>
      </c>
      <c r="B19" s="6">
        <f>IF(AND(Entries!A19="",Entries!B19="",Entries!C19=""),"",AND(Entries!A19&lt;&gt;"",COUNTIF(Entries!$A$2:$A$200,Entries!A19)=1))</f>
        <v/>
      </c>
      <c r="C19" s="6">
        <f>IF(AND(Entries!A19="",Entries!B19="",Entries!C19=""),"",AND(ISNUMBER(Entries!B19),Entries!B19&gt;=DATE(2026,1,1),Entries!B19&lt;=DATE(2026,12,31)))</f>
        <v/>
      </c>
      <c r="D19" s="6">
        <f>IF(AND(Entries!A19="",Entries!B19="",Entries!C19=""),"",IF(ISNUMBER(Entries!C19),AND(Entries!C19&gt;0,Entries!C19=INT(Entries!C19)),FALSE))</f>
        <v/>
      </c>
      <c r="E19" s="6">
        <f>IF(AND(Entries!A19="",Entries!B19="",Entries!C19=""),"",IF(AND(B19,C19,D19),"OK","Fix"))</f>
        <v/>
      </c>
    </row>
    <row r="20">
      <c r="A20" s="6">
        <f>IF(AND(Entries!A20="",Entries!B20="",Entries!C20=""),"",IF(Entries!A20="","(blank)",Entries!A20))</f>
        <v/>
      </c>
      <c r="B20" s="6">
        <f>IF(AND(Entries!A20="",Entries!B20="",Entries!C20=""),"",AND(Entries!A20&lt;&gt;"",COUNTIF(Entries!$A$2:$A$200,Entries!A20)=1))</f>
        <v/>
      </c>
      <c r="C20" s="6">
        <f>IF(AND(Entries!A20="",Entries!B20="",Entries!C20=""),"",AND(ISNUMBER(Entries!B20),Entries!B20&gt;=DATE(2026,1,1),Entries!B20&lt;=DATE(2026,12,31)))</f>
        <v/>
      </c>
      <c r="D20" s="6">
        <f>IF(AND(Entries!A20="",Entries!B20="",Entries!C20=""),"",IF(ISNUMBER(Entries!C20),AND(Entries!C20&gt;0,Entries!C20=INT(Entries!C20)),FALSE))</f>
        <v/>
      </c>
      <c r="E20" s="6">
        <f>IF(AND(Entries!A20="",Entries!B20="",Entries!C20=""),"",IF(AND(B20,C20,D20),"OK","Fix"))</f>
        <v/>
      </c>
    </row>
    <row r="21">
      <c r="A21" s="6">
        <f>IF(AND(Entries!A21="",Entries!B21="",Entries!C21=""),"",IF(Entries!A21="","(blank)",Entries!A21))</f>
        <v/>
      </c>
      <c r="B21" s="6">
        <f>IF(AND(Entries!A21="",Entries!B21="",Entries!C21=""),"",AND(Entries!A21&lt;&gt;"",COUNTIF(Entries!$A$2:$A$200,Entries!A21)=1))</f>
        <v/>
      </c>
      <c r="C21" s="6">
        <f>IF(AND(Entries!A21="",Entries!B21="",Entries!C21=""),"",AND(ISNUMBER(Entries!B21),Entries!B21&gt;=DATE(2026,1,1),Entries!B21&lt;=DATE(2026,12,31)))</f>
        <v/>
      </c>
      <c r="D21" s="6">
        <f>IF(AND(Entries!A21="",Entries!B21="",Entries!C21=""),"",IF(ISNUMBER(Entries!C21),AND(Entries!C21&gt;0,Entries!C21=INT(Entries!C21)),FALSE))</f>
        <v/>
      </c>
      <c r="E21" s="6">
        <f>IF(AND(Entries!A21="",Entries!B21="",Entries!C21=""),"",IF(AND(B21,C21,D21),"OK","Fix"))</f>
        <v/>
      </c>
    </row>
    <row r="22">
      <c r="A22" s="6">
        <f>IF(AND(Entries!A22="",Entries!B22="",Entries!C22=""),"",IF(Entries!A22="","(blank)",Entries!A22))</f>
        <v/>
      </c>
      <c r="B22" s="6">
        <f>IF(AND(Entries!A22="",Entries!B22="",Entries!C22=""),"",AND(Entries!A22&lt;&gt;"",COUNTIF(Entries!$A$2:$A$200,Entries!A22)=1))</f>
        <v/>
      </c>
      <c r="C22" s="6">
        <f>IF(AND(Entries!A22="",Entries!B22="",Entries!C22=""),"",AND(ISNUMBER(Entries!B22),Entries!B22&gt;=DATE(2026,1,1),Entries!B22&lt;=DATE(2026,12,31)))</f>
        <v/>
      </c>
      <c r="D22" s="6">
        <f>IF(AND(Entries!A22="",Entries!B22="",Entries!C22=""),"",IF(ISNUMBER(Entries!C22),AND(Entries!C22&gt;0,Entries!C22=INT(Entries!C22)),FALSE))</f>
        <v/>
      </c>
      <c r="E22" s="6">
        <f>IF(AND(Entries!A22="",Entries!B22="",Entries!C22=""),"",IF(AND(B22,C22,D22),"OK","Fix"))</f>
        <v/>
      </c>
    </row>
    <row r="23">
      <c r="A23" s="6">
        <f>IF(AND(Entries!A23="",Entries!B23="",Entries!C23=""),"",IF(Entries!A23="","(blank)",Entries!A23))</f>
        <v/>
      </c>
      <c r="B23" s="6">
        <f>IF(AND(Entries!A23="",Entries!B23="",Entries!C23=""),"",AND(Entries!A23&lt;&gt;"",COUNTIF(Entries!$A$2:$A$200,Entries!A23)=1))</f>
        <v/>
      </c>
      <c r="C23" s="6">
        <f>IF(AND(Entries!A23="",Entries!B23="",Entries!C23=""),"",AND(ISNUMBER(Entries!B23),Entries!B23&gt;=DATE(2026,1,1),Entries!B23&lt;=DATE(2026,12,31)))</f>
        <v/>
      </c>
      <c r="D23" s="6">
        <f>IF(AND(Entries!A23="",Entries!B23="",Entries!C23=""),"",IF(ISNUMBER(Entries!C23),AND(Entries!C23&gt;0,Entries!C23=INT(Entries!C23)),FALSE))</f>
        <v/>
      </c>
      <c r="E23" s="6">
        <f>IF(AND(Entries!A23="",Entries!B23="",Entries!C23=""),"",IF(AND(B23,C23,D23),"OK","Fix"))</f>
        <v/>
      </c>
    </row>
    <row r="24">
      <c r="A24" s="6">
        <f>IF(AND(Entries!A24="",Entries!B24="",Entries!C24=""),"",IF(Entries!A24="","(blank)",Entries!A24))</f>
        <v/>
      </c>
      <c r="B24" s="6">
        <f>IF(AND(Entries!A24="",Entries!B24="",Entries!C24=""),"",AND(Entries!A24&lt;&gt;"",COUNTIF(Entries!$A$2:$A$200,Entries!A24)=1))</f>
        <v/>
      </c>
      <c r="C24" s="6">
        <f>IF(AND(Entries!A24="",Entries!B24="",Entries!C24=""),"",AND(ISNUMBER(Entries!B24),Entries!B24&gt;=DATE(2026,1,1),Entries!B24&lt;=DATE(2026,12,31)))</f>
        <v/>
      </c>
      <c r="D24" s="6">
        <f>IF(AND(Entries!A24="",Entries!B24="",Entries!C24=""),"",IF(ISNUMBER(Entries!C24),AND(Entries!C24&gt;0,Entries!C24=INT(Entries!C24)),FALSE))</f>
        <v/>
      </c>
      <c r="E24" s="6">
        <f>IF(AND(Entries!A24="",Entries!B24="",Entries!C24=""),"",IF(AND(B24,C24,D24),"OK","Fix"))</f>
        <v/>
      </c>
    </row>
    <row r="25">
      <c r="A25" s="6">
        <f>IF(AND(Entries!A25="",Entries!B25="",Entries!C25=""),"",IF(Entries!A25="","(blank)",Entries!A25))</f>
        <v/>
      </c>
      <c r="B25" s="6">
        <f>IF(AND(Entries!A25="",Entries!B25="",Entries!C25=""),"",AND(Entries!A25&lt;&gt;"",COUNTIF(Entries!$A$2:$A$200,Entries!A25)=1))</f>
        <v/>
      </c>
      <c r="C25" s="6">
        <f>IF(AND(Entries!A25="",Entries!B25="",Entries!C25=""),"",AND(ISNUMBER(Entries!B25),Entries!B25&gt;=DATE(2026,1,1),Entries!B25&lt;=DATE(2026,12,31)))</f>
        <v/>
      </c>
      <c r="D25" s="6">
        <f>IF(AND(Entries!A25="",Entries!B25="",Entries!C25=""),"",IF(ISNUMBER(Entries!C25),AND(Entries!C25&gt;0,Entries!C25=INT(Entries!C25)),FALSE))</f>
        <v/>
      </c>
      <c r="E25" s="6">
        <f>IF(AND(Entries!A25="",Entries!B25="",Entries!C25=""),"",IF(AND(B25,C25,D25),"OK","Fix"))</f>
        <v/>
      </c>
    </row>
    <row r="26">
      <c r="A26" s="6">
        <f>IF(AND(Entries!A26="",Entries!B26="",Entries!C26=""),"",IF(Entries!A26="","(blank)",Entries!A26))</f>
        <v/>
      </c>
      <c r="B26" s="6">
        <f>IF(AND(Entries!A26="",Entries!B26="",Entries!C26=""),"",AND(Entries!A26&lt;&gt;"",COUNTIF(Entries!$A$2:$A$200,Entries!A26)=1))</f>
        <v/>
      </c>
      <c r="C26" s="6">
        <f>IF(AND(Entries!A26="",Entries!B26="",Entries!C26=""),"",AND(ISNUMBER(Entries!B26),Entries!B26&gt;=DATE(2026,1,1),Entries!B26&lt;=DATE(2026,12,31)))</f>
        <v/>
      </c>
      <c r="D26" s="6">
        <f>IF(AND(Entries!A26="",Entries!B26="",Entries!C26=""),"",IF(ISNUMBER(Entries!C26),AND(Entries!C26&gt;0,Entries!C26=INT(Entries!C26)),FALSE))</f>
        <v/>
      </c>
      <c r="E26" s="6">
        <f>IF(AND(Entries!A26="",Entries!B26="",Entries!C26=""),"",IF(AND(B26,C26,D26),"OK","Fix"))</f>
        <v/>
      </c>
    </row>
    <row r="27">
      <c r="A27" s="6">
        <f>IF(AND(Entries!A27="",Entries!B27="",Entries!C27=""),"",IF(Entries!A27="","(blank)",Entries!A27))</f>
        <v/>
      </c>
      <c r="B27" s="6">
        <f>IF(AND(Entries!A27="",Entries!B27="",Entries!C27=""),"",AND(Entries!A27&lt;&gt;"",COUNTIF(Entries!$A$2:$A$200,Entries!A27)=1))</f>
        <v/>
      </c>
      <c r="C27" s="6">
        <f>IF(AND(Entries!A27="",Entries!B27="",Entries!C27=""),"",AND(ISNUMBER(Entries!B27),Entries!B27&gt;=DATE(2026,1,1),Entries!B27&lt;=DATE(2026,12,31)))</f>
        <v/>
      </c>
      <c r="D27" s="6">
        <f>IF(AND(Entries!A27="",Entries!B27="",Entries!C27=""),"",IF(ISNUMBER(Entries!C27),AND(Entries!C27&gt;0,Entries!C27=INT(Entries!C27)),FALSE))</f>
        <v/>
      </c>
      <c r="E27" s="6">
        <f>IF(AND(Entries!A27="",Entries!B27="",Entries!C27=""),"",IF(AND(B27,C27,D27),"OK","Fix"))</f>
        <v/>
      </c>
    </row>
    <row r="28">
      <c r="A28" s="6">
        <f>IF(AND(Entries!A28="",Entries!B28="",Entries!C28=""),"",IF(Entries!A28="","(blank)",Entries!A28))</f>
        <v/>
      </c>
      <c r="B28" s="6">
        <f>IF(AND(Entries!A28="",Entries!B28="",Entries!C28=""),"",AND(Entries!A28&lt;&gt;"",COUNTIF(Entries!$A$2:$A$200,Entries!A28)=1))</f>
        <v/>
      </c>
      <c r="C28" s="6">
        <f>IF(AND(Entries!A28="",Entries!B28="",Entries!C28=""),"",AND(ISNUMBER(Entries!B28),Entries!B28&gt;=DATE(2026,1,1),Entries!B28&lt;=DATE(2026,12,31)))</f>
        <v/>
      </c>
      <c r="D28" s="6">
        <f>IF(AND(Entries!A28="",Entries!B28="",Entries!C28=""),"",IF(ISNUMBER(Entries!C28),AND(Entries!C28&gt;0,Entries!C28=INT(Entries!C28)),FALSE))</f>
        <v/>
      </c>
      <c r="E28" s="6">
        <f>IF(AND(Entries!A28="",Entries!B28="",Entries!C28=""),"",IF(AND(B28,C28,D28),"OK","Fix"))</f>
        <v/>
      </c>
    </row>
    <row r="29">
      <c r="A29" s="6">
        <f>IF(AND(Entries!A29="",Entries!B29="",Entries!C29=""),"",IF(Entries!A29="","(blank)",Entries!A29))</f>
        <v/>
      </c>
      <c r="B29" s="6">
        <f>IF(AND(Entries!A29="",Entries!B29="",Entries!C29=""),"",AND(Entries!A29&lt;&gt;"",COUNTIF(Entries!$A$2:$A$200,Entries!A29)=1))</f>
        <v/>
      </c>
      <c r="C29" s="6">
        <f>IF(AND(Entries!A29="",Entries!B29="",Entries!C29=""),"",AND(ISNUMBER(Entries!B29),Entries!B29&gt;=DATE(2026,1,1),Entries!B29&lt;=DATE(2026,12,31)))</f>
        <v/>
      </c>
      <c r="D29" s="6">
        <f>IF(AND(Entries!A29="",Entries!B29="",Entries!C29=""),"",IF(ISNUMBER(Entries!C29),AND(Entries!C29&gt;0,Entries!C29=INT(Entries!C29)),FALSE))</f>
        <v/>
      </c>
      <c r="E29" s="6">
        <f>IF(AND(Entries!A29="",Entries!B29="",Entries!C29=""),"",IF(AND(B29,C29,D29),"OK","Fix"))</f>
        <v/>
      </c>
    </row>
    <row r="30">
      <c r="A30" s="6">
        <f>IF(AND(Entries!A30="",Entries!B30="",Entries!C30=""),"",IF(Entries!A30="","(blank)",Entries!A30))</f>
        <v/>
      </c>
      <c r="B30" s="6">
        <f>IF(AND(Entries!A30="",Entries!B30="",Entries!C30=""),"",AND(Entries!A30&lt;&gt;"",COUNTIF(Entries!$A$2:$A$200,Entries!A30)=1))</f>
        <v/>
      </c>
      <c r="C30" s="6">
        <f>IF(AND(Entries!A30="",Entries!B30="",Entries!C30=""),"",AND(ISNUMBER(Entries!B30),Entries!B30&gt;=DATE(2026,1,1),Entries!B30&lt;=DATE(2026,12,31)))</f>
        <v/>
      </c>
      <c r="D30" s="6">
        <f>IF(AND(Entries!A30="",Entries!B30="",Entries!C30=""),"",IF(ISNUMBER(Entries!C30),AND(Entries!C30&gt;0,Entries!C30=INT(Entries!C30)),FALSE))</f>
        <v/>
      </c>
      <c r="E30" s="6">
        <f>IF(AND(Entries!A30="",Entries!B30="",Entries!C30=""),"",IF(AND(B30,C30,D30),"OK","Fix"))</f>
        <v/>
      </c>
    </row>
    <row r="31">
      <c r="A31" s="6">
        <f>IF(AND(Entries!A31="",Entries!B31="",Entries!C31=""),"",IF(Entries!A31="","(blank)",Entries!A31))</f>
        <v/>
      </c>
      <c r="B31" s="6">
        <f>IF(AND(Entries!A31="",Entries!B31="",Entries!C31=""),"",AND(Entries!A31&lt;&gt;"",COUNTIF(Entries!$A$2:$A$200,Entries!A31)=1))</f>
        <v/>
      </c>
      <c r="C31" s="6">
        <f>IF(AND(Entries!A31="",Entries!B31="",Entries!C31=""),"",AND(ISNUMBER(Entries!B31),Entries!B31&gt;=DATE(2026,1,1),Entries!B31&lt;=DATE(2026,12,31)))</f>
        <v/>
      </c>
      <c r="D31" s="6">
        <f>IF(AND(Entries!A31="",Entries!B31="",Entries!C31=""),"",IF(ISNUMBER(Entries!C31),AND(Entries!C31&gt;0,Entries!C31=INT(Entries!C31)),FALSE))</f>
        <v/>
      </c>
      <c r="E31" s="6">
        <f>IF(AND(Entries!A31="",Entries!B31="",Entries!C31=""),"",IF(AND(B31,C31,D31),"OK","Fix"))</f>
        <v/>
      </c>
    </row>
    <row r="32">
      <c r="A32" s="6">
        <f>IF(AND(Entries!A32="",Entries!B32="",Entries!C32=""),"",IF(Entries!A32="","(blank)",Entries!A32))</f>
        <v/>
      </c>
      <c r="B32" s="6">
        <f>IF(AND(Entries!A32="",Entries!B32="",Entries!C32=""),"",AND(Entries!A32&lt;&gt;"",COUNTIF(Entries!$A$2:$A$200,Entries!A32)=1))</f>
        <v/>
      </c>
      <c r="C32" s="6">
        <f>IF(AND(Entries!A32="",Entries!B32="",Entries!C32=""),"",AND(ISNUMBER(Entries!B32),Entries!B32&gt;=DATE(2026,1,1),Entries!B32&lt;=DATE(2026,12,31)))</f>
        <v/>
      </c>
      <c r="D32" s="6">
        <f>IF(AND(Entries!A32="",Entries!B32="",Entries!C32=""),"",IF(ISNUMBER(Entries!C32),AND(Entries!C32&gt;0,Entries!C32=INT(Entries!C32)),FALSE))</f>
        <v/>
      </c>
      <c r="E32" s="6">
        <f>IF(AND(Entries!A32="",Entries!B32="",Entries!C32=""),"",IF(AND(B32,C32,D32),"OK","Fix"))</f>
        <v/>
      </c>
    </row>
    <row r="33">
      <c r="A33" s="6">
        <f>IF(AND(Entries!A33="",Entries!B33="",Entries!C33=""),"",IF(Entries!A33="","(blank)",Entries!A33))</f>
        <v/>
      </c>
      <c r="B33" s="6">
        <f>IF(AND(Entries!A33="",Entries!B33="",Entries!C33=""),"",AND(Entries!A33&lt;&gt;"",COUNTIF(Entries!$A$2:$A$200,Entries!A33)=1))</f>
        <v/>
      </c>
      <c r="C33" s="6">
        <f>IF(AND(Entries!A33="",Entries!B33="",Entries!C33=""),"",AND(ISNUMBER(Entries!B33),Entries!B33&gt;=DATE(2026,1,1),Entries!B33&lt;=DATE(2026,12,31)))</f>
        <v/>
      </c>
      <c r="D33" s="6">
        <f>IF(AND(Entries!A33="",Entries!B33="",Entries!C33=""),"",IF(ISNUMBER(Entries!C33),AND(Entries!C33&gt;0,Entries!C33=INT(Entries!C33)),FALSE))</f>
        <v/>
      </c>
      <c r="E33" s="6">
        <f>IF(AND(Entries!A33="",Entries!B33="",Entries!C33=""),"",IF(AND(B33,C33,D33),"OK","Fix"))</f>
        <v/>
      </c>
    </row>
    <row r="34">
      <c r="A34" s="6">
        <f>IF(AND(Entries!A34="",Entries!B34="",Entries!C34=""),"",IF(Entries!A34="","(blank)",Entries!A34))</f>
        <v/>
      </c>
      <c r="B34" s="6">
        <f>IF(AND(Entries!A34="",Entries!B34="",Entries!C34=""),"",AND(Entries!A34&lt;&gt;"",COUNTIF(Entries!$A$2:$A$200,Entries!A34)=1))</f>
        <v/>
      </c>
      <c r="C34" s="6">
        <f>IF(AND(Entries!A34="",Entries!B34="",Entries!C34=""),"",AND(ISNUMBER(Entries!B34),Entries!B34&gt;=DATE(2026,1,1),Entries!B34&lt;=DATE(2026,12,31)))</f>
        <v/>
      </c>
      <c r="D34" s="6">
        <f>IF(AND(Entries!A34="",Entries!B34="",Entries!C34=""),"",IF(ISNUMBER(Entries!C34),AND(Entries!C34&gt;0,Entries!C34=INT(Entries!C34)),FALSE))</f>
        <v/>
      </c>
      <c r="E34" s="6">
        <f>IF(AND(Entries!A34="",Entries!B34="",Entries!C34=""),"",IF(AND(B34,C34,D34),"OK","Fix"))</f>
        <v/>
      </c>
    </row>
    <row r="35">
      <c r="A35" s="6">
        <f>IF(AND(Entries!A35="",Entries!B35="",Entries!C35=""),"",IF(Entries!A35="","(blank)",Entries!A35))</f>
        <v/>
      </c>
      <c r="B35" s="6">
        <f>IF(AND(Entries!A35="",Entries!B35="",Entries!C35=""),"",AND(Entries!A35&lt;&gt;"",COUNTIF(Entries!$A$2:$A$200,Entries!A35)=1))</f>
        <v/>
      </c>
      <c r="C35" s="6">
        <f>IF(AND(Entries!A35="",Entries!B35="",Entries!C35=""),"",AND(ISNUMBER(Entries!B35),Entries!B35&gt;=DATE(2026,1,1),Entries!B35&lt;=DATE(2026,12,31)))</f>
        <v/>
      </c>
      <c r="D35" s="6">
        <f>IF(AND(Entries!A35="",Entries!B35="",Entries!C35=""),"",IF(ISNUMBER(Entries!C35),AND(Entries!C35&gt;0,Entries!C35=INT(Entries!C35)),FALSE))</f>
        <v/>
      </c>
      <c r="E35" s="6">
        <f>IF(AND(Entries!A35="",Entries!B35="",Entries!C35=""),"",IF(AND(B35,C35,D35),"OK","Fix"))</f>
        <v/>
      </c>
    </row>
    <row r="36">
      <c r="A36" s="6">
        <f>IF(AND(Entries!A36="",Entries!B36="",Entries!C36=""),"",IF(Entries!A36="","(blank)",Entries!A36))</f>
        <v/>
      </c>
      <c r="B36" s="6">
        <f>IF(AND(Entries!A36="",Entries!B36="",Entries!C36=""),"",AND(Entries!A36&lt;&gt;"",COUNTIF(Entries!$A$2:$A$200,Entries!A36)=1))</f>
        <v/>
      </c>
      <c r="C36" s="6">
        <f>IF(AND(Entries!A36="",Entries!B36="",Entries!C36=""),"",AND(ISNUMBER(Entries!B36),Entries!B36&gt;=DATE(2026,1,1),Entries!B36&lt;=DATE(2026,12,31)))</f>
        <v/>
      </c>
      <c r="D36" s="6">
        <f>IF(AND(Entries!A36="",Entries!B36="",Entries!C36=""),"",IF(ISNUMBER(Entries!C36),AND(Entries!C36&gt;0,Entries!C36=INT(Entries!C36)),FALSE))</f>
        <v/>
      </c>
      <c r="E36" s="6">
        <f>IF(AND(Entries!A36="",Entries!B36="",Entries!C36=""),"",IF(AND(B36,C36,D36),"OK","Fix"))</f>
        <v/>
      </c>
    </row>
    <row r="37">
      <c r="A37" s="6">
        <f>IF(AND(Entries!A37="",Entries!B37="",Entries!C37=""),"",IF(Entries!A37="","(blank)",Entries!A37))</f>
        <v/>
      </c>
      <c r="B37" s="6">
        <f>IF(AND(Entries!A37="",Entries!B37="",Entries!C37=""),"",AND(Entries!A37&lt;&gt;"",COUNTIF(Entries!$A$2:$A$200,Entries!A37)=1))</f>
        <v/>
      </c>
      <c r="C37" s="6">
        <f>IF(AND(Entries!A37="",Entries!B37="",Entries!C37=""),"",AND(ISNUMBER(Entries!B37),Entries!B37&gt;=DATE(2026,1,1),Entries!B37&lt;=DATE(2026,12,31)))</f>
        <v/>
      </c>
      <c r="D37" s="6">
        <f>IF(AND(Entries!A37="",Entries!B37="",Entries!C37=""),"",IF(ISNUMBER(Entries!C37),AND(Entries!C37&gt;0,Entries!C37=INT(Entries!C37)),FALSE))</f>
        <v/>
      </c>
      <c r="E37" s="6">
        <f>IF(AND(Entries!A37="",Entries!B37="",Entries!C37=""),"",IF(AND(B37,C37,D37),"OK","Fix"))</f>
        <v/>
      </c>
    </row>
    <row r="38">
      <c r="A38" s="6">
        <f>IF(AND(Entries!A38="",Entries!B38="",Entries!C38=""),"",IF(Entries!A38="","(blank)",Entries!A38))</f>
        <v/>
      </c>
      <c r="B38" s="6">
        <f>IF(AND(Entries!A38="",Entries!B38="",Entries!C38=""),"",AND(Entries!A38&lt;&gt;"",COUNTIF(Entries!$A$2:$A$200,Entries!A38)=1))</f>
        <v/>
      </c>
      <c r="C38" s="6">
        <f>IF(AND(Entries!A38="",Entries!B38="",Entries!C38=""),"",AND(ISNUMBER(Entries!B38),Entries!B38&gt;=DATE(2026,1,1),Entries!B38&lt;=DATE(2026,12,31)))</f>
        <v/>
      </c>
      <c r="D38" s="6">
        <f>IF(AND(Entries!A38="",Entries!B38="",Entries!C38=""),"",IF(ISNUMBER(Entries!C38),AND(Entries!C38&gt;0,Entries!C38=INT(Entries!C38)),FALSE))</f>
        <v/>
      </c>
      <c r="E38" s="6">
        <f>IF(AND(Entries!A38="",Entries!B38="",Entries!C38=""),"",IF(AND(B38,C38,D38),"OK","Fix"))</f>
        <v/>
      </c>
    </row>
    <row r="39">
      <c r="A39" s="6">
        <f>IF(AND(Entries!A39="",Entries!B39="",Entries!C39=""),"",IF(Entries!A39="","(blank)",Entries!A39))</f>
        <v/>
      </c>
      <c r="B39" s="6">
        <f>IF(AND(Entries!A39="",Entries!B39="",Entries!C39=""),"",AND(Entries!A39&lt;&gt;"",COUNTIF(Entries!$A$2:$A$200,Entries!A39)=1))</f>
        <v/>
      </c>
      <c r="C39" s="6">
        <f>IF(AND(Entries!A39="",Entries!B39="",Entries!C39=""),"",AND(ISNUMBER(Entries!B39),Entries!B39&gt;=DATE(2026,1,1),Entries!B39&lt;=DATE(2026,12,31)))</f>
        <v/>
      </c>
      <c r="D39" s="6">
        <f>IF(AND(Entries!A39="",Entries!B39="",Entries!C39=""),"",IF(ISNUMBER(Entries!C39),AND(Entries!C39&gt;0,Entries!C39=INT(Entries!C39)),FALSE))</f>
        <v/>
      </c>
      <c r="E39" s="6">
        <f>IF(AND(Entries!A39="",Entries!B39="",Entries!C39=""),"",IF(AND(B39,C39,D39),"OK","Fix"))</f>
        <v/>
      </c>
    </row>
    <row r="40">
      <c r="A40" s="6">
        <f>IF(AND(Entries!A40="",Entries!B40="",Entries!C40=""),"",IF(Entries!A40="","(blank)",Entries!A40))</f>
        <v/>
      </c>
      <c r="B40" s="6">
        <f>IF(AND(Entries!A40="",Entries!B40="",Entries!C40=""),"",AND(Entries!A40&lt;&gt;"",COUNTIF(Entries!$A$2:$A$200,Entries!A40)=1))</f>
        <v/>
      </c>
      <c r="C40" s="6">
        <f>IF(AND(Entries!A40="",Entries!B40="",Entries!C40=""),"",AND(ISNUMBER(Entries!B40),Entries!B40&gt;=DATE(2026,1,1),Entries!B40&lt;=DATE(2026,12,31)))</f>
        <v/>
      </c>
      <c r="D40" s="6">
        <f>IF(AND(Entries!A40="",Entries!B40="",Entries!C40=""),"",IF(ISNUMBER(Entries!C40),AND(Entries!C40&gt;0,Entries!C40=INT(Entries!C40)),FALSE))</f>
        <v/>
      </c>
      <c r="E40" s="6">
        <f>IF(AND(Entries!A40="",Entries!B40="",Entries!C40=""),"",IF(AND(B40,C40,D40),"OK","Fix"))</f>
        <v/>
      </c>
    </row>
    <row r="41">
      <c r="A41" s="6">
        <f>IF(AND(Entries!A41="",Entries!B41="",Entries!C41=""),"",IF(Entries!A41="","(blank)",Entries!A41))</f>
        <v/>
      </c>
      <c r="B41" s="6">
        <f>IF(AND(Entries!A41="",Entries!B41="",Entries!C41=""),"",AND(Entries!A41&lt;&gt;"",COUNTIF(Entries!$A$2:$A$200,Entries!A41)=1))</f>
        <v/>
      </c>
      <c r="C41" s="6">
        <f>IF(AND(Entries!A41="",Entries!B41="",Entries!C41=""),"",AND(ISNUMBER(Entries!B41),Entries!B41&gt;=DATE(2026,1,1),Entries!B41&lt;=DATE(2026,12,31)))</f>
        <v/>
      </c>
      <c r="D41" s="6">
        <f>IF(AND(Entries!A41="",Entries!B41="",Entries!C41=""),"",IF(ISNUMBER(Entries!C41),AND(Entries!C41&gt;0,Entries!C41=INT(Entries!C41)),FALSE))</f>
        <v/>
      </c>
      <c r="E41" s="6">
        <f>IF(AND(Entries!A41="",Entries!B41="",Entries!C41=""),"",IF(AND(B41,C41,D41),"OK","Fix"))</f>
        <v/>
      </c>
    </row>
    <row r="42">
      <c r="A42" s="6">
        <f>IF(AND(Entries!A42="",Entries!B42="",Entries!C42=""),"",IF(Entries!A42="","(blank)",Entries!A42))</f>
        <v/>
      </c>
      <c r="B42" s="6">
        <f>IF(AND(Entries!A42="",Entries!B42="",Entries!C42=""),"",AND(Entries!A42&lt;&gt;"",COUNTIF(Entries!$A$2:$A$200,Entries!A42)=1))</f>
        <v/>
      </c>
      <c r="C42" s="6">
        <f>IF(AND(Entries!A42="",Entries!B42="",Entries!C42=""),"",AND(ISNUMBER(Entries!B42),Entries!B42&gt;=DATE(2026,1,1),Entries!B42&lt;=DATE(2026,12,31)))</f>
        <v/>
      </c>
      <c r="D42" s="6">
        <f>IF(AND(Entries!A42="",Entries!B42="",Entries!C42=""),"",IF(ISNUMBER(Entries!C42),AND(Entries!C42&gt;0,Entries!C42=INT(Entries!C42)),FALSE))</f>
        <v/>
      </c>
      <c r="E42" s="6">
        <f>IF(AND(Entries!A42="",Entries!B42="",Entries!C42=""),"",IF(AND(B42,C42,D42),"OK","Fix"))</f>
        <v/>
      </c>
    </row>
    <row r="43">
      <c r="A43" s="6">
        <f>IF(AND(Entries!A43="",Entries!B43="",Entries!C43=""),"",IF(Entries!A43="","(blank)",Entries!A43))</f>
        <v/>
      </c>
      <c r="B43" s="6">
        <f>IF(AND(Entries!A43="",Entries!B43="",Entries!C43=""),"",AND(Entries!A43&lt;&gt;"",COUNTIF(Entries!$A$2:$A$200,Entries!A43)=1))</f>
        <v/>
      </c>
      <c r="C43" s="6">
        <f>IF(AND(Entries!A43="",Entries!B43="",Entries!C43=""),"",AND(ISNUMBER(Entries!B43),Entries!B43&gt;=DATE(2026,1,1),Entries!B43&lt;=DATE(2026,12,31)))</f>
        <v/>
      </c>
      <c r="D43" s="6">
        <f>IF(AND(Entries!A43="",Entries!B43="",Entries!C43=""),"",IF(ISNUMBER(Entries!C43),AND(Entries!C43&gt;0,Entries!C43=INT(Entries!C43)),FALSE))</f>
        <v/>
      </c>
      <c r="E43" s="6">
        <f>IF(AND(Entries!A43="",Entries!B43="",Entries!C43=""),"",IF(AND(B43,C43,D43),"OK","Fix"))</f>
        <v/>
      </c>
    </row>
    <row r="44">
      <c r="A44" s="6">
        <f>IF(AND(Entries!A44="",Entries!B44="",Entries!C44=""),"",IF(Entries!A44="","(blank)",Entries!A44))</f>
        <v/>
      </c>
      <c r="B44" s="6">
        <f>IF(AND(Entries!A44="",Entries!B44="",Entries!C44=""),"",AND(Entries!A44&lt;&gt;"",COUNTIF(Entries!$A$2:$A$200,Entries!A44)=1))</f>
        <v/>
      </c>
      <c r="C44" s="6">
        <f>IF(AND(Entries!A44="",Entries!B44="",Entries!C44=""),"",AND(ISNUMBER(Entries!B44),Entries!B44&gt;=DATE(2026,1,1),Entries!B44&lt;=DATE(2026,12,31)))</f>
        <v/>
      </c>
      <c r="D44" s="6">
        <f>IF(AND(Entries!A44="",Entries!B44="",Entries!C44=""),"",IF(ISNUMBER(Entries!C44),AND(Entries!C44&gt;0,Entries!C44=INT(Entries!C44)),FALSE))</f>
        <v/>
      </c>
      <c r="E44" s="6">
        <f>IF(AND(Entries!A44="",Entries!B44="",Entries!C44=""),"",IF(AND(B44,C44,D44),"OK","Fix"))</f>
        <v/>
      </c>
    </row>
    <row r="45">
      <c r="A45" s="6">
        <f>IF(AND(Entries!A45="",Entries!B45="",Entries!C45=""),"",IF(Entries!A45="","(blank)",Entries!A45))</f>
        <v/>
      </c>
      <c r="B45" s="6">
        <f>IF(AND(Entries!A45="",Entries!B45="",Entries!C45=""),"",AND(Entries!A45&lt;&gt;"",COUNTIF(Entries!$A$2:$A$200,Entries!A45)=1))</f>
        <v/>
      </c>
      <c r="C45" s="6">
        <f>IF(AND(Entries!A45="",Entries!B45="",Entries!C45=""),"",AND(ISNUMBER(Entries!B45),Entries!B45&gt;=DATE(2026,1,1),Entries!B45&lt;=DATE(2026,12,31)))</f>
        <v/>
      </c>
      <c r="D45" s="6">
        <f>IF(AND(Entries!A45="",Entries!B45="",Entries!C45=""),"",IF(ISNUMBER(Entries!C45),AND(Entries!C45&gt;0,Entries!C45=INT(Entries!C45)),FALSE))</f>
        <v/>
      </c>
      <c r="E45" s="6">
        <f>IF(AND(Entries!A45="",Entries!B45="",Entries!C45=""),"",IF(AND(B45,C45,D45),"OK","Fix"))</f>
        <v/>
      </c>
    </row>
    <row r="46">
      <c r="A46" s="6">
        <f>IF(AND(Entries!A46="",Entries!B46="",Entries!C46=""),"",IF(Entries!A46="","(blank)",Entries!A46))</f>
        <v/>
      </c>
      <c r="B46" s="6">
        <f>IF(AND(Entries!A46="",Entries!B46="",Entries!C46=""),"",AND(Entries!A46&lt;&gt;"",COUNTIF(Entries!$A$2:$A$200,Entries!A46)=1))</f>
        <v/>
      </c>
      <c r="C46" s="6">
        <f>IF(AND(Entries!A46="",Entries!B46="",Entries!C46=""),"",AND(ISNUMBER(Entries!B46),Entries!B46&gt;=DATE(2026,1,1),Entries!B46&lt;=DATE(2026,12,31)))</f>
        <v/>
      </c>
      <c r="D46" s="6">
        <f>IF(AND(Entries!A46="",Entries!B46="",Entries!C46=""),"",IF(ISNUMBER(Entries!C46),AND(Entries!C46&gt;0,Entries!C46=INT(Entries!C46)),FALSE))</f>
        <v/>
      </c>
      <c r="E46" s="6">
        <f>IF(AND(Entries!A46="",Entries!B46="",Entries!C46=""),"",IF(AND(B46,C46,D46),"OK","Fix"))</f>
        <v/>
      </c>
    </row>
    <row r="47">
      <c r="A47" s="6">
        <f>IF(AND(Entries!A47="",Entries!B47="",Entries!C47=""),"",IF(Entries!A47="","(blank)",Entries!A47))</f>
        <v/>
      </c>
      <c r="B47" s="6">
        <f>IF(AND(Entries!A47="",Entries!B47="",Entries!C47=""),"",AND(Entries!A47&lt;&gt;"",COUNTIF(Entries!$A$2:$A$200,Entries!A47)=1))</f>
        <v/>
      </c>
      <c r="C47" s="6">
        <f>IF(AND(Entries!A47="",Entries!B47="",Entries!C47=""),"",AND(ISNUMBER(Entries!B47),Entries!B47&gt;=DATE(2026,1,1),Entries!B47&lt;=DATE(2026,12,31)))</f>
        <v/>
      </c>
      <c r="D47" s="6">
        <f>IF(AND(Entries!A47="",Entries!B47="",Entries!C47=""),"",IF(ISNUMBER(Entries!C47),AND(Entries!C47&gt;0,Entries!C47=INT(Entries!C47)),FALSE))</f>
        <v/>
      </c>
      <c r="E47" s="6">
        <f>IF(AND(Entries!A47="",Entries!B47="",Entries!C47=""),"",IF(AND(B47,C47,D47),"OK","Fix"))</f>
        <v/>
      </c>
    </row>
    <row r="48">
      <c r="A48" s="6">
        <f>IF(AND(Entries!A48="",Entries!B48="",Entries!C48=""),"",IF(Entries!A48="","(blank)",Entries!A48))</f>
        <v/>
      </c>
      <c r="B48" s="6">
        <f>IF(AND(Entries!A48="",Entries!B48="",Entries!C48=""),"",AND(Entries!A48&lt;&gt;"",COUNTIF(Entries!$A$2:$A$200,Entries!A48)=1))</f>
        <v/>
      </c>
      <c r="C48" s="6">
        <f>IF(AND(Entries!A48="",Entries!B48="",Entries!C48=""),"",AND(ISNUMBER(Entries!B48),Entries!B48&gt;=DATE(2026,1,1),Entries!B48&lt;=DATE(2026,12,31)))</f>
        <v/>
      </c>
      <c r="D48" s="6">
        <f>IF(AND(Entries!A48="",Entries!B48="",Entries!C48=""),"",IF(ISNUMBER(Entries!C48),AND(Entries!C48&gt;0,Entries!C48=INT(Entries!C48)),FALSE))</f>
        <v/>
      </c>
      <c r="E48" s="6">
        <f>IF(AND(Entries!A48="",Entries!B48="",Entries!C48=""),"",IF(AND(B48,C48,D48),"OK","Fix"))</f>
        <v/>
      </c>
    </row>
    <row r="49">
      <c r="A49" s="6">
        <f>IF(AND(Entries!A49="",Entries!B49="",Entries!C49=""),"",IF(Entries!A49="","(blank)",Entries!A49))</f>
        <v/>
      </c>
      <c r="B49" s="6">
        <f>IF(AND(Entries!A49="",Entries!B49="",Entries!C49=""),"",AND(Entries!A49&lt;&gt;"",COUNTIF(Entries!$A$2:$A$200,Entries!A49)=1))</f>
        <v/>
      </c>
      <c r="C49" s="6">
        <f>IF(AND(Entries!A49="",Entries!B49="",Entries!C49=""),"",AND(ISNUMBER(Entries!B49),Entries!B49&gt;=DATE(2026,1,1),Entries!B49&lt;=DATE(2026,12,31)))</f>
        <v/>
      </c>
      <c r="D49" s="6">
        <f>IF(AND(Entries!A49="",Entries!B49="",Entries!C49=""),"",IF(ISNUMBER(Entries!C49),AND(Entries!C49&gt;0,Entries!C49=INT(Entries!C49)),FALSE))</f>
        <v/>
      </c>
      <c r="E49" s="6">
        <f>IF(AND(Entries!A49="",Entries!B49="",Entries!C49=""),"",IF(AND(B49,C49,D49),"OK","Fix"))</f>
        <v/>
      </c>
    </row>
    <row r="50">
      <c r="A50" s="6">
        <f>IF(AND(Entries!A50="",Entries!B50="",Entries!C50=""),"",IF(Entries!A50="","(blank)",Entries!A50))</f>
        <v/>
      </c>
      <c r="B50" s="6">
        <f>IF(AND(Entries!A50="",Entries!B50="",Entries!C50=""),"",AND(Entries!A50&lt;&gt;"",COUNTIF(Entries!$A$2:$A$200,Entries!A50)=1))</f>
        <v/>
      </c>
      <c r="C50" s="6">
        <f>IF(AND(Entries!A50="",Entries!B50="",Entries!C50=""),"",AND(ISNUMBER(Entries!B50),Entries!B50&gt;=DATE(2026,1,1),Entries!B50&lt;=DATE(2026,12,31)))</f>
        <v/>
      </c>
      <c r="D50" s="6">
        <f>IF(AND(Entries!A50="",Entries!B50="",Entries!C50=""),"",IF(ISNUMBER(Entries!C50),AND(Entries!C50&gt;0,Entries!C50=INT(Entries!C50)),FALSE))</f>
        <v/>
      </c>
      <c r="E50" s="6">
        <f>IF(AND(Entries!A50="",Entries!B50="",Entries!C50=""),"",IF(AND(B50,C50,D50),"OK","Fix"))</f>
        <v/>
      </c>
    </row>
    <row r="51">
      <c r="A51" s="6">
        <f>IF(AND(Entries!A51="",Entries!B51="",Entries!C51=""),"",IF(Entries!A51="","(blank)",Entries!A51))</f>
        <v/>
      </c>
      <c r="B51" s="6">
        <f>IF(AND(Entries!A51="",Entries!B51="",Entries!C51=""),"",AND(Entries!A51&lt;&gt;"",COUNTIF(Entries!$A$2:$A$200,Entries!A51)=1))</f>
        <v/>
      </c>
      <c r="C51" s="6">
        <f>IF(AND(Entries!A51="",Entries!B51="",Entries!C51=""),"",AND(ISNUMBER(Entries!B51),Entries!B51&gt;=DATE(2026,1,1),Entries!B51&lt;=DATE(2026,12,31)))</f>
        <v/>
      </c>
      <c r="D51" s="6">
        <f>IF(AND(Entries!A51="",Entries!B51="",Entries!C51=""),"",IF(ISNUMBER(Entries!C51),AND(Entries!C51&gt;0,Entries!C51=INT(Entries!C51)),FALSE))</f>
        <v/>
      </c>
      <c r="E51" s="6">
        <f>IF(AND(Entries!A51="",Entries!B51="",Entries!C51=""),"",IF(AND(B51,C51,D51),"OK","Fix"))</f>
        <v/>
      </c>
    </row>
    <row r="52">
      <c r="A52" s="6">
        <f>IF(AND(Entries!A52="",Entries!B52="",Entries!C52=""),"",IF(Entries!A52="","(blank)",Entries!A52))</f>
        <v/>
      </c>
      <c r="B52" s="6">
        <f>IF(AND(Entries!A52="",Entries!B52="",Entries!C52=""),"",AND(Entries!A52&lt;&gt;"",COUNTIF(Entries!$A$2:$A$200,Entries!A52)=1))</f>
        <v/>
      </c>
      <c r="C52" s="6">
        <f>IF(AND(Entries!A52="",Entries!B52="",Entries!C52=""),"",AND(ISNUMBER(Entries!B52),Entries!B52&gt;=DATE(2026,1,1),Entries!B52&lt;=DATE(2026,12,31)))</f>
        <v/>
      </c>
      <c r="D52" s="6">
        <f>IF(AND(Entries!A52="",Entries!B52="",Entries!C52=""),"",IF(ISNUMBER(Entries!C52),AND(Entries!C52&gt;0,Entries!C52=INT(Entries!C52)),FALSE))</f>
        <v/>
      </c>
      <c r="E52" s="6">
        <f>IF(AND(Entries!A52="",Entries!B52="",Entries!C52=""),"",IF(AND(B52,C52,D52),"OK","Fix"))</f>
        <v/>
      </c>
    </row>
    <row r="53">
      <c r="A53" s="6">
        <f>IF(AND(Entries!A53="",Entries!B53="",Entries!C53=""),"",IF(Entries!A53="","(blank)",Entries!A53))</f>
        <v/>
      </c>
      <c r="B53" s="6">
        <f>IF(AND(Entries!A53="",Entries!B53="",Entries!C53=""),"",AND(Entries!A53&lt;&gt;"",COUNTIF(Entries!$A$2:$A$200,Entries!A53)=1))</f>
        <v/>
      </c>
      <c r="C53" s="6">
        <f>IF(AND(Entries!A53="",Entries!B53="",Entries!C53=""),"",AND(ISNUMBER(Entries!B53),Entries!B53&gt;=DATE(2026,1,1),Entries!B53&lt;=DATE(2026,12,31)))</f>
        <v/>
      </c>
      <c r="D53" s="6">
        <f>IF(AND(Entries!A53="",Entries!B53="",Entries!C53=""),"",IF(ISNUMBER(Entries!C53),AND(Entries!C53&gt;0,Entries!C53=INT(Entries!C53)),FALSE))</f>
        <v/>
      </c>
      <c r="E53" s="6">
        <f>IF(AND(Entries!A53="",Entries!B53="",Entries!C53=""),"",IF(AND(B53,C53,D53),"OK","Fix"))</f>
        <v/>
      </c>
    </row>
    <row r="54">
      <c r="A54" s="6">
        <f>IF(AND(Entries!A54="",Entries!B54="",Entries!C54=""),"",IF(Entries!A54="","(blank)",Entries!A54))</f>
        <v/>
      </c>
      <c r="B54" s="6">
        <f>IF(AND(Entries!A54="",Entries!B54="",Entries!C54=""),"",AND(Entries!A54&lt;&gt;"",COUNTIF(Entries!$A$2:$A$200,Entries!A54)=1))</f>
        <v/>
      </c>
      <c r="C54" s="6">
        <f>IF(AND(Entries!A54="",Entries!B54="",Entries!C54=""),"",AND(ISNUMBER(Entries!B54),Entries!B54&gt;=DATE(2026,1,1),Entries!B54&lt;=DATE(2026,12,31)))</f>
        <v/>
      </c>
      <c r="D54" s="6">
        <f>IF(AND(Entries!A54="",Entries!B54="",Entries!C54=""),"",IF(ISNUMBER(Entries!C54),AND(Entries!C54&gt;0,Entries!C54=INT(Entries!C54)),FALSE))</f>
        <v/>
      </c>
      <c r="E54" s="6">
        <f>IF(AND(Entries!A54="",Entries!B54="",Entries!C54=""),"",IF(AND(B54,C54,D54),"OK","Fix"))</f>
        <v/>
      </c>
    </row>
    <row r="55">
      <c r="A55" s="6">
        <f>IF(AND(Entries!A55="",Entries!B55="",Entries!C55=""),"",IF(Entries!A55="","(blank)",Entries!A55))</f>
        <v/>
      </c>
      <c r="B55" s="6">
        <f>IF(AND(Entries!A55="",Entries!B55="",Entries!C55=""),"",AND(Entries!A55&lt;&gt;"",COUNTIF(Entries!$A$2:$A$200,Entries!A55)=1))</f>
        <v/>
      </c>
      <c r="C55" s="6">
        <f>IF(AND(Entries!A55="",Entries!B55="",Entries!C55=""),"",AND(ISNUMBER(Entries!B55),Entries!B55&gt;=DATE(2026,1,1),Entries!B55&lt;=DATE(2026,12,31)))</f>
        <v/>
      </c>
      <c r="D55" s="6">
        <f>IF(AND(Entries!A55="",Entries!B55="",Entries!C55=""),"",IF(ISNUMBER(Entries!C55),AND(Entries!C55&gt;0,Entries!C55=INT(Entries!C55)),FALSE))</f>
        <v/>
      </c>
      <c r="E55" s="6">
        <f>IF(AND(Entries!A55="",Entries!B55="",Entries!C55=""),"",IF(AND(B55,C55,D55),"OK","Fix"))</f>
        <v/>
      </c>
    </row>
    <row r="56">
      <c r="A56" s="6">
        <f>IF(AND(Entries!A56="",Entries!B56="",Entries!C56=""),"",IF(Entries!A56="","(blank)",Entries!A56))</f>
        <v/>
      </c>
      <c r="B56" s="6">
        <f>IF(AND(Entries!A56="",Entries!B56="",Entries!C56=""),"",AND(Entries!A56&lt;&gt;"",COUNTIF(Entries!$A$2:$A$200,Entries!A56)=1))</f>
        <v/>
      </c>
      <c r="C56" s="6">
        <f>IF(AND(Entries!A56="",Entries!B56="",Entries!C56=""),"",AND(ISNUMBER(Entries!B56),Entries!B56&gt;=DATE(2026,1,1),Entries!B56&lt;=DATE(2026,12,31)))</f>
        <v/>
      </c>
      <c r="D56" s="6">
        <f>IF(AND(Entries!A56="",Entries!B56="",Entries!C56=""),"",IF(ISNUMBER(Entries!C56),AND(Entries!C56&gt;0,Entries!C56=INT(Entries!C56)),FALSE))</f>
        <v/>
      </c>
      <c r="E56" s="6">
        <f>IF(AND(Entries!A56="",Entries!B56="",Entries!C56=""),"",IF(AND(B56,C56,D56),"OK","Fix"))</f>
        <v/>
      </c>
    </row>
    <row r="57">
      <c r="A57" s="6">
        <f>IF(AND(Entries!A57="",Entries!B57="",Entries!C57=""),"",IF(Entries!A57="","(blank)",Entries!A57))</f>
        <v/>
      </c>
      <c r="B57" s="6">
        <f>IF(AND(Entries!A57="",Entries!B57="",Entries!C57=""),"",AND(Entries!A57&lt;&gt;"",COUNTIF(Entries!$A$2:$A$200,Entries!A57)=1))</f>
        <v/>
      </c>
      <c r="C57" s="6">
        <f>IF(AND(Entries!A57="",Entries!B57="",Entries!C57=""),"",AND(ISNUMBER(Entries!B57),Entries!B57&gt;=DATE(2026,1,1),Entries!B57&lt;=DATE(2026,12,31)))</f>
        <v/>
      </c>
      <c r="D57" s="6">
        <f>IF(AND(Entries!A57="",Entries!B57="",Entries!C57=""),"",IF(ISNUMBER(Entries!C57),AND(Entries!C57&gt;0,Entries!C57=INT(Entries!C57)),FALSE))</f>
        <v/>
      </c>
      <c r="E57" s="6">
        <f>IF(AND(Entries!A57="",Entries!B57="",Entries!C57=""),"",IF(AND(B57,C57,D57),"OK","Fix"))</f>
        <v/>
      </c>
    </row>
    <row r="58">
      <c r="A58" s="6">
        <f>IF(AND(Entries!A58="",Entries!B58="",Entries!C58=""),"",IF(Entries!A58="","(blank)",Entries!A58))</f>
        <v/>
      </c>
      <c r="B58" s="6">
        <f>IF(AND(Entries!A58="",Entries!B58="",Entries!C58=""),"",AND(Entries!A58&lt;&gt;"",COUNTIF(Entries!$A$2:$A$200,Entries!A58)=1))</f>
        <v/>
      </c>
      <c r="C58" s="6">
        <f>IF(AND(Entries!A58="",Entries!B58="",Entries!C58=""),"",AND(ISNUMBER(Entries!B58),Entries!B58&gt;=DATE(2026,1,1),Entries!B58&lt;=DATE(2026,12,31)))</f>
        <v/>
      </c>
      <c r="D58" s="6">
        <f>IF(AND(Entries!A58="",Entries!B58="",Entries!C58=""),"",IF(ISNUMBER(Entries!C58),AND(Entries!C58&gt;0,Entries!C58=INT(Entries!C58)),FALSE))</f>
        <v/>
      </c>
      <c r="E58" s="6">
        <f>IF(AND(Entries!A58="",Entries!B58="",Entries!C58=""),"",IF(AND(B58,C58,D58),"OK","Fix"))</f>
        <v/>
      </c>
    </row>
    <row r="59">
      <c r="A59" s="6">
        <f>IF(AND(Entries!A59="",Entries!B59="",Entries!C59=""),"",IF(Entries!A59="","(blank)",Entries!A59))</f>
        <v/>
      </c>
      <c r="B59" s="6">
        <f>IF(AND(Entries!A59="",Entries!B59="",Entries!C59=""),"",AND(Entries!A59&lt;&gt;"",COUNTIF(Entries!$A$2:$A$200,Entries!A59)=1))</f>
        <v/>
      </c>
      <c r="C59" s="6">
        <f>IF(AND(Entries!A59="",Entries!B59="",Entries!C59=""),"",AND(ISNUMBER(Entries!B59),Entries!B59&gt;=DATE(2026,1,1),Entries!B59&lt;=DATE(2026,12,31)))</f>
        <v/>
      </c>
      <c r="D59" s="6">
        <f>IF(AND(Entries!A59="",Entries!B59="",Entries!C59=""),"",IF(ISNUMBER(Entries!C59),AND(Entries!C59&gt;0,Entries!C59=INT(Entries!C59)),FALSE))</f>
        <v/>
      </c>
      <c r="E59" s="6">
        <f>IF(AND(Entries!A59="",Entries!B59="",Entries!C59=""),"",IF(AND(B59,C59,D59),"OK","Fix"))</f>
        <v/>
      </c>
    </row>
    <row r="60">
      <c r="A60" s="6">
        <f>IF(AND(Entries!A60="",Entries!B60="",Entries!C60=""),"",IF(Entries!A60="","(blank)",Entries!A60))</f>
        <v/>
      </c>
      <c r="B60" s="6">
        <f>IF(AND(Entries!A60="",Entries!B60="",Entries!C60=""),"",AND(Entries!A60&lt;&gt;"",COUNTIF(Entries!$A$2:$A$200,Entries!A60)=1))</f>
        <v/>
      </c>
      <c r="C60" s="6">
        <f>IF(AND(Entries!A60="",Entries!B60="",Entries!C60=""),"",AND(ISNUMBER(Entries!B60),Entries!B60&gt;=DATE(2026,1,1),Entries!B60&lt;=DATE(2026,12,31)))</f>
        <v/>
      </c>
      <c r="D60" s="6">
        <f>IF(AND(Entries!A60="",Entries!B60="",Entries!C60=""),"",IF(ISNUMBER(Entries!C60),AND(Entries!C60&gt;0,Entries!C60=INT(Entries!C60)),FALSE))</f>
        <v/>
      </c>
      <c r="E60" s="6">
        <f>IF(AND(Entries!A60="",Entries!B60="",Entries!C60=""),"",IF(AND(B60,C60,D60),"OK","Fix"))</f>
        <v/>
      </c>
    </row>
    <row r="61">
      <c r="A61" s="6">
        <f>IF(AND(Entries!A61="",Entries!B61="",Entries!C61=""),"",IF(Entries!A61="","(blank)",Entries!A61))</f>
        <v/>
      </c>
      <c r="B61" s="6">
        <f>IF(AND(Entries!A61="",Entries!B61="",Entries!C61=""),"",AND(Entries!A61&lt;&gt;"",COUNTIF(Entries!$A$2:$A$200,Entries!A61)=1))</f>
        <v/>
      </c>
      <c r="C61" s="6">
        <f>IF(AND(Entries!A61="",Entries!B61="",Entries!C61=""),"",AND(ISNUMBER(Entries!B61),Entries!B61&gt;=DATE(2026,1,1),Entries!B61&lt;=DATE(2026,12,31)))</f>
        <v/>
      </c>
      <c r="D61" s="6">
        <f>IF(AND(Entries!A61="",Entries!B61="",Entries!C61=""),"",IF(ISNUMBER(Entries!C61),AND(Entries!C61&gt;0,Entries!C61=INT(Entries!C61)),FALSE))</f>
        <v/>
      </c>
      <c r="E61" s="6">
        <f>IF(AND(Entries!A61="",Entries!B61="",Entries!C61=""),"",IF(AND(B61,C61,D61),"OK","Fix"))</f>
        <v/>
      </c>
    </row>
    <row r="62">
      <c r="A62" s="6">
        <f>IF(AND(Entries!A62="",Entries!B62="",Entries!C62=""),"",IF(Entries!A62="","(blank)",Entries!A62))</f>
        <v/>
      </c>
      <c r="B62" s="6">
        <f>IF(AND(Entries!A62="",Entries!B62="",Entries!C62=""),"",AND(Entries!A62&lt;&gt;"",COUNTIF(Entries!$A$2:$A$200,Entries!A62)=1))</f>
        <v/>
      </c>
      <c r="C62" s="6">
        <f>IF(AND(Entries!A62="",Entries!B62="",Entries!C62=""),"",AND(ISNUMBER(Entries!B62),Entries!B62&gt;=DATE(2026,1,1),Entries!B62&lt;=DATE(2026,12,31)))</f>
        <v/>
      </c>
      <c r="D62" s="6">
        <f>IF(AND(Entries!A62="",Entries!B62="",Entries!C62=""),"",IF(ISNUMBER(Entries!C62),AND(Entries!C62&gt;0,Entries!C62=INT(Entries!C62)),FALSE))</f>
        <v/>
      </c>
      <c r="E62" s="6">
        <f>IF(AND(Entries!A62="",Entries!B62="",Entries!C62=""),"",IF(AND(B62,C62,D62),"OK","Fix"))</f>
        <v/>
      </c>
    </row>
    <row r="63">
      <c r="A63" s="6">
        <f>IF(AND(Entries!A63="",Entries!B63="",Entries!C63=""),"",IF(Entries!A63="","(blank)",Entries!A63))</f>
        <v/>
      </c>
      <c r="B63" s="6">
        <f>IF(AND(Entries!A63="",Entries!B63="",Entries!C63=""),"",AND(Entries!A63&lt;&gt;"",COUNTIF(Entries!$A$2:$A$200,Entries!A63)=1))</f>
        <v/>
      </c>
      <c r="C63" s="6">
        <f>IF(AND(Entries!A63="",Entries!B63="",Entries!C63=""),"",AND(ISNUMBER(Entries!B63),Entries!B63&gt;=DATE(2026,1,1),Entries!B63&lt;=DATE(2026,12,31)))</f>
        <v/>
      </c>
      <c r="D63" s="6">
        <f>IF(AND(Entries!A63="",Entries!B63="",Entries!C63=""),"",IF(ISNUMBER(Entries!C63),AND(Entries!C63&gt;0,Entries!C63=INT(Entries!C63)),FALSE))</f>
        <v/>
      </c>
      <c r="E63" s="6">
        <f>IF(AND(Entries!A63="",Entries!B63="",Entries!C63=""),"",IF(AND(B63,C63,D63),"OK","Fix"))</f>
        <v/>
      </c>
    </row>
    <row r="64">
      <c r="A64" s="6">
        <f>IF(AND(Entries!A64="",Entries!B64="",Entries!C64=""),"",IF(Entries!A64="","(blank)",Entries!A64))</f>
        <v/>
      </c>
      <c r="B64" s="6">
        <f>IF(AND(Entries!A64="",Entries!B64="",Entries!C64=""),"",AND(Entries!A64&lt;&gt;"",COUNTIF(Entries!$A$2:$A$200,Entries!A64)=1))</f>
        <v/>
      </c>
      <c r="C64" s="6">
        <f>IF(AND(Entries!A64="",Entries!B64="",Entries!C64=""),"",AND(ISNUMBER(Entries!B64),Entries!B64&gt;=DATE(2026,1,1),Entries!B64&lt;=DATE(2026,12,31)))</f>
        <v/>
      </c>
      <c r="D64" s="6">
        <f>IF(AND(Entries!A64="",Entries!B64="",Entries!C64=""),"",IF(ISNUMBER(Entries!C64),AND(Entries!C64&gt;0,Entries!C64=INT(Entries!C64)),FALSE))</f>
        <v/>
      </c>
      <c r="E64" s="6">
        <f>IF(AND(Entries!A64="",Entries!B64="",Entries!C64=""),"",IF(AND(B64,C64,D64),"OK","Fix"))</f>
        <v/>
      </c>
    </row>
    <row r="65">
      <c r="A65" s="6">
        <f>IF(AND(Entries!A65="",Entries!B65="",Entries!C65=""),"",IF(Entries!A65="","(blank)",Entries!A65))</f>
        <v/>
      </c>
      <c r="B65" s="6">
        <f>IF(AND(Entries!A65="",Entries!B65="",Entries!C65=""),"",AND(Entries!A65&lt;&gt;"",COUNTIF(Entries!$A$2:$A$200,Entries!A65)=1))</f>
        <v/>
      </c>
      <c r="C65" s="6">
        <f>IF(AND(Entries!A65="",Entries!B65="",Entries!C65=""),"",AND(ISNUMBER(Entries!B65),Entries!B65&gt;=DATE(2026,1,1),Entries!B65&lt;=DATE(2026,12,31)))</f>
        <v/>
      </c>
      <c r="D65" s="6">
        <f>IF(AND(Entries!A65="",Entries!B65="",Entries!C65=""),"",IF(ISNUMBER(Entries!C65),AND(Entries!C65&gt;0,Entries!C65=INT(Entries!C65)),FALSE))</f>
        <v/>
      </c>
      <c r="E65" s="6">
        <f>IF(AND(Entries!A65="",Entries!B65="",Entries!C65=""),"",IF(AND(B65,C65,D65),"OK","Fix"))</f>
        <v/>
      </c>
    </row>
    <row r="66">
      <c r="A66" s="6">
        <f>IF(AND(Entries!A66="",Entries!B66="",Entries!C66=""),"",IF(Entries!A66="","(blank)",Entries!A66))</f>
        <v/>
      </c>
      <c r="B66" s="6">
        <f>IF(AND(Entries!A66="",Entries!B66="",Entries!C66=""),"",AND(Entries!A66&lt;&gt;"",COUNTIF(Entries!$A$2:$A$200,Entries!A66)=1))</f>
        <v/>
      </c>
      <c r="C66" s="6">
        <f>IF(AND(Entries!A66="",Entries!B66="",Entries!C66=""),"",AND(ISNUMBER(Entries!B66),Entries!B66&gt;=DATE(2026,1,1),Entries!B66&lt;=DATE(2026,12,31)))</f>
        <v/>
      </c>
      <c r="D66" s="6">
        <f>IF(AND(Entries!A66="",Entries!B66="",Entries!C66=""),"",IF(ISNUMBER(Entries!C66),AND(Entries!C66&gt;0,Entries!C66=INT(Entries!C66)),FALSE))</f>
        <v/>
      </c>
      <c r="E66" s="6">
        <f>IF(AND(Entries!A66="",Entries!B66="",Entries!C66=""),"",IF(AND(B66,C66,D66),"OK","Fix"))</f>
        <v/>
      </c>
    </row>
    <row r="67">
      <c r="A67" s="6">
        <f>IF(AND(Entries!A67="",Entries!B67="",Entries!C67=""),"",IF(Entries!A67="","(blank)",Entries!A67))</f>
        <v/>
      </c>
      <c r="B67" s="6">
        <f>IF(AND(Entries!A67="",Entries!B67="",Entries!C67=""),"",AND(Entries!A67&lt;&gt;"",COUNTIF(Entries!$A$2:$A$200,Entries!A67)=1))</f>
        <v/>
      </c>
      <c r="C67" s="6">
        <f>IF(AND(Entries!A67="",Entries!B67="",Entries!C67=""),"",AND(ISNUMBER(Entries!B67),Entries!B67&gt;=DATE(2026,1,1),Entries!B67&lt;=DATE(2026,12,31)))</f>
        <v/>
      </c>
      <c r="D67" s="6">
        <f>IF(AND(Entries!A67="",Entries!B67="",Entries!C67=""),"",IF(ISNUMBER(Entries!C67),AND(Entries!C67&gt;0,Entries!C67=INT(Entries!C67)),FALSE))</f>
        <v/>
      </c>
      <c r="E67" s="6">
        <f>IF(AND(Entries!A67="",Entries!B67="",Entries!C67=""),"",IF(AND(B67,C67,D67),"OK","Fix"))</f>
        <v/>
      </c>
    </row>
    <row r="68">
      <c r="A68" s="6">
        <f>IF(AND(Entries!A68="",Entries!B68="",Entries!C68=""),"",IF(Entries!A68="","(blank)",Entries!A68))</f>
        <v/>
      </c>
      <c r="B68" s="6">
        <f>IF(AND(Entries!A68="",Entries!B68="",Entries!C68=""),"",AND(Entries!A68&lt;&gt;"",COUNTIF(Entries!$A$2:$A$200,Entries!A68)=1))</f>
        <v/>
      </c>
      <c r="C68" s="6">
        <f>IF(AND(Entries!A68="",Entries!B68="",Entries!C68=""),"",AND(ISNUMBER(Entries!B68),Entries!B68&gt;=DATE(2026,1,1),Entries!B68&lt;=DATE(2026,12,31)))</f>
        <v/>
      </c>
      <c r="D68" s="6">
        <f>IF(AND(Entries!A68="",Entries!B68="",Entries!C68=""),"",IF(ISNUMBER(Entries!C68),AND(Entries!C68&gt;0,Entries!C68=INT(Entries!C68)),FALSE))</f>
        <v/>
      </c>
      <c r="E68" s="6">
        <f>IF(AND(Entries!A68="",Entries!B68="",Entries!C68=""),"",IF(AND(B68,C68,D68),"OK","Fix"))</f>
        <v/>
      </c>
    </row>
    <row r="69">
      <c r="A69" s="6">
        <f>IF(AND(Entries!A69="",Entries!B69="",Entries!C69=""),"",IF(Entries!A69="","(blank)",Entries!A69))</f>
        <v/>
      </c>
      <c r="B69" s="6">
        <f>IF(AND(Entries!A69="",Entries!B69="",Entries!C69=""),"",AND(Entries!A69&lt;&gt;"",COUNTIF(Entries!$A$2:$A$200,Entries!A69)=1))</f>
        <v/>
      </c>
      <c r="C69" s="6">
        <f>IF(AND(Entries!A69="",Entries!B69="",Entries!C69=""),"",AND(ISNUMBER(Entries!B69),Entries!B69&gt;=DATE(2026,1,1),Entries!B69&lt;=DATE(2026,12,31)))</f>
        <v/>
      </c>
      <c r="D69" s="6">
        <f>IF(AND(Entries!A69="",Entries!B69="",Entries!C69=""),"",IF(ISNUMBER(Entries!C69),AND(Entries!C69&gt;0,Entries!C69=INT(Entries!C69)),FALSE))</f>
        <v/>
      </c>
      <c r="E69" s="6">
        <f>IF(AND(Entries!A69="",Entries!B69="",Entries!C69=""),"",IF(AND(B69,C69,D69),"OK","Fix"))</f>
        <v/>
      </c>
    </row>
    <row r="70">
      <c r="A70" s="6">
        <f>IF(AND(Entries!A70="",Entries!B70="",Entries!C70=""),"",IF(Entries!A70="","(blank)",Entries!A70))</f>
        <v/>
      </c>
      <c r="B70" s="6">
        <f>IF(AND(Entries!A70="",Entries!B70="",Entries!C70=""),"",AND(Entries!A70&lt;&gt;"",COUNTIF(Entries!$A$2:$A$200,Entries!A70)=1))</f>
        <v/>
      </c>
      <c r="C70" s="6">
        <f>IF(AND(Entries!A70="",Entries!B70="",Entries!C70=""),"",AND(ISNUMBER(Entries!B70),Entries!B70&gt;=DATE(2026,1,1),Entries!B70&lt;=DATE(2026,12,31)))</f>
        <v/>
      </c>
      <c r="D70" s="6">
        <f>IF(AND(Entries!A70="",Entries!B70="",Entries!C70=""),"",IF(ISNUMBER(Entries!C70),AND(Entries!C70&gt;0,Entries!C70=INT(Entries!C70)),FALSE))</f>
        <v/>
      </c>
      <c r="E70" s="6">
        <f>IF(AND(Entries!A70="",Entries!B70="",Entries!C70=""),"",IF(AND(B70,C70,D70),"OK","Fix"))</f>
        <v/>
      </c>
    </row>
    <row r="71">
      <c r="A71" s="6">
        <f>IF(AND(Entries!A71="",Entries!B71="",Entries!C71=""),"",IF(Entries!A71="","(blank)",Entries!A71))</f>
        <v/>
      </c>
      <c r="B71" s="6">
        <f>IF(AND(Entries!A71="",Entries!B71="",Entries!C71=""),"",AND(Entries!A71&lt;&gt;"",COUNTIF(Entries!$A$2:$A$200,Entries!A71)=1))</f>
        <v/>
      </c>
      <c r="C71" s="6">
        <f>IF(AND(Entries!A71="",Entries!B71="",Entries!C71=""),"",AND(ISNUMBER(Entries!B71),Entries!B71&gt;=DATE(2026,1,1),Entries!B71&lt;=DATE(2026,12,31)))</f>
        <v/>
      </c>
      <c r="D71" s="6">
        <f>IF(AND(Entries!A71="",Entries!B71="",Entries!C71=""),"",IF(ISNUMBER(Entries!C71),AND(Entries!C71&gt;0,Entries!C71=INT(Entries!C71)),FALSE))</f>
        <v/>
      </c>
      <c r="E71" s="6">
        <f>IF(AND(Entries!A71="",Entries!B71="",Entries!C71=""),"",IF(AND(B71,C71,D71),"OK","Fix"))</f>
        <v/>
      </c>
    </row>
    <row r="72">
      <c r="A72" s="6">
        <f>IF(AND(Entries!A72="",Entries!B72="",Entries!C72=""),"",IF(Entries!A72="","(blank)",Entries!A72))</f>
        <v/>
      </c>
      <c r="B72" s="6">
        <f>IF(AND(Entries!A72="",Entries!B72="",Entries!C72=""),"",AND(Entries!A72&lt;&gt;"",COUNTIF(Entries!$A$2:$A$200,Entries!A72)=1))</f>
        <v/>
      </c>
      <c r="C72" s="6">
        <f>IF(AND(Entries!A72="",Entries!B72="",Entries!C72=""),"",AND(ISNUMBER(Entries!B72),Entries!B72&gt;=DATE(2026,1,1),Entries!B72&lt;=DATE(2026,12,31)))</f>
        <v/>
      </c>
      <c r="D72" s="6">
        <f>IF(AND(Entries!A72="",Entries!B72="",Entries!C72=""),"",IF(ISNUMBER(Entries!C72),AND(Entries!C72&gt;0,Entries!C72=INT(Entries!C72)),FALSE))</f>
        <v/>
      </c>
      <c r="E72" s="6">
        <f>IF(AND(Entries!A72="",Entries!B72="",Entries!C72=""),"",IF(AND(B72,C72,D72),"OK","Fix"))</f>
        <v/>
      </c>
    </row>
    <row r="73">
      <c r="A73" s="6">
        <f>IF(AND(Entries!A73="",Entries!B73="",Entries!C73=""),"",IF(Entries!A73="","(blank)",Entries!A73))</f>
        <v/>
      </c>
      <c r="B73" s="6">
        <f>IF(AND(Entries!A73="",Entries!B73="",Entries!C73=""),"",AND(Entries!A73&lt;&gt;"",COUNTIF(Entries!$A$2:$A$200,Entries!A73)=1))</f>
        <v/>
      </c>
      <c r="C73" s="6">
        <f>IF(AND(Entries!A73="",Entries!B73="",Entries!C73=""),"",AND(ISNUMBER(Entries!B73),Entries!B73&gt;=DATE(2026,1,1),Entries!B73&lt;=DATE(2026,12,31)))</f>
        <v/>
      </c>
      <c r="D73" s="6">
        <f>IF(AND(Entries!A73="",Entries!B73="",Entries!C73=""),"",IF(ISNUMBER(Entries!C73),AND(Entries!C73&gt;0,Entries!C73=INT(Entries!C73)),FALSE))</f>
        <v/>
      </c>
      <c r="E73" s="6">
        <f>IF(AND(Entries!A73="",Entries!B73="",Entries!C73=""),"",IF(AND(B73,C73,D73),"OK","Fix"))</f>
        <v/>
      </c>
    </row>
    <row r="74">
      <c r="A74" s="6">
        <f>IF(AND(Entries!A74="",Entries!B74="",Entries!C74=""),"",IF(Entries!A74="","(blank)",Entries!A74))</f>
        <v/>
      </c>
      <c r="B74" s="6">
        <f>IF(AND(Entries!A74="",Entries!B74="",Entries!C74=""),"",AND(Entries!A74&lt;&gt;"",COUNTIF(Entries!$A$2:$A$200,Entries!A74)=1))</f>
        <v/>
      </c>
      <c r="C74" s="6">
        <f>IF(AND(Entries!A74="",Entries!B74="",Entries!C74=""),"",AND(ISNUMBER(Entries!B74),Entries!B74&gt;=DATE(2026,1,1),Entries!B74&lt;=DATE(2026,12,31)))</f>
        <v/>
      </c>
      <c r="D74" s="6">
        <f>IF(AND(Entries!A74="",Entries!B74="",Entries!C74=""),"",IF(ISNUMBER(Entries!C74),AND(Entries!C74&gt;0,Entries!C74=INT(Entries!C74)),FALSE))</f>
        <v/>
      </c>
      <c r="E74" s="6">
        <f>IF(AND(Entries!A74="",Entries!B74="",Entries!C74=""),"",IF(AND(B74,C74,D74),"OK","Fix"))</f>
        <v/>
      </c>
    </row>
    <row r="75">
      <c r="A75" s="6">
        <f>IF(AND(Entries!A75="",Entries!B75="",Entries!C75=""),"",IF(Entries!A75="","(blank)",Entries!A75))</f>
        <v/>
      </c>
      <c r="B75" s="6">
        <f>IF(AND(Entries!A75="",Entries!B75="",Entries!C75=""),"",AND(Entries!A75&lt;&gt;"",COUNTIF(Entries!$A$2:$A$200,Entries!A75)=1))</f>
        <v/>
      </c>
      <c r="C75" s="6">
        <f>IF(AND(Entries!A75="",Entries!B75="",Entries!C75=""),"",AND(ISNUMBER(Entries!B75),Entries!B75&gt;=DATE(2026,1,1),Entries!B75&lt;=DATE(2026,12,31)))</f>
        <v/>
      </c>
      <c r="D75" s="6">
        <f>IF(AND(Entries!A75="",Entries!B75="",Entries!C75=""),"",IF(ISNUMBER(Entries!C75),AND(Entries!C75&gt;0,Entries!C75=INT(Entries!C75)),FALSE))</f>
        <v/>
      </c>
      <c r="E75" s="6">
        <f>IF(AND(Entries!A75="",Entries!B75="",Entries!C75=""),"",IF(AND(B75,C75,D75),"OK","Fix"))</f>
        <v/>
      </c>
    </row>
    <row r="76">
      <c r="A76" s="6">
        <f>IF(AND(Entries!A76="",Entries!B76="",Entries!C76=""),"",IF(Entries!A76="","(blank)",Entries!A76))</f>
        <v/>
      </c>
      <c r="B76" s="6">
        <f>IF(AND(Entries!A76="",Entries!B76="",Entries!C76=""),"",AND(Entries!A76&lt;&gt;"",COUNTIF(Entries!$A$2:$A$200,Entries!A76)=1))</f>
        <v/>
      </c>
      <c r="C76" s="6">
        <f>IF(AND(Entries!A76="",Entries!B76="",Entries!C76=""),"",AND(ISNUMBER(Entries!B76),Entries!B76&gt;=DATE(2026,1,1),Entries!B76&lt;=DATE(2026,12,31)))</f>
        <v/>
      </c>
      <c r="D76" s="6">
        <f>IF(AND(Entries!A76="",Entries!B76="",Entries!C76=""),"",IF(ISNUMBER(Entries!C76),AND(Entries!C76&gt;0,Entries!C76=INT(Entries!C76)),FALSE))</f>
        <v/>
      </c>
      <c r="E76" s="6">
        <f>IF(AND(Entries!A76="",Entries!B76="",Entries!C76=""),"",IF(AND(B76,C76,D76),"OK","Fix"))</f>
        <v/>
      </c>
    </row>
    <row r="77">
      <c r="A77" s="6">
        <f>IF(AND(Entries!A77="",Entries!B77="",Entries!C77=""),"",IF(Entries!A77="","(blank)",Entries!A77))</f>
        <v/>
      </c>
      <c r="B77" s="6">
        <f>IF(AND(Entries!A77="",Entries!B77="",Entries!C77=""),"",AND(Entries!A77&lt;&gt;"",COUNTIF(Entries!$A$2:$A$200,Entries!A77)=1))</f>
        <v/>
      </c>
      <c r="C77" s="6">
        <f>IF(AND(Entries!A77="",Entries!B77="",Entries!C77=""),"",AND(ISNUMBER(Entries!B77),Entries!B77&gt;=DATE(2026,1,1),Entries!B77&lt;=DATE(2026,12,31)))</f>
        <v/>
      </c>
      <c r="D77" s="6">
        <f>IF(AND(Entries!A77="",Entries!B77="",Entries!C77=""),"",IF(ISNUMBER(Entries!C77),AND(Entries!C77&gt;0,Entries!C77=INT(Entries!C77)),FALSE))</f>
        <v/>
      </c>
      <c r="E77" s="6">
        <f>IF(AND(Entries!A77="",Entries!B77="",Entries!C77=""),"",IF(AND(B77,C77,D77),"OK","Fix"))</f>
        <v/>
      </c>
    </row>
    <row r="78">
      <c r="A78" s="6">
        <f>IF(AND(Entries!A78="",Entries!B78="",Entries!C78=""),"",IF(Entries!A78="","(blank)",Entries!A78))</f>
        <v/>
      </c>
      <c r="B78" s="6">
        <f>IF(AND(Entries!A78="",Entries!B78="",Entries!C78=""),"",AND(Entries!A78&lt;&gt;"",COUNTIF(Entries!$A$2:$A$200,Entries!A78)=1))</f>
        <v/>
      </c>
      <c r="C78" s="6">
        <f>IF(AND(Entries!A78="",Entries!B78="",Entries!C78=""),"",AND(ISNUMBER(Entries!B78),Entries!B78&gt;=DATE(2026,1,1),Entries!B78&lt;=DATE(2026,12,31)))</f>
        <v/>
      </c>
      <c r="D78" s="6">
        <f>IF(AND(Entries!A78="",Entries!B78="",Entries!C78=""),"",IF(ISNUMBER(Entries!C78),AND(Entries!C78&gt;0,Entries!C78=INT(Entries!C78)),FALSE))</f>
        <v/>
      </c>
      <c r="E78" s="6">
        <f>IF(AND(Entries!A78="",Entries!B78="",Entries!C78=""),"",IF(AND(B78,C78,D78),"OK","Fix"))</f>
        <v/>
      </c>
    </row>
    <row r="79">
      <c r="A79" s="6">
        <f>IF(AND(Entries!A79="",Entries!B79="",Entries!C79=""),"",IF(Entries!A79="","(blank)",Entries!A79))</f>
        <v/>
      </c>
      <c r="B79" s="6">
        <f>IF(AND(Entries!A79="",Entries!B79="",Entries!C79=""),"",AND(Entries!A79&lt;&gt;"",COUNTIF(Entries!$A$2:$A$200,Entries!A79)=1))</f>
        <v/>
      </c>
      <c r="C79" s="6">
        <f>IF(AND(Entries!A79="",Entries!B79="",Entries!C79=""),"",AND(ISNUMBER(Entries!B79),Entries!B79&gt;=DATE(2026,1,1),Entries!B79&lt;=DATE(2026,12,31)))</f>
        <v/>
      </c>
      <c r="D79" s="6">
        <f>IF(AND(Entries!A79="",Entries!B79="",Entries!C79=""),"",IF(ISNUMBER(Entries!C79),AND(Entries!C79&gt;0,Entries!C79=INT(Entries!C79)),FALSE))</f>
        <v/>
      </c>
      <c r="E79" s="6">
        <f>IF(AND(Entries!A79="",Entries!B79="",Entries!C79=""),"",IF(AND(B79,C79,D79),"OK","Fix"))</f>
        <v/>
      </c>
    </row>
    <row r="80">
      <c r="A80" s="6">
        <f>IF(AND(Entries!A80="",Entries!B80="",Entries!C80=""),"",IF(Entries!A80="","(blank)",Entries!A80))</f>
        <v/>
      </c>
      <c r="B80" s="6">
        <f>IF(AND(Entries!A80="",Entries!B80="",Entries!C80=""),"",AND(Entries!A80&lt;&gt;"",COUNTIF(Entries!$A$2:$A$200,Entries!A80)=1))</f>
        <v/>
      </c>
      <c r="C80" s="6">
        <f>IF(AND(Entries!A80="",Entries!B80="",Entries!C80=""),"",AND(ISNUMBER(Entries!B80),Entries!B80&gt;=DATE(2026,1,1),Entries!B80&lt;=DATE(2026,12,31)))</f>
        <v/>
      </c>
      <c r="D80" s="6">
        <f>IF(AND(Entries!A80="",Entries!B80="",Entries!C80=""),"",IF(ISNUMBER(Entries!C80),AND(Entries!C80&gt;0,Entries!C80=INT(Entries!C80)),FALSE))</f>
        <v/>
      </c>
      <c r="E80" s="6">
        <f>IF(AND(Entries!A80="",Entries!B80="",Entries!C80=""),"",IF(AND(B80,C80,D80),"OK","Fix"))</f>
        <v/>
      </c>
    </row>
    <row r="81">
      <c r="A81" s="6">
        <f>IF(AND(Entries!A81="",Entries!B81="",Entries!C81=""),"",IF(Entries!A81="","(blank)",Entries!A81))</f>
        <v/>
      </c>
      <c r="B81" s="6">
        <f>IF(AND(Entries!A81="",Entries!B81="",Entries!C81=""),"",AND(Entries!A81&lt;&gt;"",COUNTIF(Entries!$A$2:$A$200,Entries!A81)=1))</f>
        <v/>
      </c>
      <c r="C81" s="6">
        <f>IF(AND(Entries!A81="",Entries!B81="",Entries!C81=""),"",AND(ISNUMBER(Entries!B81),Entries!B81&gt;=DATE(2026,1,1),Entries!B81&lt;=DATE(2026,12,31)))</f>
        <v/>
      </c>
      <c r="D81" s="6">
        <f>IF(AND(Entries!A81="",Entries!B81="",Entries!C81=""),"",IF(ISNUMBER(Entries!C81),AND(Entries!C81&gt;0,Entries!C81=INT(Entries!C81)),FALSE))</f>
        <v/>
      </c>
      <c r="E81" s="6">
        <f>IF(AND(Entries!A81="",Entries!B81="",Entries!C81=""),"",IF(AND(B81,C81,D81),"OK","Fix"))</f>
        <v/>
      </c>
    </row>
    <row r="82">
      <c r="A82" s="6">
        <f>IF(AND(Entries!A82="",Entries!B82="",Entries!C82=""),"",IF(Entries!A82="","(blank)",Entries!A82))</f>
        <v/>
      </c>
      <c r="B82" s="6">
        <f>IF(AND(Entries!A82="",Entries!B82="",Entries!C82=""),"",AND(Entries!A82&lt;&gt;"",COUNTIF(Entries!$A$2:$A$200,Entries!A82)=1))</f>
        <v/>
      </c>
      <c r="C82" s="6">
        <f>IF(AND(Entries!A82="",Entries!B82="",Entries!C82=""),"",AND(ISNUMBER(Entries!B82),Entries!B82&gt;=DATE(2026,1,1),Entries!B82&lt;=DATE(2026,12,31)))</f>
        <v/>
      </c>
      <c r="D82" s="6">
        <f>IF(AND(Entries!A82="",Entries!B82="",Entries!C82=""),"",IF(ISNUMBER(Entries!C82),AND(Entries!C82&gt;0,Entries!C82=INT(Entries!C82)),FALSE))</f>
        <v/>
      </c>
      <c r="E82" s="6">
        <f>IF(AND(Entries!A82="",Entries!B82="",Entries!C82=""),"",IF(AND(B82,C82,D82),"OK","Fix"))</f>
        <v/>
      </c>
    </row>
    <row r="83">
      <c r="A83" s="6">
        <f>IF(AND(Entries!A83="",Entries!B83="",Entries!C83=""),"",IF(Entries!A83="","(blank)",Entries!A83))</f>
        <v/>
      </c>
      <c r="B83" s="6">
        <f>IF(AND(Entries!A83="",Entries!B83="",Entries!C83=""),"",AND(Entries!A83&lt;&gt;"",COUNTIF(Entries!$A$2:$A$200,Entries!A83)=1))</f>
        <v/>
      </c>
      <c r="C83" s="6">
        <f>IF(AND(Entries!A83="",Entries!B83="",Entries!C83=""),"",AND(ISNUMBER(Entries!B83),Entries!B83&gt;=DATE(2026,1,1),Entries!B83&lt;=DATE(2026,12,31)))</f>
        <v/>
      </c>
      <c r="D83" s="6">
        <f>IF(AND(Entries!A83="",Entries!B83="",Entries!C83=""),"",IF(ISNUMBER(Entries!C83),AND(Entries!C83&gt;0,Entries!C83=INT(Entries!C83)),FALSE))</f>
        <v/>
      </c>
      <c r="E83" s="6">
        <f>IF(AND(Entries!A83="",Entries!B83="",Entries!C83=""),"",IF(AND(B83,C83,D83),"OK","Fix"))</f>
        <v/>
      </c>
    </row>
    <row r="84">
      <c r="A84" s="6">
        <f>IF(AND(Entries!A84="",Entries!B84="",Entries!C84=""),"",IF(Entries!A84="","(blank)",Entries!A84))</f>
        <v/>
      </c>
      <c r="B84" s="6">
        <f>IF(AND(Entries!A84="",Entries!B84="",Entries!C84=""),"",AND(Entries!A84&lt;&gt;"",COUNTIF(Entries!$A$2:$A$200,Entries!A84)=1))</f>
        <v/>
      </c>
      <c r="C84" s="6">
        <f>IF(AND(Entries!A84="",Entries!B84="",Entries!C84=""),"",AND(ISNUMBER(Entries!B84),Entries!B84&gt;=DATE(2026,1,1),Entries!B84&lt;=DATE(2026,12,31)))</f>
        <v/>
      </c>
      <c r="D84" s="6">
        <f>IF(AND(Entries!A84="",Entries!B84="",Entries!C84=""),"",IF(ISNUMBER(Entries!C84),AND(Entries!C84&gt;0,Entries!C84=INT(Entries!C84)),FALSE))</f>
        <v/>
      </c>
      <c r="E84" s="6">
        <f>IF(AND(Entries!A84="",Entries!B84="",Entries!C84=""),"",IF(AND(B84,C84,D84),"OK","Fix"))</f>
        <v/>
      </c>
    </row>
    <row r="85">
      <c r="A85" s="6">
        <f>IF(AND(Entries!A85="",Entries!B85="",Entries!C85=""),"",IF(Entries!A85="","(blank)",Entries!A85))</f>
        <v/>
      </c>
      <c r="B85" s="6">
        <f>IF(AND(Entries!A85="",Entries!B85="",Entries!C85=""),"",AND(Entries!A85&lt;&gt;"",COUNTIF(Entries!$A$2:$A$200,Entries!A85)=1))</f>
        <v/>
      </c>
      <c r="C85" s="6">
        <f>IF(AND(Entries!A85="",Entries!B85="",Entries!C85=""),"",AND(ISNUMBER(Entries!B85),Entries!B85&gt;=DATE(2026,1,1),Entries!B85&lt;=DATE(2026,12,31)))</f>
        <v/>
      </c>
      <c r="D85" s="6">
        <f>IF(AND(Entries!A85="",Entries!B85="",Entries!C85=""),"",IF(ISNUMBER(Entries!C85),AND(Entries!C85&gt;0,Entries!C85=INT(Entries!C85)),FALSE))</f>
        <v/>
      </c>
      <c r="E85" s="6">
        <f>IF(AND(Entries!A85="",Entries!B85="",Entries!C85=""),"",IF(AND(B85,C85,D85),"OK","Fix"))</f>
        <v/>
      </c>
    </row>
    <row r="86">
      <c r="A86" s="6">
        <f>IF(AND(Entries!A86="",Entries!B86="",Entries!C86=""),"",IF(Entries!A86="","(blank)",Entries!A86))</f>
        <v/>
      </c>
      <c r="B86" s="6">
        <f>IF(AND(Entries!A86="",Entries!B86="",Entries!C86=""),"",AND(Entries!A86&lt;&gt;"",COUNTIF(Entries!$A$2:$A$200,Entries!A86)=1))</f>
        <v/>
      </c>
      <c r="C86" s="6">
        <f>IF(AND(Entries!A86="",Entries!B86="",Entries!C86=""),"",AND(ISNUMBER(Entries!B86),Entries!B86&gt;=DATE(2026,1,1),Entries!B86&lt;=DATE(2026,12,31)))</f>
        <v/>
      </c>
      <c r="D86" s="6">
        <f>IF(AND(Entries!A86="",Entries!B86="",Entries!C86=""),"",IF(ISNUMBER(Entries!C86),AND(Entries!C86&gt;0,Entries!C86=INT(Entries!C86)),FALSE))</f>
        <v/>
      </c>
      <c r="E86" s="6">
        <f>IF(AND(Entries!A86="",Entries!B86="",Entries!C86=""),"",IF(AND(B86,C86,D86),"OK","Fix"))</f>
        <v/>
      </c>
    </row>
    <row r="87">
      <c r="A87" s="6">
        <f>IF(AND(Entries!A87="",Entries!B87="",Entries!C87=""),"",IF(Entries!A87="","(blank)",Entries!A87))</f>
        <v/>
      </c>
      <c r="B87" s="6">
        <f>IF(AND(Entries!A87="",Entries!B87="",Entries!C87=""),"",AND(Entries!A87&lt;&gt;"",COUNTIF(Entries!$A$2:$A$200,Entries!A87)=1))</f>
        <v/>
      </c>
      <c r="C87" s="6">
        <f>IF(AND(Entries!A87="",Entries!B87="",Entries!C87=""),"",AND(ISNUMBER(Entries!B87),Entries!B87&gt;=DATE(2026,1,1),Entries!B87&lt;=DATE(2026,12,31)))</f>
        <v/>
      </c>
      <c r="D87" s="6">
        <f>IF(AND(Entries!A87="",Entries!B87="",Entries!C87=""),"",IF(ISNUMBER(Entries!C87),AND(Entries!C87&gt;0,Entries!C87=INT(Entries!C87)),FALSE))</f>
        <v/>
      </c>
      <c r="E87" s="6">
        <f>IF(AND(Entries!A87="",Entries!B87="",Entries!C87=""),"",IF(AND(B87,C87,D87),"OK","Fix"))</f>
        <v/>
      </c>
    </row>
    <row r="88">
      <c r="A88" s="6">
        <f>IF(AND(Entries!A88="",Entries!B88="",Entries!C88=""),"",IF(Entries!A88="","(blank)",Entries!A88))</f>
        <v/>
      </c>
      <c r="B88" s="6">
        <f>IF(AND(Entries!A88="",Entries!B88="",Entries!C88=""),"",AND(Entries!A88&lt;&gt;"",COUNTIF(Entries!$A$2:$A$200,Entries!A88)=1))</f>
        <v/>
      </c>
      <c r="C88" s="6">
        <f>IF(AND(Entries!A88="",Entries!B88="",Entries!C88=""),"",AND(ISNUMBER(Entries!B88),Entries!B88&gt;=DATE(2026,1,1),Entries!B88&lt;=DATE(2026,12,31)))</f>
        <v/>
      </c>
      <c r="D88" s="6">
        <f>IF(AND(Entries!A88="",Entries!B88="",Entries!C88=""),"",IF(ISNUMBER(Entries!C88),AND(Entries!C88&gt;0,Entries!C88=INT(Entries!C88)),FALSE))</f>
        <v/>
      </c>
      <c r="E88" s="6">
        <f>IF(AND(Entries!A88="",Entries!B88="",Entries!C88=""),"",IF(AND(B88,C88,D88),"OK","Fix"))</f>
        <v/>
      </c>
    </row>
    <row r="89">
      <c r="A89" s="6">
        <f>IF(AND(Entries!A89="",Entries!B89="",Entries!C89=""),"",IF(Entries!A89="","(blank)",Entries!A89))</f>
        <v/>
      </c>
      <c r="B89" s="6">
        <f>IF(AND(Entries!A89="",Entries!B89="",Entries!C89=""),"",AND(Entries!A89&lt;&gt;"",COUNTIF(Entries!$A$2:$A$200,Entries!A89)=1))</f>
        <v/>
      </c>
      <c r="C89" s="6">
        <f>IF(AND(Entries!A89="",Entries!B89="",Entries!C89=""),"",AND(ISNUMBER(Entries!B89),Entries!B89&gt;=DATE(2026,1,1),Entries!B89&lt;=DATE(2026,12,31)))</f>
        <v/>
      </c>
      <c r="D89" s="6">
        <f>IF(AND(Entries!A89="",Entries!B89="",Entries!C89=""),"",IF(ISNUMBER(Entries!C89),AND(Entries!C89&gt;0,Entries!C89=INT(Entries!C89)),FALSE))</f>
        <v/>
      </c>
      <c r="E89" s="6">
        <f>IF(AND(Entries!A89="",Entries!B89="",Entries!C89=""),"",IF(AND(B89,C89,D89),"OK","Fix"))</f>
        <v/>
      </c>
    </row>
    <row r="90">
      <c r="A90" s="6">
        <f>IF(AND(Entries!A90="",Entries!B90="",Entries!C90=""),"",IF(Entries!A90="","(blank)",Entries!A90))</f>
        <v/>
      </c>
      <c r="B90" s="6">
        <f>IF(AND(Entries!A90="",Entries!B90="",Entries!C90=""),"",AND(Entries!A90&lt;&gt;"",COUNTIF(Entries!$A$2:$A$200,Entries!A90)=1))</f>
        <v/>
      </c>
      <c r="C90" s="6">
        <f>IF(AND(Entries!A90="",Entries!B90="",Entries!C90=""),"",AND(ISNUMBER(Entries!B90),Entries!B90&gt;=DATE(2026,1,1),Entries!B90&lt;=DATE(2026,12,31)))</f>
        <v/>
      </c>
      <c r="D90" s="6">
        <f>IF(AND(Entries!A90="",Entries!B90="",Entries!C90=""),"",IF(ISNUMBER(Entries!C90),AND(Entries!C90&gt;0,Entries!C90=INT(Entries!C90)),FALSE))</f>
        <v/>
      </c>
      <c r="E90" s="6">
        <f>IF(AND(Entries!A90="",Entries!B90="",Entries!C90=""),"",IF(AND(B90,C90,D90),"OK","Fix"))</f>
        <v/>
      </c>
    </row>
    <row r="91">
      <c r="A91" s="6">
        <f>IF(AND(Entries!A91="",Entries!B91="",Entries!C91=""),"",IF(Entries!A91="","(blank)",Entries!A91))</f>
        <v/>
      </c>
      <c r="B91" s="6">
        <f>IF(AND(Entries!A91="",Entries!B91="",Entries!C91=""),"",AND(Entries!A91&lt;&gt;"",COUNTIF(Entries!$A$2:$A$200,Entries!A91)=1))</f>
        <v/>
      </c>
      <c r="C91" s="6">
        <f>IF(AND(Entries!A91="",Entries!B91="",Entries!C91=""),"",AND(ISNUMBER(Entries!B91),Entries!B91&gt;=DATE(2026,1,1),Entries!B91&lt;=DATE(2026,12,31)))</f>
        <v/>
      </c>
      <c r="D91" s="6">
        <f>IF(AND(Entries!A91="",Entries!B91="",Entries!C91=""),"",IF(ISNUMBER(Entries!C91),AND(Entries!C91&gt;0,Entries!C91=INT(Entries!C91)),FALSE))</f>
        <v/>
      </c>
      <c r="E91" s="6">
        <f>IF(AND(Entries!A91="",Entries!B91="",Entries!C91=""),"",IF(AND(B91,C91,D91),"OK","Fix"))</f>
        <v/>
      </c>
    </row>
    <row r="92">
      <c r="A92" s="6">
        <f>IF(AND(Entries!A92="",Entries!B92="",Entries!C92=""),"",IF(Entries!A92="","(blank)",Entries!A92))</f>
        <v/>
      </c>
      <c r="B92" s="6">
        <f>IF(AND(Entries!A92="",Entries!B92="",Entries!C92=""),"",AND(Entries!A92&lt;&gt;"",COUNTIF(Entries!$A$2:$A$200,Entries!A92)=1))</f>
        <v/>
      </c>
      <c r="C92" s="6">
        <f>IF(AND(Entries!A92="",Entries!B92="",Entries!C92=""),"",AND(ISNUMBER(Entries!B92),Entries!B92&gt;=DATE(2026,1,1),Entries!B92&lt;=DATE(2026,12,31)))</f>
        <v/>
      </c>
      <c r="D92" s="6">
        <f>IF(AND(Entries!A92="",Entries!B92="",Entries!C92=""),"",IF(ISNUMBER(Entries!C92),AND(Entries!C92&gt;0,Entries!C92=INT(Entries!C92)),FALSE))</f>
        <v/>
      </c>
      <c r="E92" s="6">
        <f>IF(AND(Entries!A92="",Entries!B92="",Entries!C92=""),"",IF(AND(B92,C92,D92),"OK","Fix"))</f>
        <v/>
      </c>
    </row>
    <row r="93">
      <c r="A93" s="6">
        <f>IF(AND(Entries!A93="",Entries!B93="",Entries!C93=""),"",IF(Entries!A93="","(blank)",Entries!A93))</f>
        <v/>
      </c>
      <c r="B93" s="6">
        <f>IF(AND(Entries!A93="",Entries!B93="",Entries!C93=""),"",AND(Entries!A93&lt;&gt;"",COUNTIF(Entries!$A$2:$A$200,Entries!A93)=1))</f>
        <v/>
      </c>
      <c r="C93" s="6">
        <f>IF(AND(Entries!A93="",Entries!B93="",Entries!C93=""),"",AND(ISNUMBER(Entries!B93),Entries!B93&gt;=DATE(2026,1,1),Entries!B93&lt;=DATE(2026,12,31)))</f>
        <v/>
      </c>
      <c r="D93" s="6">
        <f>IF(AND(Entries!A93="",Entries!B93="",Entries!C93=""),"",IF(ISNUMBER(Entries!C93),AND(Entries!C93&gt;0,Entries!C93=INT(Entries!C93)),FALSE))</f>
        <v/>
      </c>
      <c r="E93" s="6">
        <f>IF(AND(Entries!A93="",Entries!B93="",Entries!C93=""),"",IF(AND(B93,C93,D93),"OK","Fix"))</f>
        <v/>
      </c>
    </row>
    <row r="94">
      <c r="A94" s="6">
        <f>IF(AND(Entries!A94="",Entries!B94="",Entries!C94=""),"",IF(Entries!A94="","(blank)",Entries!A94))</f>
        <v/>
      </c>
      <c r="B94" s="6">
        <f>IF(AND(Entries!A94="",Entries!B94="",Entries!C94=""),"",AND(Entries!A94&lt;&gt;"",COUNTIF(Entries!$A$2:$A$200,Entries!A94)=1))</f>
        <v/>
      </c>
      <c r="C94" s="6">
        <f>IF(AND(Entries!A94="",Entries!B94="",Entries!C94=""),"",AND(ISNUMBER(Entries!B94),Entries!B94&gt;=DATE(2026,1,1),Entries!B94&lt;=DATE(2026,12,31)))</f>
        <v/>
      </c>
      <c r="D94" s="6">
        <f>IF(AND(Entries!A94="",Entries!B94="",Entries!C94=""),"",IF(ISNUMBER(Entries!C94),AND(Entries!C94&gt;0,Entries!C94=INT(Entries!C94)),FALSE))</f>
        <v/>
      </c>
      <c r="E94" s="6">
        <f>IF(AND(Entries!A94="",Entries!B94="",Entries!C94=""),"",IF(AND(B94,C94,D94),"OK","Fix"))</f>
        <v/>
      </c>
    </row>
    <row r="95">
      <c r="A95" s="6">
        <f>IF(AND(Entries!A95="",Entries!B95="",Entries!C95=""),"",IF(Entries!A95="","(blank)",Entries!A95))</f>
        <v/>
      </c>
      <c r="B95" s="6">
        <f>IF(AND(Entries!A95="",Entries!B95="",Entries!C95=""),"",AND(Entries!A95&lt;&gt;"",COUNTIF(Entries!$A$2:$A$200,Entries!A95)=1))</f>
        <v/>
      </c>
      <c r="C95" s="6">
        <f>IF(AND(Entries!A95="",Entries!B95="",Entries!C95=""),"",AND(ISNUMBER(Entries!B95),Entries!B95&gt;=DATE(2026,1,1),Entries!B95&lt;=DATE(2026,12,31)))</f>
        <v/>
      </c>
      <c r="D95" s="6">
        <f>IF(AND(Entries!A95="",Entries!B95="",Entries!C95=""),"",IF(ISNUMBER(Entries!C95),AND(Entries!C95&gt;0,Entries!C95=INT(Entries!C95)),FALSE))</f>
        <v/>
      </c>
      <c r="E95" s="6">
        <f>IF(AND(Entries!A95="",Entries!B95="",Entries!C95=""),"",IF(AND(B95,C95,D95),"OK","Fix"))</f>
        <v/>
      </c>
    </row>
    <row r="96">
      <c r="A96" s="6">
        <f>IF(AND(Entries!A96="",Entries!B96="",Entries!C96=""),"",IF(Entries!A96="","(blank)",Entries!A96))</f>
        <v/>
      </c>
      <c r="B96" s="6">
        <f>IF(AND(Entries!A96="",Entries!B96="",Entries!C96=""),"",AND(Entries!A96&lt;&gt;"",COUNTIF(Entries!$A$2:$A$200,Entries!A96)=1))</f>
        <v/>
      </c>
      <c r="C96" s="6">
        <f>IF(AND(Entries!A96="",Entries!B96="",Entries!C96=""),"",AND(ISNUMBER(Entries!B96),Entries!B96&gt;=DATE(2026,1,1),Entries!B96&lt;=DATE(2026,12,31)))</f>
        <v/>
      </c>
      <c r="D96" s="6">
        <f>IF(AND(Entries!A96="",Entries!B96="",Entries!C96=""),"",IF(ISNUMBER(Entries!C96),AND(Entries!C96&gt;0,Entries!C96=INT(Entries!C96)),FALSE))</f>
        <v/>
      </c>
      <c r="E96" s="6">
        <f>IF(AND(Entries!A96="",Entries!B96="",Entries!C96=""),"",IF(AND(B96,C96,D96),"OK","Fix"))</f>
        <v/>
      </c>
    </row>
    <row r="97">
      <c r="A97" s="6">
        <f>IF(AND(Entries!A97="",Entries!B97="",Entries!C97=""),"",IF(Entries!A97="","(blank)",Entries!A97))</f>
        <v/>
      </c>
      <c r="B97" s="6">
        <f>IF(AND(Entries!A97="",Entries!B97="",Entries!C97=""),"",AND(Entries!A97&lt;&gt;"",COUNTIF(Entries!$A$2:$A$200,Entries!A97)=1))</f>
        <v/>
      </c>
      <c r="C97" s="6">
        <f>IF(AND(Entries!A97="",Entries!B97="",Entries!C97=""),"",AND(ISNUMBER(Entries!B97),Entries!B97&gt;=DATE(2026,1,1),Entries!B97&lt;=DATE(2026,12,31)))</f>
        <v/>
      </c>
      <c r="D97" s="6">
        <f>IF(AND(Entries!A97="",Entries!B97="",Entries!C97=""),"",IF(ISNUMBER(Entries!C97),AND(Entries!C97&gt;0,Entries!C97=INT(Entries!C97)),FALSE))</f>
        <v/>
      </c>
      <c r="E97" s="6">
        <f>IF(AND(Entries!A97="",Entries!B97="",Entries!C97=""),"",IF(AND(B97,C97,D97),"OK","Fix"))</f>
        <v/>
      </c>
    </row>
    <row r="98">
      <c r="A98" s="6">
        <f>IF(AND(Entries!A98="",Entries!B98="",Entries!C98=""),"",IF(Entries!A98="","(blank)",Entries!A98))</f>
        <v/>
      </c>
      <c r="B98" s="6">
        <f>IF(AND(Entries!A98="",Entries!B98="",Entries!C98=""),"",AND(Entries!A98&lt;&gt;"",COUNTIF(Entries!$A$2:$A$200,Entries!A98)=1))</f>
        <v/>
      </c>
      <c r="C98" s="6">
        <f>IF(AND(Entries!A98="",Entries!B98="",Entries!C98=""),"",AND(ISNUMBER(Entries!B98),Entries!B98&gt;=DATE(2026,1,1),Entries!B98&lt;=DATE(2026,12,31)))</f>
        <v/>
      </c>
      <c r="D98" s="6">
        <f>IF(AND(Entries!A98="",Entries!B98="",Entries!C98=""),"",IF(ISNUMBER(Entries!C98),AND(Entries!C98&gt;0,Entries!C98=INT(Entries!C98)),FALSE))</f>
        <v/>
      </c>
      <c r="E98" s="6">
        <f>IF(AND(Entries!A98="",Entries!B98="",Entries!C98=""),"",IF(AND(B98,C98,D98),"OK","Fix"))</f>
        <v/>
      </c>
    </row>
    <row r="99">
      <c r="A99" s="6">
        <f>IF(AND(Entries!A99="",Entries!B99="",Entries!C99=""),"",IF(Entries!A99="","(blank)",Entries!A99))</f>
        <v/>
      </c>
      <c r="B99" s="6">
        <f>IF(AND(Entries!A99="",Entries!B99="",Entries!C99=""),"",AND(Entries!A99&lt;&gt;"",COUNTIF(Entries!$A$2:$A$200,Entries!A99)=1))</f>
        <v/>
      </c>
      <c r="C99" s="6">
        <f>IF(AND(Entries!A99="",Entries!B99="",Entries!C99=""),"",AND(ISNUMBER(Entries!B99),Entries!B99&gt;=DATE(2026,1,1),Entries!B99&lt;=DATE(2026,12,31)))</f>
        <v/>
      </c>
      <c r="D99" s="6">
        <f>IF(AND(Entries!A99="",Entries!B99="",Entries!C99=""),"",IF(ISNUMBER(Entries!C99),AND(Entries!C99&gt;0,Entries!C99=INT(Entries!C99)),FALSE))</f>
        <v/>
      </c>
      <c r="E99" s="6">
        <f>IF(AND(Entries!A99="",Entries!B99="",Entries!C99=""),"",IF(AND(B99,C99,D99),"OK","Fix"))</f>
        <v/>
      </c>
    </row>
    <row r="100">
      <c r="A100" s="6">
        <f>IF(AND(Entries!A100="",Entries!B100="",Entries!C100=""),"",IF(Entries!A100="","(blank)",Entries!A100))</f>
        <v/>
      </c>
      <c r="B100" s="6">
        <f>IF(AND(Entries!A100="",Entries!B100="",Entries!C100=""),"",AND(Entries!A100&lt;&gt;"",COUNTIF(Entries!$A$2:$A$200,Entries!A100)=1))</f>
        <v/>
      </c>
      <c r="C100" s="6">
        <f>IF(AND(Entries!A100="",Entries!B100="",Entries!C100=""),"",AND(ISNUMBER(Entries!B100),Entries!B100&gt;=DATE(2026,1,1),Entries!B100&lt;=DATE(2026,12,31)))</f>
        <v/>
      </c>
      <c r="D100" s="6">
        <f>IF(AND(Entries!A100="",Entries!B100="",Entries!C100=""),"",IF(ISNUMBER(Entries!C100),AND(Entries!C100&gt;0,Entries!C100=INT(Entries!C100)),FALSE))</f>
        <v/>
      </c>
      <c r="E100" s="6">
        <f>IF(AND(Entries!A100="",Entries!B100="",Entries!C100=""),"",IF(AND(B100,C100,D100),"OK","Fix"))</f>
        <v/>
      </c>
    </row>
    <row r="101">
      <c r="A101" s="6">
        <f>IF(AND(Entries!A101="",Entries!B101="",Entries!C101=""),"",IF(Entries!A101="","(blank)",Entries!A101))</f>
        <v/>
      </c>
      <c r="B101" s="6">
        <f>IF(AND(Entries!A101="",Entries!B101="",Entries!C101=""),"",AND(Entries!A101&lt;&gt;"",COUNTIF(Entries!$A$2:$A$200,Entries!A101)=1))</f>
        <v/>
      </c>
      <c r="C101" s="6">
        <f>IF(AND(Entries!A101="",Entries!B101="",Entries!C101=""),"",AND(ISNUMBER(Entries!B101),Entries!B101&gt;=DATE(2026,1,1),Entries!B101&lt;=DATE(2026,12,31)))</f>
        <v/>
      </c>
      <c r="D101" s="6">
        <f>IF(AND(Entries!A101="",Entries!B101="",Entries!C101=""),"",IF(ISNUMBER(Entries!C101),AND(Entries!C101&gt;0,Entries!C101=INT(Entries!C101)),FALSE))</f>
        <v/>
      </c>
      <c r="E101" s="6">
        <f>IF(AND(Entries!A101="",Entries!B101="",Entries!C101=""),"",IF(AND(B101,C101,D101),"OK","Fix"))</f>
        <v/>
      </c>
    </row>
    <row r="102">
      <c r="A102" s="6">
        <f>IF(AND(Entries!A102="",Entries!B102="",Entries!C102=""),"",IF(Entries!A102="","(blank)",Entries!A102))</f>
        <v/>
      </c>
      <c r="B102" s="6">
        <f>IF(AND(Entries!A102="",Entries!B102="",Entries!C102=""),"",AND(Entries!A102&lt;&gt;"",COUNTIF(Entries!$A$2:$A$200,Entries!A102)=1))</f>
        <v/>
      </c>
      <c r="C102" s="6">
        <f>IF(AND(Entries!A102="",Entries!B102="",Entries!C102=""),"",AND(ISNUMBER(Entries!B102),Entries!B102&gt;=DATE(2026,1,1),Entries!B102&lt;=DATE(2026,12,31)))</f>
        <v/>
      </c>
      <c r="D102" s="6">
        <f>IF(AND(Entries!A102="",Entries!B102="",Entries!C102=""),"",IF(ISNUMBER(Entries!C102),AND(Entries!C102&gt;0,Entries!C102=INT(Entries!C102)),FALSE))</f>
        <v/>
      </c>
      <c r="E102" s="6">
        <f>IF(AND(Entries!A102="",Entries!B102="",Entries!C102=""),"",IF(AND(B102,C102,D102),"OK","Fix"))</f>
        <v/>
      </c>
    </row>
    <row r="103">
      <c r="A103" s="6">
        <f>IF(AND(Entries!A103="",Entries!B103="",Entries!C103=""),"",IF(Entries!A103="","(blank)",Entries!A103))</f>
        <v/>
      </c>
      <c r="B103" s="6">
        <f>IF(AND(Entries!A103="",Entries!B103="",Entries!C103=""),"",AND(Entries!A103&lt;&gt;"",COUNTIF(Entries!$A$2:$A$200,Entries!A103)=1))</f>
        <v/>
      </c>
      <c r="C103" s="6">
        <f>IF(AND(Entries!A103="",Entries!B103="",Entries!C103=""),"",AND(ISNUMBER(Entries!B103),Entries!B103&gt;=DATE(2026,1,1),Entries!B103&lt;=DATE(2026,12,31)))</f>
        <v/>
      </c>
      <c r="D103" s="6">
        <f>IF(AND(Entries!A103="",Entries!B103="",Entries!C103=""),"",IF(ISNUMBER(Entries!C103),AND(Entries!C103&gt;0,Entries!C103=INT(Entries!C103)),FALSE))</f>
        <v/>
      </c>
      <c r="E103" s="6">
        <f>IF(AND(Entries!A103="",Entries!B103="",Entries!C103=""),"",IF(AND(B103,C103,D103),"OK","Fix"))</f>
        <v/>
      </c>
    </row>
    <row r="104">
      <c r="A104" s="6">
        <f>IF(AND(Entries!A104="",Entries!B104="",Entries!C104=""),"",IF(Entries!A104="","(blank)",Entries!A104))</f>
        <v/>
      </c>
      <c r="B104" s="6">
        <f>IF(AND(Entries!A104="",Entries!B104="",Entries!C104=""),"",AND(Entries!A104&lt;&gt;"",COUNTIF(Entries!$A$2:$A$200,Entries!A104)=1))</f>
        <v/>
      </c>
      <c r="C104" s="6">
        <f>IF(AND(Entries!A104="",Entries!B104="",Entries!C104=""),"",AND(ISNUMBER(Entries!B104),Entries!B104&gt;=DATE(2026,1,1),Entries!B104&lt;=DATE(2026,12,31)))</f>
        <v/>
      </c>
      <c r="D104" s="6">
        <f>IF(AND(Entries!A104="",Entries!B104="",Entries!C104=""),"",IF(ISNUMBER(Entries!C104),AND(Entries!C104&gt;0,Entries!C104=INT(Entries!C104)),FALSE))</f>
        <v/>
      </c>
      <c r="E104" s="6">
        <f>IF(AND(Entries!A104="",Entries!B104="",Entries!C104=""),"",IF(AND(B104,C104,D104),"OK","Fix"))</f>
        <v/>
      </c>
    </row>
    <row r="105">
      <c r="A105" s="6">
        <f>IF(AND(Entries!A105="",Entries!B105="",Entries!C105=""),"",IF(Entries!A105="","(blank)",Entries!A105))</f>
        <v/>
      </c>
      <c r="B105" s="6">
        <f>IF(AND(Entries!A105="",Entries!B105="",Entries!C105=""),"",AND(Entries!A105&lt;&gt;"",COUNTIF(Entries!$A$2:$A$200,Entries!A105)=1))</f>
        <v/>
      </c>
      <c r="C105" s="6">
        <f>IF(AND(Entries!A105="",Entries!B105="",Entries!C105=""),"",AND(ISNUMBER(Entries!B105),Entries!B105&gt;=DATE(2026,1,1),Entries!B105&lt;=DATE(2026,12,31)))</f>
        <v/>
      </c>
      <c r="D105" s="6">
        <f>IF(AND(Entries!A105="",Entries!B105="",Entries!C105=""),"",IF(ISNUMBER(Entries!C105),AND(Entries!C105&gt;0,Entries!C105=INT(Entries!C105)),FALSE))</f>
        <v/>
      </c>
      <c r="E105" s="6">
        <f>IF(AND(Entries!A105="",Entries!B105="",Entries!C105=""),"",IF(AND(B105,C105,D105),"OK","Fix"))</f>
        <v/>
      </c>
    </row>
    <row r="106">
      <c r="A106" s="6">
        <f>IF(AND(Entries!A106="",Entries!B106="",Entries!C106=""),"",IF(Entries!A106="","(blank)",Entries!A106))</f>
        <v/>
      </c>
      <c r="B106" s="6">
        <f>IF(AND(Entries!A106="",Entries!B106="",Entries!C106=""),"",AND(Entries!A106&lt;&gt;"",COUNTIF(Entries!$A$2:$A$200,Entries!A106)=1))</f>
        <v/>
      </c>
      <c r="C106" s="6">
        <f>IF(AND(Entries!A106="",Entries!B106="",Entries!C106=""),"",AND(ISNUMBER(Entries!B106),Entries!B106&gt;=DATE(2026,1,1),Entries!B106&lt;=DATE(2026,12,31)))</f>
        <v/>
      </c>
      <c r="D106" s="6">
        <f>IF(AND(Entries!A106="",Entries!B106="",Entries!C106=""),"",IF(ISNUMBER(Entries!C106),AND(Entries!C106&gt;0,Entries!C106=INT(Entries!C106)),FALSE))</f>
        <v/>
      </c>
      <c r="E106" s="6">
        <f>IF(AND(Entries!A106="",Entries!B106="",Entries!C106=""),"",IF(AND(B106,C106,D106),"OK","Fix"))</f>
        <v/>
      </c>
    </row>
    <row r="107">
      <c r="A107" s="6">
        <f>IF(AND(Entries!A107="",Entries!B107="",Entries!C107=""),"",IF(Entries!A107="","(blank)",Entries!A107))</f>
        <v/>
      </c>
      <c r="B107" s="6">
        <f>IF(AND(Entries!A107="",Entries!B107="",Entries!C107=""),"",AND(Entries!A107&lt;&gt;"",COUNTIF(Entries!$A$2:$A$200,Entries!A107)=1))</f>
        <v/>
      </c>
      <c r="C107" s="6">
        <f>IF(AND(Entries!A107="",Entries!B107="",Entries!C107=""),"",AND(ISNUMBER(Entries!B107),Entries!B107&gt;=DATE(2026,1,1),Entries!B107&lt;=DATE(2026,12,31)))</f>
        <v/>
      </c>
      <c r="D107" s="6">
        <f>IF(AND(Entries!A107="",Entries!B107="",Entries!C107=""),"",IF(ISNUMBER(Entries!C107),AND(Entries!C107&gt;0,Entries!C107=INT(Entries!C107)),FALSE))</f>
        <v/>
      </c>
      <c r="E107" s="6">
        <f>IF(AND(Entries!A107="",Entries!B107="",Entries!C107=""),"",IF(AND(B107,C107,D107),"OK","Fix"))</f>
        <v/>
      </c>
    </row>
    <row r="108">
      <c r="A108" s="6">
        <f>IF(AND(Entries!A108="",Entries!B108="",Entries!C108=""),"",IF(Entries!A108="","(blank)",Entries!A108))</f>
        <v/>
      </c>
      <c r="B108" s="6">
        <f>IF(AND(Entries!A108="",Entries!B108="",Entries!C108=""),"",AND(Entries!A108&lt;&gt;"",COUNTIF(Entries!$A$2:$A$200,Entries!A108)=1))</f>
        <v/>
      </c>
      <c r="C108" s="6">
        <f>IF(AND(Entries!A108="",Entries!B108="",Entries!C108=""),"",AND(ISNUMBER(Entries!B108),Entries!B108&gt;=DATE(2026,1,1),Entries!B108&lt;=DATE(2026,12,31)))</f>
        <v/>
      </c>
      <c r="D108" s="6">
        <f>IF(AND(Entries!A108="",Entries!B108="",Entries!C108=""),"",IF(ISNUMBER(Entries!C108),AND(Entries!C108&gt;0,Entries!C108=INT(Entries!C108)),FALSE))</f>
        <v/>
      </c>
      <c r="E108" s="6">
        <f>IF(AND(Entries!A108="",Entries!B108="",Entries!C108=""),"",IF(AND(B108,C108,D108),"OK","Fix"))</f>
        <v/>
      </c>
    </row>
    <row r="109">
      <c r="A109" s="6">
        <f>IF(AND(Entries!A109="",Entries!B109="",Entries!C109=""),"",IF(Entries!A109="","(blank)",Entries!A109))</f>
        <v/>
      </c>
      <c r="B109" s="6">
        <f>IF(AND(Entries!A109="",Entries!B109="",Entries!C109=""),"",AND(Entries!A109&lt;&gt;"",COUNTIF(Entries!$A$2:$A$200,Entries!A109)=1))</f>
        <v/>
      </c>
      <c r="C109" s="6">
        <f>IF(AND(Entries!A109="",Entries!B109="",Entries!C109=""),"",AND(ISNUMBER(Entries!B109),Entries!B109&gt;=DATE(2026,1,1),Entries!B109&lt;=DATE(2026,12,31)))</f>
        <v/>
      </c>
      <c r="D109" s="6">
        <f>IF(AND(Entries!A109="",Entries!B109="",Entries!C109=""),"",IF(ISNUMBER(Entries!C109),AND(Entries!C109&gt;0,Entries!C109=INT(Entries!C109)),FALSE))</f>
        <v/>
      </c>
      <c r="E109" s="6">
        <f>IF(AND(Entries!A109="",Entries!B109="",Entries!C109=""),"",IF(AND(B109,C109,D109),"OK","Fix"))</f>
        <v/>
      </c>
    </row>
    <row r="110">
      <c r="A110" s="6">
        <f>IF(AND(Entries!A110="",Entries!B110="",Entries!C110=""),"",IF(Entries!A110="","(blank)",Entries!A110))</f>
        <v/>
      </c>
      <c r="B110" s="6">
        <f>IF(AND(Entries!A110="",Entries!B110="",Entries!C110=""),"",AND(Entries!A110&lt;&gt;"",COUNTIF(Entries!$A$2:$A$200,Entries!A110)=1))</f>
        <v/>
      </c>
      <c r="C110" s="6">
        <f>IF(AND(Entries!A110="",Entries!B110="",Entries!C110=""),"",AND(ISNUMBER(Entries!B110),Entries!B110&gt;=DATE(2026,1,1),Entries!B110&lt;=DATE(2026,12,31)))</f>
        <v/>
      </c>
      <c r="D110" s="6">
        <f>IF(AND(Entries!A110="",Entries!B110="",Entries!C110=""),"",IF(ISNUMBER(Entries!C110),AND(Entries!C110&gt;0,Entries!C110=INT(Entries!C110)),FALSE))</f>
        <v/>
      </c>
      <c r="E110" s="6">
        <f>IF(AND(Entries!A110="",Entries!B110="",Entries!C110=""),"",IF(AND(B110,C110,D110),"OK","Fix"))</f>
        <v/>
      </c>
    </row>
    <row r="111">
      <c r="A111" s="6">
        <f>IF(AND(Entries!A111="",Entries!B111="",Entries!C111=""),"",IF(Entries!A111="","(blank)",Entries!A111))</f>
        <v/>
      </c>
      <c r="B111" s="6">
        <f>IF(AND(Entries!A111="",Entries!B111="",Entries!C111=""),"",AND(Entries!A111&lt;&gt;"",COUNTIF(Entries!$A$2:$A$200,Entries!A111)=1))</f>
        <v/>
      </c>
      <c r="C111" s="6">
        <f>IF(AND(Entries!A111="",Entries!B111="",Entries!C111=""),"",AND(ISNUMBER(Entries!B111),Entries!B111&gt;=DATE(2026,1,1),Entries!B111&lt;=DATE(2026,12,31)))</f>
        <v/>
      </c>
      <c r="D111" s="6">
        <f>IF(AND(Entries!A111="",Entries!B111="",Entries!C111=""),"",IF(ISNUMBER(Entries!C111),AND(Entries!C111&gt;0,Entries!C111=INT(Entries!C111)),FALSE))</f>
        <v/>
      </c>
      <c r="E111" s="6">
        <f>IF(AND(Entries!A111="",Entries!B111="",Entries!C111=""),"",IF(AND(B111,C111,D111),"OK","Fix"))</f>
        <v/>
      </c>
    </row>
    <row r="112">
      <c r="A112" s="6">
        <f>IF(AND(Entries!A112="",Entries!B112="",Entries!C112=""),"",IF(Entries!A112="","(blank)",Entries!A112))</f>
        <v/>
      </c>
      <c r="B112" s="6">
        <f>IF(AND(Entries!A112="",Entries!B112="",Entries!C112=""),"",AND(Entries!A112&lt;&gt;"",COUNTIF(Entries!$A$2:$A$200,Entries!A112)=1))</f>
        <v/>
      </c>
      <c r="C112" s="6">
        <f>IF(AND(Entries!A112="",Entries!B112="",Entries!C112=""),"",AND(ISNUMBER(Entries!B112),Entries!B112&gt;=DATE(2026,1,1),Entries!B112&lt;=DATE(2026,12,31)))</f>
        <v/>
      </c>
      <c r="D112" s="6">
        <f>IF(AND(Entries!A112="",Entries!B112="",Entries!C112=""),"",IF(ISNUMBER(Entries!C112),AND(Entries!C112&gt;0,Entries!C112=INT(Entries!C112)),FALSE))</f>
        <v/>
      </c>
      <c r="E112" s="6">
        <f>IF(AND(Entries!A112="",Entries!B112="",Entries!C112=""),"",IF(AND(B112,C112,D112),"OK","Fix"))</f>
        <v/>
      </c>
    </row>
    <row r="113">
      <c r="A113" s="6">
        <f>IF(AND(Entries!A113="",Entries!B113="",Entries!C113=""),"",IF(Entries!A113="","(blank)",Entries!A113))</f>
        <v/>
      </c>
      <c r="B113" s="6">
        <f>IF(AND(Entries!A113="",Entries!B113="",Entries!C113=""),"",AND(Entries!A113&lt;&gt;"",COUNTIF(Entries!$A$2:$A$200,Entries!A113)=1))</f>
        <v/>
      </c>
      <c r="C113" s="6">
        <f>IF(AND(Entries!A113="",Entries!B113="",Entries!C113=""),"",AND(ISNUMBER(Entries!B113),Entries!B113&gt;=DATE(2026,1,1),Entries!B113&lt;=DATE(2026,12,31)))</f>
        <v/>
      </c>
      <c r="D113" s="6">
        <f>IF(AND(Entries!A113="",Entries!B113="",Entries!C113=""),"",IF(ISNUMBER(Entries!C113),AND(Entries!C113&gt;0,Entries!C113=INT(Entries!C113)),FALSE))</f>
        <v/>
      </c>
      <c r="E113" s="6">
        <f>IF(AND(Entries!A113="",Entries!B113="",Entries!C113=""),"",IF(AND(B113,C113,D113),"OK","Fix"))</f>
        <v/>
      </c>
    </row>
    <row r="114">
      <c r="A114" s="6">
        <f>IF(AND(Entries!A114="",Entries!B114="",Entries!C114=""),"",IF(Entries!A114="","(blank)",Entries!A114))</f>
        <v/>
      </c>
      <c r="B114" s="6">
        <f>IF(AND(Entries!A114="",Entries!B114="",Entries!C114=""),"",AND(Entries!A114&lt;&gt;"",COUNTIF(Entries!$A$2:$A$200,Entries!A114)=1))</f>
        <v/>
      </c>
      <c r="C114" s="6">
        <f>IF(AND(Entries!A114="",Entries!B114="",Entries!C114=""),"",AND(ISNUMBER(Entries!B114),Entries!B114&gt;=DATE(2026,1,1),Entries!B114&lt;=DATE(2026,12,31)))</f>
        <v/>
      </c>
      <c r="D114" s="6">
        <f>IF(AND(Entries!A114="",Entries!B114="",Entries!C114=""),"",IF(ISNUMBER(Entries!C114),AND(Entries!C114&gt;0,Entries!C114=INT(Entries!C114)),FALSE))</f>
        <v/>
      </c>
      <c r="E114" s="6">
        <f>IF(AND(Entries!A114="",Entries!B114="",Entries!C114=""),"",IF(AND(B114,C114,D114),"OK","Fix"))</f>
        <v/>
      </c>
    </row>
    <row r="115">
      <c r="A115" s="6">
        <f>IF(AND(Entries!A115="",Entries!B115="",Entries!C115=""),"",IF(Entries!A115="","(blank)",Entries!A115))</f>
        <v/>
      </c>
      <c r="B115" s="6">
        <f>IF(AND(Entries!A115="",Entries!B115="",Entries!C115=""),"",AND(Entries!A115&lt;&gt;"",COUNTIF(Entries!$A$2:$A$200,Entries!A115)=1))</f>
        <v/>
      </c>
      <c r="C115" s="6">
        <f>IF(AND(Entries!A115="",Entries!B115="",Entries!C115=""),"",AND(ISNUMBER(Entries!B115),Entries!B115&gt;=DATE(2026,1,1),Entries!B115&lt;=DATE(2026,12,31)))</f>
        <v/>
      </c>
      <c r="D115" s="6">
        <f>IF(AND(Entries!A115="",Entries!B115="",Entries!C115=""),"",IF(ISNUMBER(Entries!C115),AND(Entries!C115&gt;0,Entries!C115=INT(Entries!C115)),FALSE))</f>
        <v/>
      </c>
      <c r="E115" s="6">
        <f>IF(AND(Entries!A115="",Entries!B115="",Entries!C115=""),"",IF(AND(B115,C115,D115),"OK","Fix"))</f>
        <v/>
      </c>
    </row>
    <row r="116">
      <c r="A116" s="6">
        <f>IF(AND(Entries!A116="",Entries!B116="",Entries!C116=""),"",IF(Entries!A116="","(blank)",Entries!A116))</f>
        <v/>
      </c>
      <c r="B116" s="6">
        <f>IF(AND(Entries!A116="",Entries!B116="",Entries!C116=""),"",AND(Entries!A116&lt;&gt;"",COUNTIF(Entries!$A$2:$A$200,Entries!A116)=1))</f>
        <v/>
      </c>
      <c r="C116" s="6">
        <f>IF(AND(Entries!A116="",Entries!B116="",Entries!C116=""),"",AND(ISNUMBER(Entries!B116),Entries!B116&gt;=DATE(2026,1,1),Entries!B116&lt;=DATE(2026,12,31)))</f>
        <v/>
      </c>
      <c r="D116" s="6">
        <f>IF(AND(Entries!A116="",Entries!B116="",Entries!C116=""),"",IF(ISNUMBER(Entries!C116),AND(Entries!C116&gt;0,Entries!C116=INT(Entries!C116)),FALSE))</f>
        <v/>
      </c>
      <c r="E116" s="6">
        <f>IF(AND(Entries!A116="",Entries!B116="",Entries!C116=""),"",IF(AND(B116,C116,D116),"OK","Fix"))</f>
        <v/>
      </c>
    </row>
    <row r="117">
      <c r="A117" s="6">
        <f>IF(AND(Entries!A117="",Entries!B117="",Entries!C117=""),"",IF(Entries!A117="","(blank)",Entries!A117))</f>
        <v/>
      </c>
      <c r="B117" s="6">
        <f>IF(AND(Entries!A117="",Entries!B117="",Entries!C117=""),"",AND(Entries!A117&lt;&gt;"",COUNTIF(Entries!$A$2:$A$200,Entries!A117)=1))</f>
        <v/>
      </c>
      <c r="C117" s="6">
        <f>IF(AND(Entries!A117="",Entries!B117="",Entries!C117=""),"",AND(ISNUMBER(Entries!B117),Entries!B117&gt;=DATE(2026,1,1),Entries!B117&lt;=DATE(2026,12,31)))</f>
        <v/>
      </c>
      <c r="D117" s="6">
        <f>IF(AND(Entries!A117="",Entries!B117="",Entries!C117=""),"",IF(ISNUMBER(Entries!C117),AND(Entries!C117&gt;0,Entries!C117=INT(Entries!C117)),FALSE))</f>
        <v/>
      </c>
      <c r="E117" s="6">
        <f>IF(AND(Entries!A117="",Entries!B117="",Entries!C117=""),"",IF(AND(B117,C117,D117),"OK","Fix"))</f>
        <v/>
      </c>
    </row>
    <row r="118">
      <c r="A118" s="6">
        <f>IF(AND(Entries!A118="",Entries!B118="",Entries!C118=""),"",IF(Entries!A118="","(blank)",Entries!A118))</f>
        <v/>
      </c>
      <c r="B118" s="6">
        <f>IF(AND(Entries!A118="",Entries!B118="",Entries!C118=""),"",AND(Entries!A118&lt;&gt;"",COUNTIF(Entries!$A$2:$A$200,Entries!A118)=1))</f>
        <v/>
      </c>
      <c r="C118" s="6">
        <f>IF(AND(Entries!A118="",Entries!B118="",Entries!C118=""),"",AND(ISNUMBER(Entries!B118),Entries!B118&gt;=DATE(2026,1,1),Entries!B118&lt;=DATE(2026,12,31)))</f>
        <v/>
      </c>
      <c r="D118" s="6">
        <f>IF(AND(Entries!A118="",Entries!B118="",Entries!C118=""),"",IF(ISNUMBER(Entries!C118),AND(Entries!C118&gt;0,Entries!C118=INT(Entries!C118)),FALSE))</f>
        <v/>
      </c>
      <c r="E118" s="6">
        <f>IF(AND(Entries!A118="",Entries!B118="",Entries!C118=""),"",IF(AND(B118,C118,D118),"OK","Fix"))</f>
        <v/>
      </c>
    </row>
    <row r="119">
      <c r="A119" s="6">
        <f>IF(AND(Entries!A119="",Entries!B119="",Entries!C119=""),"",IF(Entries!A119="","(blank)",Entries!A119))</f>
        <v/>
      </c>
      <c r="B119" s="6">
        <f>IF(AND(Entries!A119="",Entries!B119="",Entries!C119=""),"",AND(Entries!A119&lt;&gt;"",COUNTIF(Entries!$A$2:$A$200,Entries!A119)=1))</f>
        <v/>
      </c>
      <c r="C119" s="6">
        <f>IF(AND(Entries!A119="",Entries!B119="",Entries!C119=""),"",AND(ISNUMBER(Entries!B119),Entries!B119&gt;=DATE(2026,1,1),Entries!B119&lt;=DATE(2026,12,31)))</f>
        <v/>
      </c>
      <c r="D119" s="6">
        <f>IF(AND(Entries!A119="",Entries!B119="",Entries!C119=""),"",IF(ISNUMBER(Entries!C119),AND(Entries!C119&gt;0,Entries!C119=INT(Entries!C119)),FALSE))</f>
        <v/>
      </c>
      <c r="E119" s="6">
        <f>IF(AND(Entries!A119="",Entries!B119="",Entries!C119=""),"",IF(AND(B119,C119,D119),"OK","Fix"))</f>
        <v/>
      </c>
    </row>
    <row r="120">
      <c r="A120" s="6">
        <f>IF(AND(Entries!A120="",Entries!B120="",Entries!C120=""),"",IF(Entries!A120="","(blank)",Entries!A120))</f>
        <v/>
      </c>
      <c r="B120" s="6">
        <f>IF(AND(Entries!A120="",Entries!B120="",Entries!C120=""),"",AND(Entries!A120&lt;&gt;"",COUNTIF(Entries!$A$2:$A$200,Entries!A120)=1))</f>
        <v/>
      </c>
      <c r="C120" s="6">
        <f>IF(AND(Entries!A120="",Entries!B120="",Entries!C120=""),"",AND(ISNUMBER(Entries!B120),Entries!B120&gt;=DATE(2026,1,1),Entries!B120&lt;=DATE(2026,12,31)))</f>
        <v/>
      </c>
      <c r="D120" s="6">
        <f>IF(AND(Entries!A120="",Entries!B120="",Entries!C120=""),"",IF(ISNUMBER(Entries!C120),AND(Entries!C120&gt;0,Entries!C120=INT(Entries!C120)),FALSE))</f>
        <v/>
      </c>
      <c r="E120" s="6">
        <f>IF(AND(Entries!A120="",Entries!B120="",Entries!C120=""),"",IF(AND(B120,C120,D120),"OK","Fix"))</f>
        <v/>
      </c>
    </row>
    <row r="121">
      <c r="A121" s="6">
        <f>IF(AND(Entries!A121="",Entries!B121="",Entries!C121=""),"",IF(Entries!A121="","(blank)",Entries!A121))</f>
        <v/>
      </c>
      <c r="B121" s="6">
        <f>IF(AND(Entries!A121="",Entries!B121="",Entries!C121=""),"",AND(Entries!A121&lt;&gt;"",COUNTIF(Entries!$A$2:$A$200,Entries!A121)=1))</f>
        <v/>
      </c>
      <c r="C121" s="6">
        <f>IF(AND(Entries!A121="",Entries!B121="",Entries!C121=""),"",AND(ISNUMBER(Entries!B121),Entries!B121&gt;=DATE(2026,1,1),Entries!B121&lt;=DATE(2026,12,31)))</f>
        <v/>
      </c>
      <c r="D121" s="6">
        <f>IF(AND(Entries!A121="",Entries!B121="",Entries!C121=""),"",IF(ISNUMBER(Entries!C121),AND(Entries!C121&gt;0,Entries!C121=INT(Entries!C121)),FALSE))</f>
        <v/>
      </c>
      <c r="E121" s="6">
        <f>IF(AND(Entries!A121="",Entries!B121="",Entries!C121=""),"",IF(AND(B121,C121,D121),"OK","Fix"))</f>
        <v/>
      </c>
    </row>
    <row r="122">
      <c r="A122" s="6">
        <f>IF(AND(Entries!A122="",Entries!B122="",Entries!C122=""),"",IF(Entries!A122="","(blank)",Entries!A122))</f>
        <v/>
      </c>
      <c r="B122" s="6">
        <f>IF(AND(Entries!A122="",Entries!B122="",Entries!C122=""),"",AND(Entries!A122&lt;&gt;"",COUNTIF(Entries!$A$2:$A$200,Entries!A122)=1))</f>
        <v/>
      </c>
      <c r="C122" s="6">
        <f>IF(AND(Entries!A122="",Entries!B122="",Entries!C122=""),"",AND(ISNUMBER(Entries!B122),Entries!B122&gt;=DATE(2026,1,1),Entries!B122&lt;=DATE(2026,12,31)))</f>
        <v/>
      </c>
      <c r="D122" s="6">
        <f>IF(AND(Entries!A122="",Entries!B122="",Entries!C122=""),"",IF(ISNUMBER(Entries!C122),AND(Entries!C122&gt;0,Entries!C122=INT(Entries!C122)),FALSE))</f>
        <v/>
      </c>
      <c r="E122" s="6">
        <f>IF(AND(Entries!A122="",Entries!B122="",Entries!C122=""),"",IF(AND(B122,C122,D122),"OK","Fix"))</f>
        <v/>
      </c>
    </row>
    <row r="123">
      <c r="A123" s="6">
        <f>IF(AND(Entries!A123="",Entries!B123="",Entries!C123=""),"",IF(Entries!A123="","(blank)",Entries!A123))</f>
        <v/>
      </c>
      <c r="B123" s="6">
        <f>IF(AND(Entries!A123="",Entries!B123="",Entries!C123=""),"",AND(Entries!A123&lt;&gt;"",COUNTIF(Entries!$A$2:$A$200,Entries!A123)=1))</f>
        <v/>
      </c>
      <c r="C123" s="6">
        <f>IF(AND(Entries!A123="",Entries!B123="",Entries!C123=""),"",AND(ISNUMBER(Entries!B123),Entries!B123&gt;=DATE(2026,1,1),Entries!B123&lt;=DATE(2026,12,31)))</f>
        <v/>
      </c>
      <c r="D123" s="6">
        <f>IF(AND(Entries!A123="",Entries!B123="",Entries!C123=""),"",IF(ISNUMBER(Entries!C123),AND(Entries!C123&gt;0,Entries!C123=INT(Entries!C123)),FALSE))</f>
        <v/>
      </c>
      <c r="E123" s="6">
        <f>IF(AND(Entries!A123="",Entries!B123="",Entries!C123=""),"",IF(AND(B123,C123,D123),"OK","Fix"))</f>
        <v/>
      </c>
    </row>
    <row r="124">
      <c r="A124" s="6">
        <f>IF(AND(Entries!A124="",Entries!B124="",Entries!C124=""),"",IF(Entries!A124="","(blank)",Entries!A124))</f>
        <v/>
      </c>
      <c r="B124" s="6">
        <f>IF(AND(Entries!A124="",Entries!B124="",Entries!C124=""),"",AND(Entries!A124&lt;&gt;"",COUNTIF(Entries!$A$2:$A$200,Entries!A124)=1))</f>
        <v/>
      </c>
      <c r="C124" s="6">
        <f>IF(AND(Entries!A124="",Entries!B124="",Entries!C124=""),"",AND(ISNUMBER(Entries!B124),Entries!B124&gt;=DATE(2026,1,1),Entries!B124&lt;=DATE(2026,12,31)))</f>
        <v/>
      </c>
      <c r="D124" s="6">
        <f>IF(AND(Entries!A124="",Entries!B124="",Entries!C124=""),"",IF(ISNUMBER(Entries!C124),AND(Entries!C124&gt;0,Entries!C124=INT(Entries!C124)),FALSE))</f>
        <v/>
      </c>
      <c r="E124" s="6">
        <f>IF(AND(Entries!A124="",Entries!B124="",Entries!C124=""),"",IF(AND(B124,C124,D124),"OK","Fix"))</f>
        <v/>
      </c>
    </row>
    <row r="125">
      <c r="A125" s="6">
        <f>IF(AND(Entries!A125="",Entries!B125="",Entries!C125=""),"",IF(Entries!A125="","(blank)",Entries!A125))</f>
        <v/>
      </c>
      <c r="B125" s="6">
        <f>IF(AND(Entries!A125="",Entries!B125="",Entries!C125=""),"",AND(Entries!A125&lt;&gt;"",COUNTIF(Entries!$A$2:$A$200,Entries!A125)=1))</f>
        <v/>
      </c>
      <c r="C125" s="6">
        <f>IF(AND(Entries!A125="",Entries!B125="",Entries!C125=""),"",AND(ISNUMBER(Entries!B125),Entries!B125&gt;=DATE(2026,1,1),Entries!B125&lt;=DATE(2026,12,31)))</f>
        <v/>
      </c>
      <c r="D125" s="6">
        <f>IF(AND(Entries!A125="",Entries!B125="",Entries!C125=""),"",IF(ISNUMBER(Entries!C125),AND(Entries!C125&gt;0,Entries!C125=INT(Entries!C125)),FALSE))</f>
        <v/>
      </c>
      <c r="E125" s="6">
        <f>IF(AND(Entries!A125="",Entries!B125="",Entries!C125=""),"",IF(AND(B125,C125,D125),"OK","Fix"))</f>
        <v/>
      </c>
    </row>
    <row r="126">
      <c r="A126" s="6">
        <f>IF(AND(Entries!A126="",Entries!B126="",Entries!C126=""),"",IF(Entries!A126="","(blank)",Entries!A126))</f>
        <v/>
      </c>
      <c r="B126" s="6">
        <f>IF(AND(Entries!A126="",Entries!B126="",Entries!C126=""),"",AND(Entries!A126&lt;&gt;"",COUNTIF(Entries!$A$2:$A$200,Entries!A126)=1))</f>
        <v/>
      </c>
      <c r="C126" s="6">
        <f>IF(AND(Entries!A126="",Entries!B126="",Entries!C126=""),"",AND(ISNUMBER(Entries!B126),Entries!B126&gt;=DATE(2026,1,1),Entries!B126&lt;=DATE(2026,12,31)))</f>
        <v/>
      </c>
      <c r="D126" s="6">
        <f>IF(AND(Entries!A126="",Entries!B126="",Entries!C126=""),"",IF(ISNUMBER(Entries!C126),AND(Entries!C126&gt;0,Entries!C126=INT(Entries!C126)),FALSE))</f>
        <v/>
      </c>
      <c r="E126" s="6">
        <f>IF(AND(Entries!A126="",Entries!B126="",Entries!C126=""),"",IF(AND(B126,C126,D126),"OK","Fix"))</f>
        <v/>
      </c>
    </row>
    <row r="127">
      <c r="A127" s="6">
        <f>IF(AND(Entries!A127="",Entries!B127="",Entries!C127=""),"",IF(Entries!A127="","(blank)",Entries!A127))</f>
        <v/>
      </c>
      <c r="B127" s="6">
        <f>IF(AND(Entries!A127="",Entries!B127="",Entries!C127=""),"",AND(Entries!A127&lt;&gt;"",COUNTIF(Entries!$A$2:$A$200,Entries!A127)=1))</f>
        <v/>
      </c>
      <c r="C127" s="6">
        <f>IF(AND(Entries!A127="",Entries!B127="",Entries!C127=""),"",AND(ISNUMBER(Entries!B127),Entries!B127&gt;=DATE(2026,1,1),Entries!B127&lt;=DATE(2026,12,31)))</f>
        <v/>
      </c>
      <c r="D127" s="6">
        <f>IF(AND(Entries!A127="",Entries!B127="",Entries!C127=""),"",IF(ISNUMBER(Entries!C127),AND(Entries!C127&gt;0,Entries!C127=INT(Entries!C127)),FALSE))</f>
        <v/>
      </c>
      <c r="E127" s="6">
        <f>IF(AND(Entries!A127="",Entries!B127="",Entries!C127=""),"",IF(AND(B127,C127,D127),"OK","Fix"))</f>
        <v/>
      </c>
    </row>
    <row r="128">
      <c r="A128" s="6">
        <f>IF(AND(Entries!A128="",Entries!B128="",Entries!C128=""),"",IF(Entries!A128="","(blank)",Entries!A128))</f>
        <v/>
      </c>
      <c r="B128" s="6">
        <f>IF(AND(Entries!A128="",Entries!B128="",Entries!C128=""),"",AND(Entries!A128&lt;&gt;"",COUNTIF(Entries!$A$2:$A$200,Entries!A128)=1))</f>
        <v/>
      </c>
      <c r="C128" s="6">
        <f>IF(AND(Entries!A128="",Entries!B128="",Entries!C128=""),"",AND(ISNUMBER(Entries!B128),Entries!B128&gt;=DATE(2026,1,1),Entries!B128&lt;=DATE(2026,12,31)))</f>
        <v/>
      </c>
      <c r="D128" s="6">
        <f>IF(AND(Entries!A128="",Entries!B128="",Entries!C128=""),"",IF(ISNUMBER(Entries!C128),AND(Entries!C128&gt;0,Entries!C128=INT(Entries!C128)),FALSE))</f>
        <v/>
      </c>
      <c r="E128" s="6">
        <f>IF(AND(Entries!A128="",Entries!B128="",Entries!C128=""),"",IF(AND(B128,C128,D128),"OK","Fix"))</f>
        <v/>
      </c>
    </row>
    <row r="129">
      <c r="A129" s="6">
        <f>IF(AND(Entries!A129="",Entries!B129="",Entries!C129=""),"",IF(Entries!A129="","(blank)",Entries!A129))</f>
        <v/>
      </c>
      <c r="B129" s="6">
        <f>IF(AND(Entries!A129="",Entries!B129="",Entries!C129=""),"",AND(Entries!A129&lt;&gt;"",COUNTIF(Entries!$A$2:$A$200,Entries!A129)=1))</f>
        <v/>
      </c>
      <c r="C129" s="6">
        <f>IF(AND(Entries!A129="",Entries!B129="",Entries!C129=""),"",AND(ISNUMBER(Entries!B129),Entries!B129&gt;=DATE(2026,1,1),Entries!B129&lt;=DATE(2026,12,31)))</f>
        <v/>
      </c>
      <c r="D129" s="6">
        <f>IF(AND(Entries!A129="",Entries!B129="",Entries!C129=""),"",IF(ISNUMBER(Entries!C129),AND(Entries!C129&gt;0,Entries!C129=INT(Entries!C129)),FALSE))</f>
        <v/>
      </c>
      <c r="E129" s="6">
        <f>IF(AND(Entries!A129="",Entries!B129="",Entries!C129=""),"",IF(AND(B129,C129,D129),"OK","Fix"))</f>
        <v/>
      </c>
    </row>
    <row r="130">
      <c r="A130" s="6">
        <f>IF(AND(Entries!A130="",Entries!B130="",Entries!C130=""),"",IF(Entries!A130="","(blank)",Entries!A130))</f>
        <v/>
      </c>
      <c r="B130" s="6">
        <f>IF(AND(Entries!A130="",Entries!B130="",Entries!C130=""),"",AND(Entries!A130&lt;&gt;"",COUNTIF(Entries!$A$2:$A$200,Entries!A130)=1))</f>
        <v/>
      </c>
      <c r="C130" s="6">
        <f>IF(AND(Entries!A130="",Entries!B130="",Entries!C130=""),"",AND(ISNUMBER(Entries!B130),Entries!B130&gt;=DATE(2026,1,1),Entries!B130&lt;=DATE(2026,12,31)))</f>
        <v/>
      </c>
      <c r="D130" s="6">
        <f>IF(AND(Entries!A130="",Entries!B130="",Entries!C130=""),"",IF(ISNUMBER(Entries!C130),AND(Entries!C130&gt;0,Entries!C130=INT(Entries!C130)),FALSE))</f>
        <v/>
      </c>
      <c r="E130" s="6">
        <f>IF(AND(Entries!A130="",Entries!B130="",Entries!C130=""),"",IF(AND(B130,C130,D130),"OK","Fix"))</f>
        <v/>
      </c>
    </row>
    <row r="131">
      <c r="A131" s="6">
        <f>IF(AND(Entries!A131="",Entries!B131="",Entries!C131=""),"",IF(Entries!A131="","(blank)",Entries!A131))</f>
        <v/>
      </c>
      <c r="B131" s="6">
        <f>IF(AND(Entries!A131="",Entries!B131="",Entries!C131=""),"",AND(Entries!A131&lt;&gt;"",COUNTIF(Entries!$A$2:$A$200,Entries!A131)=1))</f>
        <v/>
      </c>
      <c r="C131" s="6">
        <f>IF(AND(Entries!A131="",Entries!B131="",Entries!C131=""),"",AND(ISNUMBER(Entries!B131),Entries!B131&gt;=DATE(2026,1,1),Entries!B131&lt;=DATE(2026,12,31)))</f>
        <v/>
      </c>
      <c r="D131" s="6">
        <f>IF(AND(Entries!A131="",Entries!B131="",Entries!C131=""),"",IF(ISNUMBER(Entries!C131),AND(Entries!C131&gt;0,Entries!C131=INT(Entries!C131)),FALSE))</f>
        <v/>
      </c>
      <c r="E131" s="6">
        <f>IF(AND(Entries!A131="",Entries!B131="",Entries!C131=""),"",IF(AND(B131,C131,D131),"OK","Fix"))</f>
        <v/>
      </c>
    </row>
    <row r="132">
      <c r="A132" s="6">
        <f>IF(AND(Entries!A132="",Entries!B132="",Entries!C132=""),"",IF(Entries!A132="","(blank)",Entries!A132))</f>
        <v/>
      </c>
      <c r="B132" s="6">
        <f>IF(AND(Entries!A132="",Entries!B132="",Entries!C132=""),"",AND(Entries!A132&lt;&gt;"",COUNTIF(Entries!$A$2:$A$200,Entries!A132)=1))</f>
        <v/>
      </c>
      <c r="C132" s="6">
        <f>IF(AND(Entries!A132="",Entries!B132="",Entries!C132=""),"",AND(ISNUMBER(Entries!B132),Entries!B132&gt;=DATE(2026,1,1),Entries!B132&lt;=DATE(2026,12,31)))</f>
        <v/>
      </c>
      <c r="D132" s="6">
        <f>IF(AND(Entries!A132="",Entries!B132="",Entries!C132=""),"",IF(ISNUMBER(Entries!C132),AND(Entries!C132&gt;0,Entries!C132=INT(Entries!C132)),FALSE))</f>
        <v/>
      </c>
      <c r="E132" s="6">
        <f>IF(AND(Entries!A132="",Entries!B132="",Entries!C132=""),"",IF(AND(B132,C132,D132),"OK","Fix"))</f>
        <v/>
      </c>
    </row>
    <row r="133">
      <c r="A133" s="6">
        <f>IF(AND(Entries!A133="",Entries!B133="",Entries!C133=""),"",IF(Entries!A133="","(blank)",Entries!A133))</f>
        <v/>
      </c>
      <c r="B133" s="6">
        <f>IF(AND(Entries!A133="",Entries!B133="",Entries!C133=""),"",AND(Entries!A133&lt;&gt;"",COUNTIF(Entries!$A$2:$A$200,Entries!A133)=1))</f>
        <v/>
      </c>
      <c r="C133" s="6">
        <f>IF(AND(Entries!A133="",Entries!B133="",Entries!C133=""),"",AND(ISNUMBER(Entries!B133),Entries!B133&gt;=DATE(2026,1,1),Entries!B133&lt;=DATE(2026,12,31)))</f>
        <v/>
      </c>
      <c r="D133" s="6">
        <f>IF(AND(Entries!A133="",Entries!B133="",Entries!C133=""),"",IF(ISNUMBER(Entries!C133),AND(Entries!C133&gt;0,Entries!C133=INT(Entries!C133)),FALSE))</f>
        <v/>
      </c>
      <c r="E133" s="6">
        <f>IF(AND(Entries!A133="",Entries!B133="",Entries!C133=""),"",IF(AND(B133,C133,D133),"OK","Fix"))</f>
        <v/>
      </c>
    </row>
    <row r="134">
      <c r="A134" s="6">
        <f>IF(AND(Entries!A134="",Entries!B134="",Entries!C134=""),"",IF(Entries!A134="","(blank)",Entries!A134))</f>
        <v/>
      </c>
      <c r="B134" s="6">
        <f>IF(AND(Entries!A134="",Entries!B134="",Entries!C134=""),"",AND(Entries!A134&lt;&gt;"",COUNTIF(Entries!$A$2:$A$200,Entries!A134)=1))</f>
        <v/>
      </c>
      <c r="C134" s="6">
        <f>IF(AND(Entries!A134="",Entries!B134="",Entries!C134=""),"",AND(ISNUMBER(Entries!B134),Entries!B134&gt;=DATE(2026,1,1),Entries!B134&lt;=DATE(2026,12,31)))</f>
        <v/>
      </c>
      <c r="D134" s="6">
        <f>IF(AND(Entries!A134="",Entries!B134="",Entries!C134=""),"",IF(ISNUMBER(Entries!C134),AND(Entries!C134&gt;0,Entries!C134=INT(Entries!C134)),FALSE))</f>
        <v/>
      </c>
      <c r="E134" s="6">
        <f>IF(AND(Entries!A134="",Entries!B134="",Entries!C134=""),"",IF(AND(B134,C134,D134),"OK","Fix"))</f>
        <v/>
      </c>
    </row>
    <row r="135">
      <c r="A135" s="6">
        <f>IF(AND(Entries!A135="",Entries!B135="",Entries!C135=""),"",IF(Entries!A135="","(blank)",Entries!A135))</f>
        <v/>
      </c>
      <c r="B135" s="6">
        <f>IF(AND(Entries!A135="",Entries!B135="",Entries!C135=""),"",AND(Entries!A135&lt;&gt;"",COUNTIF(Entries!$A$2:$A$200,Entries!A135)=1))</f>
        <v/>
      </c>
      <c r="C135" s="6">
        <f>IF(AND(Entries!A135="",Entries!B135="",Entries!C135=""),"",AND(ISNUMBER(Entries!B135),Entries!B135&gt;=DATE(2026,1,1),Entries!B135&lt;=DATE(2026,12,31)))</f>
        <v/>
      </c>
      <c r="D135" s="6">
        <f>IF(AND(Entries!A135="",Entries!B135="",Entries!C135=""),"",IF(ISNUMBER(Entries!C135),AND(Entries!C135&gt;0,Entries!C135=INT(Entries!C135)),FALSE))</f>
        <v/>
      </c>
      <c r="E135" s="6">
        <f>IF(AND(Entries!A135="",Entries!B135="",Entries!C135=""),"",IF(AND(B135,C135,D135),"OK","Fix"))</f>
        <v/>
      </c>
    </row>
    <row r="136">
      <c r="A136" s="6">
        <f>IF(AND(Entries!A136="",Entries!B136="",Entries!C136=""),"",IF(Entries!A136="","(blank)",Entries!A136))</f>
        <v/>
      </c>
      <c r="B136" s="6">
        <f>IF(AND(Entries!A136="",Entries!B136="",Entries!C136=""),"",AND(Entries!A136&lt;&gt;"",COUNTIF(Entries!$A$2:$A$200,Entries!A136)=1))</f>
        <v/>
      </c>
      <c r="C136" s="6">
        <f>IF(AND(Entries!A136="",Entries!B136="",Entries!C136=""),"",AND(ISNUMBER(Entries!B136),Entries!B136&gt;=DATE(2026,1,1),Entries!B136&lt;=DATE(2026,12,31)))</f>
        <v/>
      </c>
      <c r="D136" s="6">
        <f>IF(AND(Entries!A136="",Entries!B136="",Entries!C136=""),"",IF(ISNUMBER(Entries!C136),AND(Entries!C136&gt;0,Entries!C136=INT(Entries!C136)),FALSE))</f>
        <v/>
      </c>
      <c r="E136" s="6">
        <f>IF(AND(Entries!A136="",Entries!B136="",Entries!C136=""),"",IF(AND(B136,C136,D136),"OK","Fix"))</f>
        <v/>
      </c>
    </row>
    <row r="137">
      <c r="A137" s="6">
        <f>IF(AND(Entries!A137="",Entries!B137="",Entries!C137=""),"",IF(Entries!A137="","(blank)",Entries!A137))</f>
        <v/>
      </c>
      <c r="B137" s="6">
        <f>IF(AND(Entries!A137="",Entries!B137="",Entries!C137=""),"",AND(Entries!A137&lt;&gt;"",COUNTIF(Entries!$A$2:$A$200,Entries!A137)=1))</f>
        <v/>
      </c>
      <c r="C137" s="6">
        <f>IF(AND(Entries!A137="",Entries!B137="",Entries!C137=""),"",AND(ISNUMBER(Entries!B137),Entries!B137&gt;=DATE(2026,1,1),Entries!B137&lt;=DATE(2026,12,31)))</f>
        <v/>
      </c>
      <c r="D137" s="6">
        <f>IF(AND(Entries!A137="",Entries!B137="",Entries!C137=""),"",IF(ISNUMBER(Entries!C137),AND(Entries!C137&gt;0,Entries!C137=INT(Entries!C137)),FALSE))</f>
        <v/>
      </c>
      <c r="E137" s="6">
        <f>IF(AND(Entries!A137="",Entries!B137="",Entries!C137=""),"",IF(AND(B137,C137,D137),"OK","Fix"))</f>
        <v/>
      </c>
    </row>
    <row r="138">
      <c r="A138" s="6">
        <f>IF(AND(Entries!A138="",Entries!B138="",Entries!C138=""),"",IF(Entries!A138="","(blank)",Entries!A138))</f>
        <v/>
      </c>
      <c r="B138" s="6">
        <f>IF(AND(Entries!A138="",Entries!B138="",Entries!C138=""),"",AND(Entries!A138&lt;&gt;"",COUNTIF(Entries!$A$2:$A$200,Entries!A138)=1))</f>
        <v/>
      </c>
      <c r="C138" s="6">
        <f>IF(AND(Entries!A138="",Entries!B138="",Entries!C138=""),"",AND(ISNUMBER(Entries!B138),Entries!B138&gt;=DATE(2026,1,1),Entries!B138&lt;=DATE(2026,12,31)))</f>
        <v/>
      </c>
      <c r="D138" s="6">
        <f>IF(AND(Entries!A138="",Entries!B138="",Entries!C138=""),"",IF(ISNUMBER(Entries!C138),AND(Entries!C138&gt;0,Entries!C138=INT(Entries!C138)),FALSE))</f>
        <v/>
      </c>
      <c r="E138" s="6">
        <f>IF(AND(Entries!A138="",Entries!B138="",Entries!C138=""),"",IF(AND(B138,C138,D138),"OK","Fix"))</f>
        <v/>
      </c>
    </row>
    <row r="139">
      <c r="A139" s="6">
        <f>IF(AND(Entries!A139="",Entries!B139="",Entries!C139=""),"",IF(Entries!A139="","(blank)",Entries!A139))</f>
        <v/>
      </c>
      <c r="B139" s="6">
        <f>IF(AND(Entries!A139="",Entries!B139="",Entries!C139=""),"",AND(Entries!A139&lt;&gt;"",COUNTIF(Entries!$A$2:$A$200,Entries!A139)=1))</f>
        <v/>
      </c>
      <c r="C139" s="6">
        <f>IF(AND(Entries!A139="",Entries!B139="",Entries!C139=""),"",AND(ISNUMBER(Entries!B139),Entries!B139&gt;=DATE(2026,1,1),Entries!B139&lt;=DATE(2026,12,31)))</f>
        <v/>
      </c>
      <c r="D139" s="6">
        <f>IF(AND(Entries!A139="",Entries!B139="",Entries!C139=""),"",IF(ISNUMBER(Entries!C139),AND(Entries!C139&gt;0,Entries!C139=INT(Entries!C139)),FALSE))</f>
        <v/>
      </c>
      <c r="E139" s="6">
        <f>IF(AND(Entries!A139="",Entries!B139="",Entries!C139=""),"",IF(AND(B139,C139,D139),"OK","Fix"))</f>
        <v/>
      </c>
    </row>
    <row r="140">
      <c r="A140" s="6">
        <f>IF(AND(Entries!A140="",Entries!B140="",Entries!C140=""),"",IF(Entries!A140="","(blank)",Entries!A140))</f>
        <v/>
      </c>
      <c r="B140" s="6">
        <f>IF(AND(Entries!A140="",Entries!B140="",Entries!C140=""),"",AND(Entries!A140&lt;&gt;"",COUNTIF(Entries!$A$2:$A$200,Entries!A140)=1))</f>
        <v/>
      </c>
      <c r="C140" s="6">
        <f>IF(AND(Entries!A140="",Entries!B140="",Entries!C140=""),"",AND(ISNUMBER(Entries!B140),Entries!B140&gt;=DATE(2026,1,1),Entries!B140&lt;=DATE(2026,12,31)))</f>
        <v/>
      </c>
      <c r="D140" s="6">
        <f>IF(AND(Entries!A140="",Entries!B140="",Entries!C140=""),"",IF(ISNUMBER(Entries!C140),AND(Entries!C140&gt;0,Entries!C140=INT(Entries!C140)),FALSE))</f>
        <v/>
      </c>
      <c r="E140" s="6">
        <f>IF(AND(Entries!A140="",Entries!B140="",Entries!C140=""),"",IF(AND(B140,C140,D140),"OK","Fix"))</f>
        <v/>
      </c>
    </row>
    <row r="141">
      <c r="A141" s="6">
        <f>IF(AND(Entries!A141="",Entries!B141="",Entries!C141=""),"",IF(Entries!A141="","(blank)",Entries!A141))</f>
        <v/>
      </c>
      <c r="B141" s="6">
        <f>IF(AND(Entries!A141="",Entries!B141="",Entries!C141=""),"",AND(Entries!A141&lt;&gt;"",COUNTIF(Entries!$A$2:$A$200,Entries!A141)=1))</f>
        <v/>
      </c>
      <c r="C141" s="6">
        <f>IF(AND(Entries!A141="",Entries!B141="",Entries!C141=""),"",AND(ISNUMBER(Entries!B141),Entries!B141&gt;=DATE(2026,1,1),Entries!B141&lt;=DATE(2026,12,31)))</f>
        <v/>
      </c>
      <c r="D141" s="6">
        <f>IF(AND(Entries!A141="",Entries!B141="",Entries!C141=""),"",IF(ISNUMBER(Entries!C141),AND(Entries!C141&gt;0,Entries!C141=INT(Entries!C141)),FALSE))</f>
        <v/>
      </c>
      <c r="E141" s="6">
        <f>IF(AND(Entries!A141="",Entries!B141="",Entries!C141=""),"",IF(AND(B141,C141,D141),"OK","Fix"))</f>
        <v/>
      </c>
    </row>
    <row r="142">
      <c r="A142" s="6">
        <f>IF(AND(Entries!A142="",Entries!B142="",Entries!C142=""),"",IF(Entries!A142="","(blank)",Entries!A142))</f>
        <v/>
      </c>
      <c r="B142" s="6">
        <f>IF(AND(Entries!A142="",Entries!B142="",Entries!C142=""),"",AND(Entries!A142&lt;&gt;"",COUNTIF(Entries!$A$2:$A$200,Entries!A142)=1))</f>
        <v/>
      </c>
      <c r="C142" s="6">
        <f>IF(AND(Entries!A142="",Entries!B142="",Entries!C142=""),"",AND(ISNUMBER(Entries!B142),Entries!B142&gt;=DATE(2026,1,1),Entries!B142&lt;=DATE(2026,12,31)))</f>
        <v/>
      </c>
      <c r="D142" s="6">
        <f>IF(AND(Entries!A142="",Entries!B142="",Entries!C142=""),"",IF(ISNUMBER(Entries!C142),AND(Entries!C142&gt;0,Entries!C142=INT(Entries!C142)),FALSE))</f>
        <v/>
      </c>
      <c r="E142" s="6">
        <f>IF(AND(Entries!A142="",Entries!B142="",Entries!C142=""),"",IF(AND(B142,C142,D142),"OK","Fix"))</f>
        <v/>
      </c>
    </row>
    <row r="143">
      <c r="A143" s="6">
        <f>IF(AND(Entries!A143="",Entries!B143="",Entries!C143=""),"",IF(Entries!A143="","(blank)",Entries!A143))</f>
        <v/>
      </c>
      <c r="B143" s="6">
        <f>IF(AND(Entries!A143="",Entries!B143="",Entries!C143=""),"",AND(Entries!A143&lt;&gt;"",COUNTIF(Entries!$A$2:$A$200,Entries!A143)=1))</f>
        <v/>
      </c>
      <c r="C143" s="6">
        <f>IF(AND(Entries!A143="",Entries!B143="",Entries!C143=""),"",AND(ISNUMBER(Entries!B143),Entries!B143&gt;=DATE(2026,1,1),Entries!B143&lt;=DATE(2026,12,31)))</f>
        <v/>
      </c>
      <c r="D143" s="6">
        <f>IF(AND(Entries!A143="",Entries!B143="",Entries!C143=""),"",IF(ISNUMBER(Entries!C143),AND(Entries!C143&gt;0,Entries!C143=INT(Entries!C143)),FALSE))</f>
        <v/>
      </c>
      <c r="E143" s="6">
        <f>IF(AND(Entries!A143="",Entries!B143="",Entries!C143=""),"",IF(AND(B143,C143,D143),"OK","Fix"))</f>
        <v/>
      </c>
    </row>
    <row r="144">
      <c r="A144" s="6">
        <f>IF(AND(Entries!A144="",Entries!B144="",Entries!C144=""),"",IF(Entries!A144="","(blank)",Entries!A144))</f>
        <v/>
      </c>
      <c r="B144" s="6">
        <f>IF(AND(Entries!A144="",Entries!B144="",Entries!C144=""),"",AND(Entries!A144&lt;&gt;"",COUNTIF(Entries!$A$2:$A$200,Entries!A144)=1))</f>
        <v/>
      </c>
      <c r="C144" s="6">
        <f>IF(AND(Entries!A144="",Entries!B144="",Entries!C144=""),"",AND(ISNUMBER(Entries!B144),Entries!B144&gt;=DATE(2026,1,1),Entries!B144&lt;=DATE(2026,12,31)))</f>
        <v/>
      </c>
      <c r="D144" s="6">
        <f>IF(AND(Entries!A144="",Entries!B144="",Entries!C144=""),"",IF(ISNUMBER(Entries!C144),AND(Entries!C144&gt;0,Entries!C144=INT(Entries!C144)),FALSE))</f>
        <v/>
      </c>
      <c r="E144" s="6">
        <f>IF(AND(Entries!A144="",Entries!B144="",Entries!C144=""),"",IF(AND(B144,C144,D144),"OK","Fix"))</f>
        <v/>
      </c>
    </row>
    <row r="145">
      <c r="A145" s="6">
        <f>IF(AND(Entries!A145="",Entries!B145="",Entries!C145=""),"",IF(Entries!A145="","(blank)",Entries!A145))</f>
        <v/>
      </c>
      <c r="B145" s="6">
        <f>IF(AND(Entries!A145="",Entries!B145="",Entries!C145=""),"",AND(Entries!A145&lt;&gt;"",COUNTIF(Entries!$A$2:$A$200,Entries!A145)=1))</f>
        <v/>
      </c>
      <c r="C145" s="6">
        <f>IF(AND(Entries!A145="",Entries!B145="",Entries!C145=""),"",AND(ISNUMBER(Entries!B145),Entries!B145&gt;=DATE(2026,1,1),Entries!B145&lt;=DATE(2026,12,31)))</f>
        <v/>
      </c>
      <c r="D145" s="6">
        <f>IF(AND(Entries!A145="",Entries!B145="",Entries!C145=""),"",IF(ISNUMBER(Entries!C145),AND(Entries!C145&gt;0,Entries!C145=INT(Entries!C145)),FALSE))</f>
        <v/>
      </c>
      <c r="E145" s="6">
        <f>IF(AND(Entries!A145="",Entries!B145="",Entries!C145=""),"",IF(AND(B145,C145,D145),"OK","Fix"))</f>
        <v/>
      </c>
    </row>
    <row r="146">
      <c r="A146" s="6">
        <f>IF(AND(Entries!A146="",Entries!B146="",Entries!C146=""),"",IF(Entries!A146="","(blank)",Entries!A146))</f>
        <v/>
      </c>
      <c r="B146" s="6">
        <f>IF(AND(Entries!A146="",Entries!B146="",Entries!C146=""),"",AND(Entries!A146&lt;&gt;"",COUNTIF(Entries!$A$2:$A$200,Entries!A146)=1))</f>
        <v/>
      </c>
      <c r="C146" s="6">
        <f>IF(AND(Entries!A146="",Entries!B146="",Entries!C146=""),"",AND(ISNUMBER(Entries!B146),Entries!B146&gt;=DATE(2026,1,1),Entries!B146&lt;=DATE(2026,12,31)))</f>
        <v/>
      </c>
      <c r="D146" s="6">
        <f>IF(AND(Entries!A146="",Entries!B146="",Entries!C146=""),"",IF(ISNUMBER(Entries!C146),AND(Entries!C146&gt;0,Entries!C146=INT(Entries!C146)),FALSE))</f>
        <v/>
      </c>
      <c r="E146" s="6">
        <f>IF(AND(Entries!A146="",Entries!B146="",Entries!C146=""),"",IF(AND(B146,C146,D146),"OK","Fix"))</f>
        <v/>
      </c>
    </row>
    <row r="147">
      <c r="A147" s="6">
        <f>IF(AND(Entries!A147="",Entries!B147="",Entries!C147=""),"",IF(Entries!A147="","(blank)",Entries!A147))</f>
        <v/>
      </c>
      <c r="B147" s="6">
        <f>IF(AND(Entries!A147="",Entries!B147="",Entries!C147=""),"",AND(Entries!A147&lt;&gt;"",COUNTIF(Entries!$A$2:$A$200,Entries!A147)=1))</f>
        <v/>
      </c>
      <c r="C147" s="6">
        <f>IF(AND(Entries!A147="",Entries!B147="",Entries!C147=""),"",AND(ISNUMBER(Entries!B147),Entries!B147&gt;=DATE(2026,1,1),Entries!B147&lt;=DATE(2026,12,31)))</f>
        <v/>
      </c>
      <c r="D147" s="6">
        <f>IF(AND(Entries!A147="",Entries!B147="",Entries!C147=""),"",IF(ISNUMBER(Entries!C147),AND(Entries!C147&gt;0,Entries!C147=INT(Entries!C147)),FALSE))</f>
        <v/>
      </c>
      <c r="E147" s="6">
        <f>IF(AND(Entries!A147="",Entries!B147="",Entries!C147=""),"",IF(AND(B147,C147,D147),"OK","Fix"))</f>
        <v/>
      </c>
    </row>
    <row r="148">
      <c r="A148" s="6">
        <f>IF(AND(Entries!A148="",Entries!B148="",Entries!C148=""),"",IF(Entries!A148="","(blank)",Entries!A148))</f>
        <v/>
      </c>
      <c r="B148" s="6">
        <f>IF(AND(Entries!A148="",Entries!B148="",Entries!C148=""),"",AND(Entries!A148&lt;&gt;"",COUNTIF(Entries!$A$2:$A$200,Entries!A148)=1))</f>
        <v/>
      </c>
      <c r="C148" s="6">
        <f>IF(AND(Entries!A148="",Entries!B148="",Entries!C148=""),"",AND(ISNUMBER(Entries!B148),Entries!B148&gt;=DATE(2026,1,1),Entries!B148&lt;=DATE(2026,12,31)))</f>
        <v/>
      </c>
      <c r="D148" s="6">
        <f>IF(AND(Entries!A148="",Entries!B148="",Entries!C148=""),"",IF(ISNUMBER(Entries!C148),AND(Entries!C148&gt;0,Entries!C148=INT(Entries!C148)),FALSE))</f>
        <v/>
      </c>
      <c r="E148" s="6">
        <f>IF(AND(Entries!A148="",Entries!B148="",Entries!C148=""),"",IF(AND(B148,C148,D148),"OK","Fix"))</f>
        <v/>
      </c>
    </row>
    <row r="149">
      <c r="A149" s="6">
        <f>IF(AND(Entries!A149="",Entries!B149="",Entries!C149=""),"",IF(Entries!A149="","(blank)",Entries!A149))</f>
        <v/>
      </c>
      <c r="B149" s="6">
        <f>IF(AND(Entries!A149="",Entries!B149="",Entries!C149=""),"",AND(Entries!A149&lt;&gt;"",COUNTIF(Entries!$A$2:$A$200,Entries!A149)=1))</f>
        <v/>
      </c>
      <c r="C149" s="6">
        <f>IF(AND(Entries!A149="",Entries!B149="",Entries!C149=""),"",AND(ISNUMBER(Entries!B149),Entries!B149&gt;=DATE(2026,1,1),Entries!B149&lt;=DATE(2026,12,31)))</f>
        <v/>
      </c>
      <c r="D149" s="6">
        <f>IF(AND(Entries!A149="",Entries!B149="",Entries!C149=""),"",IF(ISNUMBER(Entries!C149),AND(Entries!C149&gt;0,Entries!C149=INT(Entries!C149)),FALSE))</f>
        <v/>
      </c>
      <c r="E149" s="6">
        <f>IF(AND(Entries!A149="",Entries!B149="",Entries!C149=""),"",IF(AND(B149,C149,D149),"OK","Fix"))</f>
        <v/>
      </c>
    </row>
    <row r="150">
      <c r="A150" s="6">
        <f>IF(AND(Entries!A150="",Entries!B150="",Entries!C150=""),"",IF(Entries!A150="","(blank)",Entries!A150))</f>
        <v/>
      </c>
      <c r="B150" s="6">
        <f>IF(AND(Entries!A150="",Entries!B150="",Entries!C150=""),"",AND(Entries!A150&lt;&gt;"",COUNTIF(Entries!$A$2:$A$200,Entries!A150)=1))</f>
        <v/>
      </c>
      <c r="C150" s="6">
        <f>IF(AND(Entries!A150="",Entries!B150="",Entries!C150=""),"",AND(ISNUMBER(Entries!B150),Entries!B150&gt;=DATE(2026,1,1),Entries!B150&lt;=DATE(2026,12,31)))</f>
        <v/>
      </c>
      <c r="D150" s="6">
        <f>IF(AND(Entries!A150="",Entries!B150="",Entries!C150=""),"",IF(ISNUMBER(Entries!C150),AND(Entries!C150&gt;0,Entries!C150=INT(Entries!C150)),FALSE))</f>
        <v/>
      </c>
      <c r="E150" s="6">
        <f>IF(AND(Entries!A150="",Entries!B150="",Entries!C150=""),"",IF(AND(B150,C150,D150),"OK","Fix"))</f>
        <v/>
      </c>
    </row>
    <row r="151">
      <c r="A151" s="6">
        <f>IF(AND(Entries!A151="",Entries!B151="",Entries!C151=""),"",IF(Entries!A151="","(blank)",Entries!A151))</f>
        <v/>
      </c>
      <c r="B151" s="6">
        <f>IF(AND(Entries!A151="",Entries!B151="",Entries!C151=""),"",AND(Entries!A151&lt;&gt;"",COUNTIF(Entries!$A$2:$A$200,Entries!A151)=1))</f>
        <v/>
      </c>
      <c r="C151" s="6">
        <f>IF(AND(Entries!A151="",Entries!B151="",Entries!C151=""),"",AND(ISNUMBER(Entries!B151),Entries!B151&gt;=DATE(2026,1,1),Entries!B151&lt;=DATE(2026,12,31)))</f>
        <v/>
      </c>
      <c r="D151" s="6">
        <f>IF(AND(Entries!A151="",Entries!B151="",Entries!C151=""),"",IF(ISNUMBER(Entries!C151),AND(Entries!C151&gt;0,Entries!C151=INT(Entries!C151)),FALSE))</f>
        <v/>
      </c>
      <c r="E151" s="6">
        <f>IF(AND(Entries!A151="",Entries!B151="",Entries!C151=""),"",IF(AND(B151,C151,D151),"OK","Fix"))</f>
        <v/>
      </c>
    </row>
    <row r="152">
      <c r="A152" s="6">
        <f>IF(AND(Entries!A152="",Entries!B152="",Entries!C152=""),"",IF(Entries!A152="","(blank)",Entries!A152))</f>
        <v/>
      </c>
      <c r="B152" s="6">
        <f>IF(AND(Entries!A152="",Entries!B152="",Entries!C152=""),"",AND(Entries!A152&lt;&gt;"",COUNTIF(Entries!$A$2:$A$200,Entries!A152)=1))</f>
        <v/>
      </c>
      <c r="C152" s="6">
        <f>IF(AND(Entries!A152="",Entries!B152="",Entries!C152=""),"",AND(ISNUMBER(Entries!B152),Entries!B152&gt;=DATE(2026,1,1),Entries!B152&lt;=DATE(2026,12,31)))</f>
        <v/>
      </c>
      <c r="D152" s="6">
        <f>IF(AND(Entries!A152="",Entries!B152="",Entries!C152=""),"",IF(ISNUMBER(Entries!C152),AND(Entries!C152&gt;0,Entries!C152=INT(Entries!C152)),FALSE))</f>
        <v/>
      </c>
      <c r="E152" s="6">
        <f>IF(AND(Entries!A152="",Entries!B152="",Entries!C152=""),"",IF(AND(B152,C152,D152),"OK","Fix"))</f>
        <v/>
      </c>
    </row>
    <row r="153">
      <c r="A153" s="6">
        <f>IF(AND(Entries!A153="",Entries!B153="",Entries!C153=""),"",IF(Entries!A153="","(blank)",Entries!A153))</f>
        <v/>
      </c>
      <c r="B153" s="6">
        <f>IF(AND(Entries!A153="",Entries!B153="",Entries!C153=""),"",AND(Entries!A153&lt;&gt;"",COUNTIF(Entries!$A$2:$A$200,Entries!A153)=1))</f>
        <v/>
      </c>
      <c r="C153" s="6">
        <f>IF(AND(Entries!A153="",Entries!B153="",Entries!C153=""),"",AND(ISNUMBER(Entries!B153),Entries!B153&gt;=DATE(2026,1,1),Entries!B153&lt;=DATE(2026,12,31)))</f>
        <v/>
      </c>
      <c r="D153" s="6">
        <f>IF(AND(Entries!A153="",Entries!B153="",Entries!C153=""),"",IF(ISNUMBER(Entries!C153),AND(Entries!C153&gt;0,Entries!C153=INT(Entries!C153)),FALSE))</f>
        <v/>
      </c>
      <c r="E153" s="6">
        <f>IF(AND(Entries!A153="",Entries!B153="",Entries!C153=""),"",IF(AND(B153,C153,D153),"OK","Fix"))</f>
        <v/>
      </c>
    </row>
    <row r="154">
      <c r="A154" s="6">
        <f>IF(AND(Entries!A154="",Entries!B154="",Entries!C154=""),"",IF(Entries!A154="","(blank)",Entries!A154))</f>
        <v/>
      </c>
      <c r="B154" s="6">
        <f>IF(AND(Entries!A154="",Entries!B154="",Entries!C154=""),"",AND(Entries!A154&lt;&gt;"",COUNTIF(Entries!$A$2:$A$200,Entries!A154)=1))</f>
        <v/>
      </c>
      <c r="C154" s="6">
        <f>IF(AND(Entries!A154="",Entries!B154="",Entries!C154=""),"",AND(ISNUMBER(Entries!B154),Entries!B154&gt;=DATE(2026,1,1),Entries!B154&lt;=DATE(2026,12,31)))</f>
        <v/>
      </c>
      <c r="D154" s="6">
        <f>IF(AND(Entries!A154="",Entries!B154="",Entries!C154=""),"",IF(ISNUMBER(Entries!C154),AND(Entries!C154&gt;0,Entries!C154=INT(Entries!C154)),FALSE))</f>
        <v/>
      </c>
      <c r="E154" s="6">
        <f>IF(AND(Entries!A154="",Entries!B154="",Entries!C154=""),"",IF(AND(B154,C154,D154),"OK","Fix"))</f>
        <v/>
      </c>
    </row>
    <row r="155">
      <c r="A155" s="6">
        <f>IF(AND(Entries!A155="",Entries!B155="",Entries!C155=""),"",IF(Entries!A155="","(blank)",Entries!A155))</f>
        <v/>
      </c>
      <c r="B155" s="6">
        <f>IF(AND(Entries!A155="",Entries!B155="",Entries!C155=""),"",AND(Entries!A155&lt;&gt;"",COUNTIF(Entries!$A$2:$A$200,Entries!A155)=1))</f>
        <v/>
      </c>
      <c r="C155" s="6">
        <f>IF(AND(Entries!A155="",Entries!B155="",Entries!C155=""),"",AND(ISNUMBER(Entries!B155),Entries!B155&gt;=DATE(2026,1,1),Entries!B155&lt;=DATE(2026,12,31)))</f>
        <v/>
      </c>
      <c r="D155" s="6">
        <f>IF(AND(Entries!A155="",Entries!B155="",Entries!C155=""),"",IF(ISNUMBER(Entries!C155),AND(Entries!C155&gt;0,Entries!C155=INT(Entries!C155)),FALSE))</f>
        <v/>
      </c>
      <c r="E155" s="6">
        <f>IF(AND(Entries!A155="",Entries!B155="",Entries!C155=""),"",IF(AND(B155,C155,D155),"OK","Fix"))</f>
        <v/>
      </c>
    </row>
    <row r="156">
      <c r="A156" s="6">
        <f>IF(AND(Entries!A156="",Entries!B156="",Entries!C156=""),"",IF(Entries!A156="","(blank)",Entries!A156))</f>
        <v/>
      </c>
      <c r="B156" s="6">
        <f>IF(AND(Entries!A156="",Entries!B156="",Entries!C156=""),"",AND(Entries!A156&lt;&gt;"",COUNTIF(Entries!$A$2:$A$200,Entries!A156)=1))</f>
        <v/>
      </c>
      <c r="C156" s="6">
        <f>IF(AND(Entries!A156="",Entries!B156="",Entries!C156=""),"",AND(ISNUMBER(Entries!B156),Entries!B156&gt;=DATE(2026,1,1),Entries!B156&lt;=DATE(2026,12,31)))</f>
        <v/>
      </c>
      <c r="D156" s="6">
        <f>IF(AND(Entries!A156="",Entries!B156="",Entries!C156=""),"",IF(ISNUMBER(Entries!C156),AND(Entries!C156&gt;0,Entries!C156=INT(Entries!C156)),FALSE))</f>
        <v/>
      </c>
      <c r="E156" s="6">
        <f>IF(AND(Entries!A156="",Entries!B156="",Entries!C156=""),"",IF(AND(B156,C156,D156),"OK","Fix"))</f>
        <v/>
      </c>
    </row>
    <row r="157">
      <c r="A157" s="6">
        <f>IF(AND(Entries!A157="",Entries!B157="",Entries!C157=""),"",IF(Entries!A157="","(blank)",Entries!A157))</f>
        <v/>
      </c>
      <c r="B157" s="6">
        <f>IF(AND(Entries!A157="",Entries!B157="",Entries!C157=""),"",AND(Entries!A157&lt;&gt;"",COUNTIF(Entries!$A$2:$A$200,Entries!A157)=1))</f>
        <v/>
      </c>
      <c r="C157" s="6">
        <f>IF(AND(Entries!A157="",Entries!B157="",Entries!C157=""),"",AND(ISNUMBER(Entries!B157),Entries!B157&gt;=DATE(2026,1,1),Entries!B157&lt;=DATE(2026,12,31)))</f>
        <v/>
      </c>
      <c r="D157" s="6">
        <f>IF(AND(Entries!A157="",Entries!B157="",Entries!C157=""),"",IF(ISNUMBER(Entries!C157),AND(Entries!C157&gt;0,Entries!C157=INT(Entries!C157)),FALSE))</f>
        <v/>
      </c>
      <c r="E157" s="6">
        <f>IF(AND(Entries!A157="",Entries!B157="",Entries!C157=""),"",IF(AND(B157,C157,D157),"OK","Fix"))</f>
        <v/>
      </c>
    </row>
    <row r="158">
      <c r="A158" s="6">
        <f>IF(AND(Entries!A158="",Entries!B158="",Entries!C158=""),"",IF(Entries!A158="","(blank)",Entries!A158))</f>
        <v/>
      </c>
      <c r="B158" s="6">
        <f>IF(AND(Entries!A158="",Entries!B158="",Entries!C158=""),"",AND(Entries!A158&lt;&gt;"",COUNTIF(Entries!$A$2:$A$200,Entries!A158)=1))</f>
        <v/>
      </c>
      <c r="C158" s="6">
        <f>IF(AND(Entries!A158="",Entries!B158="",Entries!C158=""),"",AND(ISNUMBER(Entries!B158),Entries!B158&gt;=DATE(2026,1,1),Entries!B158&lt;=DATE(2026,12,31)))</f>
        <v/>
      </c>
      <c r="D158" s="6">
        <f>IF(AND(Entries!A158="",Entries!B158="",Entries!C158=""),"",IF(ISNUMBER(Entries!C158),AND(Entries!C158&gt;0,Entries!C158=INT(Entries!C158)),FALSE))</f>
        <v/>
      </c>
      <c r="E158" s="6">
        <f>IF(AND(Entries!A158="",Entries!B158="",Entries!C158=""),"",IF(AND(B158,C158,D158),"OK","Fix"))</f>
        <v/>
      </c>
    </row>
    <row r="159">
      <c r="A159" s="6">
        <f>IF(AND(Entries!A159="",Entries!B159="",Entries!C159=""),"",IF(Entries!A159="","(blank)",Entries!A159))</f>
        <v/>
      </c>
      <c r="B159" s="6">
        <f>IF(AND(Entries!A159="",Entries!B159="",Entries!C159=""),"",AND(Entries!A159&lt;&gt;"",COUNTIF(Entries!$A$2:$A$200,Entries!A159)=1))</f>
        <v/>
      </c>
      <c r="C159" s="6">
        <f>IF(AND(Entries!A159="",Entries!B159="",Entries!C159=""),"",AND(ISNUMBER(Entries!B159),Entries!B159&gt;=DATE(2026,1,1),Entries!B159&lt;=DATE(2026,12,31)))</f>
        <v/>
      </c>
      <c r="D159" s="6">
        <f>IF(AND(Entries!A159="",Entries!B159="",Entries!C159=""),"",IF(ISNUMBER(Entries!C159),AND(Entries!C159&gt;0,Entries!C159=INT(Entries!C159)),FALSE))</f>
        <v/>
      </c>
      <c r="E159" s="6">
        <f>IF(AND(Entries!A159="",Entries!B159="",Entries!C159=""),"",IF(AND(B159,C159,D159),"OK","Fix"))</f>
        <v/>
      </c>
    </row>
    <row r="160">
      <c r="A160" s="6">
        <f>IF(AND(Entries!A160="",Entries!B160="",Entries!C160=""),"",IF(Entries!A160="","(blank)",Entries!A160))</f>
        <v/>
      </c>
      <c r="B160" s="6">
        <f>IF(AND(Entries!A160="",Entries!B160="",Entries!C160=""),"",AND(Entries!A160&lt;&gt;"",COUNTIF(Entries!$A$2:$A$200,Entries!A160)=1))</f>
        <v/>
      </c>
      <c r="C160" s="6">
        <f>IF(AND(Entries!A160="",Entries!B160="",Entries!C160=""),"",AND(ISNUMBER(Entries!B160),Entries!B160&gt;=DATE(2026,1,1),Entries!B160&lt;=DATE(2026,12,31)))</f>
        <v/>
      </c>
      <c r="D160" s="6">
        <f>IF(AND(Entries!A160="",Entries!B160="",Entries!C160=""),"",IF(ISNUMBER(Entries!C160),AND(Entries!C160&gt;0,Entries!C160=INT(Entries!C160)),FALSE))</f>
        <v/>
      </c>
      <c r="E160" s="6">
        <f>IF(AND(Entries!A160="",Entries!B160="",Entries!C160=""),"",IF(AND(B160,C160,D160),"OK","Fix"))</f>
        <v/>
      </c>
    </row>
    <row r="161">
      <c r="A161" s="6">
        <f>IF(AND(Entries!A161="",Entries!B161="",Entries!C161=""),"",IF(Entries!A161="","(blank)",Entries!A161))</f>
        <v/>
      </c>
      <c r="B161" s="6">
        <f>IF(AND(Entries!A161="",Entries!B161="",Entries!C161=""),"",AND(Entries!A161&lt;&gt;"",COUNTIF(Entries!$A$2:$A$200,Entries!A161)=1))</f>
        <v/>
      </c>
      <c r="C161" s="6">
        <f>IF(AND(Entries!A161="",Entries!B161="",Entries!C161=""),"",AND(ISNUMBER(Entries!B161),Entries!B161&gt;=DATE(2026,1,1),Entries!B161&lt;=DATE(2026,12,31)))</f>
        <v/>
      </c>
      <c r="D161" s="6">
        <f>IF(AND(Entries!A161="",Entries!B161="",Entries!C161=""),"",IF(ISNUMBER(Entries!C161),AND(Entries!C161&gt;0,Entries!C161=INT(Entries!C161)),FALSE))</f>
        <v/>
      </c>
      <c r="E161" s="6">
        <f>IF(AND(Entries!A161="",Entries!B161="",Entries!C161=""),"",IF(AND(B161,C161,D161),"OK","Fix"))</f>
        <v/>
      </c>
    </row>
    <row r="162">
      <c r="A162" s="6">
        <f>IF(AND(Entries!A162="",Entries!B162="",Entries!C162=""),"",IF(Entries!A162="","(blank)",Entries!A162))</f>
        <v/>
      </c>
      <c r="B162" s="6">
        <f>IF(AND(Entries!A162="",Entries!B162="",Entries!C162=""),"",AND(Entries!A162&lt;&gt;"",COUNTIF(Entries!$A$2:$A$200,Entries!A162)=1))</f>
        <v/>
      </c>
      <c r="C162" s="6">
        <f>IF(AND(Entries!A162="",Entries!B162="",Entries!C162=""),"",AND(ISNUMBER(Entries!B162),Entries!B162&gt;=DATE(2026,1,1),Entries!B162&lt;=DATE(2026,12,31)))</f>
        <v/>
      </c>
      <c r="D162" s="6">
        <f>IF(AND(Entries!A162="",Entries!B162="",Entries!C162=""),"",IF(ISNUMBER(Entries!C162),AND(Entries!C162&gt;0,Entries!C162=INT(Entries!C162)),FALSE))</f>
        <v/>
      </c>
      <c r="E162" s="6">
        <f>IF(AND(Entries!A162="",Entries!B162="",Entries!C162=""),"",IF(AND(B162,C162,D162),"OK","Fix"))</f>
        <v/>
      </c>
    </row>
    <row r="163">
      <c r="A163" s="6">
        <f>IF(AND(Entries!A163="",Entries!B163="",Entries!C163=""),"",IF(Entries!A163="","(blank)",Entries!A163))</f>
        <v/>
      </c>
      <c r="B163" s="6">
        <f>IF(AND(Entries!A163="",Entries!B163="",Entries!C163=""),"",AND(Entries!A163&lt;&gt;"",COUNTIF(Entries!$A$2:$A$200,Entries!A163)=1))</f>
        <v/>
      </c>
      <c r="C163" s="6">
        <f>IF(AND(Entries!A163="",Entries!B163="",Entries!C163=""),"",AND(ISNUMBER(Entries!B163),Entries!B163&gt;=DATE(2026,1,1),Entries!B163&lt;=DATE(2026,12,31)))</f>
        <v/>
      </c>
      <c r="D163" s="6">
        <f>IF(AND(Entries!A163="",Entries!B163="",Entries!C163=""),"",IF(ISNUMBER(Entries!C163),AND(Entries!C163&gt;0,Entries!C163=INT(Entries!C163)),FALSE))</f>
        <v/>
      </c>
      <c r="E163" s="6">
        <f>IF(AND(Entries!A163="",Entries!B163="",Entries!C163=""),"",IF(AND(B163,C163,D163),"OK","Fix"))</f>
        <v/>
      </c>
    </row>
    <row r="164">
      <c r="A164" s="6">
        <f>IF(AND(Entries!A164="",Entries!B164="",Entries!C164=""),"",IF(Entries!A164="","(blank)",Entries!A164))</f>
        <v/>
      </c>
      <c r="B164" s="6">
        <f>IF(AND(Entries!A164="",Entries!B164="",Entries!C164=""),"",AND(Entries!A164&lt;&gt;"",COUNTIF(Entries!$A$2:$A$200,Entries!A164)=1))</f>
        <v/>
      </c>
      <c r="C164" s="6">
        <f>IF(AND(Entries!A164="",Entries!B164="",Entries!C164=""),"",AND(ISNUMBER(Entries!B164),Entries!B164&gt;=DATE(2026,1,1),Entries!B164&lt;=DATE(2026,12,31)))</f>
        <v/>
      </c>
      <c r="D164" s="6">
        <f>IF(AND(Entries!A164="",Entries!B164="",Entries!C164=""),"",IF(ISNUMBER(Entries!C164),AND(Entries!C164&gt;0,Entries!C164=INT(Entries!C164)),FALSE))</f>
        <v/>
      </c>
      <c r="E164" s="6">
        <f>IF(AND(Entries!A164="",Entries!B164="",Entries!C164=""),"",IF(AND(B164,C164,D164),"OK","Fix"))</f>
        <v/>
      </c>
    </row>
    <row r="165">
      <c r="A165" s="6">
        <f>IF(AND(Entries!A165="",Entries!B165="",Entries!C165=""),"",IF(Entries!A165="","(blank)",Entries!A165))</f>
        <v/>
      </c>
      <c r="B165" s="6">
        <f>IF(AND(Entries!A165="",Entries!B165="",Entries!C165=""),"",AND(Entries!A165&lt;&gt;"",COUNTIF(Entries!$A$2:$A$200,Entries!A165)=1))</f>
        <v/>
      </c>
      <c r="C165" s="6">
        <f>IF(AND(Entries!A165="",Entries!B165="",Entries!C165=""),"",AND(ISNUMBER(Entries!B165),Entries!B165&gt;=DATE(2026,1,1),Entries!B165&lt;=DATE(2026,12,31)))</f>
        <v/>
      </c>
      <c r="D165" s="6">
        <f>IF(AND(Entries!A165="",Entries!B165="",Entries!C165=""),"",IF(ISNUMBER(Entries!C165),AND(Entries!C165&gt;0,Entries!C165=INT(Entries!C165)),FALSE))</f>
        <v/>
      </c>
      <c r="E165" s="6">
        <f>IF(AND(Entries!A165="",Entries!B165="",Entries!C165=""),"",IF(AND(B165,C165,D165),"OK","Fix"))</f>
        <v/>
      </c>
    </row>
    <row r="166">
      <c r="A166" s="6">
        <f>IF(AND(Entries!A166="",Entries!B166="",Entries!C166=""),"",IF(Entries!A166="","(blank)",Entries!A166))</f>
        <v/>
      </c>
      <c r="B166" s="6">
        <f>IF(AND(Entries!A166="",Entries!B166="",Entries!C166=""),"",AND(Entries!A166&lt;&gt;"",COUNTIF(Entries!$A$2:$A$200,Entries!A166)=1))</f>
        <v/>
      </c>
      <c r="C166" s="6">
        <f>IF(AND(Entries!A166="",Entries!B166="",Entries!C166=""),"",AND(ISNUMBER(Entries!B166),Entries!B166&gt;=DATE(2026,1,1),Entries!B166&lt;=DATE(2026,12,31)))</f>
        <v/>
      </c>
      <c r="D166" s="6">
        <f>IF(AND(Entries!A166="",Entries!B166="",Entries!C166=""),"",IF(ISNUMBER(Entries!C166),AND(Entries!C166&gt;0,Entries!C166=INT(Entries!C166)),FALSE))</f>
        <v/>
      </c>
      <c r="E166" s="6">
        <f>IF(AND(Entries!A166="",Entries!B166="",Entries!C166=""),"",IF(AND(B166,C166,D166),"OK","Fix"))</f>
        <v/>
      </c>
    </row>
    <row r="167">
      <c r="A167" s="6">
        <f>IF(AND(Entries!A167="",Entries!B167="",Entries!C167=""),"",IF(Entries!A167="","(blank)",Entries!A167))</f>
        <v/>
      </c>
      <c r="B167" s="6">
        <f>IF(AND(Entries!A167="",Entries!B167="",Entries!C167=""),"",AND(Entries!A167&lt;&gt;"",COUNTIF(Entries!$A$2:$A$200,Entries!A167)=1))</f>
        <v/>
      </c>
      <c r="C167" s="6">
        <f>IF(AND(Entries!A167="",Entries!B167="",Entries!C167=""),"",AND(ISNUMBER(Entries!B167),Entries!B167&gt;=DATE(2026,1,1),Entries!B167&lt;=DATE(2026,12,31)))</f>
        <v/>
      </c>
      <c r="D167" s="6">
        <f>IF(AND(Entries!A167="",Entries!B167="",Entries!C167=""),"",IF(ISNUMBER(Entries!C167),AND(Entries!C167&gt;0,Entries!C167=INT(Entries!C167)),FALSE))</f>
        <v/>
      </c>
      <c r="E167" s="6">
        <f>IF(AND(Entries!A167="",Entries!B167="",Entries!C167=""),"",IF(AND(B167,C167,D167),"OK","Fix"))</f>
        <v/>
      </c>
    </row>
    <row r="168">
      <c r="A168" s="6">
        <f>IF(AND(Entries!A168="",Entries!B168="",Entries!C168=""),"",IF(Entries!A168="","(blank)",Entries!A168))</f>
        <v/>
      </c>
      <c r="B168" s="6">
        <f>IF(AND(Entries!A168="",Entries!B168="",Entries!C168=""),"",AND(Entries!A168&lt;&gt;"",COUNTIF(Entries!$A$2:$A$200,Entries!A168)=1))</f>
        <v/>
      </c>
      <c r="C168" s="6">
        <f>IF(AND(Entries!A168="",Entries!B168="",Entries!C168=""),"",AND(ISNUMBER(Entries!B168),Entries!B168&gt;=DATE(2026,1,1),Entries!B168&lt;=DATE(2026,12,31)))</f>
        <v/>
      </c>
      <c r="D168" s="6">
        <f>IF(AND(Entries!A168="",Entries!B168="",Entries!C168=""),"",IF(ISNUMBER(Entries!C168),AND(Entries!C168&gt;0,Entries!C168=INT(Entries!C168)),FALSE))</f>
        <v/>
      </c>
      <c r="E168" s="6">
        <f>IF(AND(Entries!A168="",Entries!B168="",Entries!C168=""),"",IF(AND(B168,C168,D168),"OK","Fix"))</f>
        <v/>
      </c>
    </row>
    <row r="169">
      <c r="A169" s="6">
        <f>IF(AND(Entries!A169="",Entries!B169="",Entries!C169=""),"",IF(Entries!A169="","(blank)",Entries!A169))</f>
        <v/>
      </c>
      <c r="B169" s="6">
        <f>IF(AND(Entries!A169="",Entries!B169="",Entries!C169=""),"",AND(Entries!A169&lt;&gt;"",COUNTIF(Entries!$A$2:$A$200,Entries!A169)=1))</f>
        <v/>
      </c>
      <c r="C169" s="6">
        <f>IF(AND(Entries!A169="",Entries!B169="",Entries!C169=""),"",AND(ISNUMBER(Entries!B169),Entries!B169&gt;=DATE(2026,1,1),Entries!B169&lt;=DATE(2026,12,31)))</f>
        <v/>
      </c>
      <c r="D169" s="6">
        <f>IF(AND(Entries!A169="",Entries!B169="",Entries!C169=""),"",IF(ISNUMBER(Entries!C169),AND(Entries!C169&gt;0,Entries!C169=INT(Entries!C169)),FALSE))</f>
        <v/>
      </c>
      <c r="E169" s="6">
        <f>IF(AND(Entries!A169="",Entries!B169="",Entries!C169=""),"",IF(AND(B169,C169,D169),"OK","Fix"))</f>
        <v/>
      </c>
    </row>
    <row r="170">
      <c r="A170" s="6">
        <f>IF(AND(Entries!A170="",Entries!B170="",Entries!C170=""),"",IF(Entries!A170="","(blank)",Entries!A170))</f>
        <v/>
      </c>
      <c r="B170" s="6">
        <f>IF(AND(Entries!A170="",Entries!B170="",Entries!C170=""),"",AND(Entries!A170&lt;&gt;"",COUNTIF(Entries!$A$2:$A$200,Entries!A170)=1))</f>
        <v/>
      </c>
      <c r="C170" s="6">
        <f>IF(AND(Entries!A170="",Entries!B170="",Entries!C170=""),"",AND(ISNUMBER(Entries!B170),Entries!B170&gt;=DATE(2026,1,1),Entries!B170&lt;=DATE(2026,12,31)))</f>
        <v/>
      </c>
      <c r="D170" s="6">
        <f>IF(AND(Entries!A170="",Entries!B170="",Entries!C170=""),"",IF(ISNUMBER(Entries!C170),AND(Entries!C170&gt;0,Entries!C170=INT(Entries!C170)),FALSE))</f>
        <v/>
      </c>
      <c r="E170" s="6">
        <f>IF(AND(Entries!A170="",Entries!B170="",Entries!C170=""),"",IF(AND(B170,C170,D170),"OK","Fix"))</f>
        <v/>
      </c>
    </row>
    <row r="171">
      <c r="A171" s="6">
        <f>IF(AND(Entries!A171="",Entries!B171="",Entries!C171=""),"",IF(Entries!A171="","(blank)",Entries!A171))</f>
        <v/>
      </c>
      <c r="B171" s="6">
        <f>IF(AND(Entries!A171="",Entries!B171="",Entries!C171=""),"",AND(Entries!A171&lt;&gt;"",COUNTIF(Entries!$A$2:$A$200,Entries!A171)=1))</f>
        <v/>
      </c>
      <c r="C171" s="6">
        <f>IF(AND(Entries!A171="",Entries!B171="",Entries!C171=""),"",AND(ISNUMBER(Entries!B171),Entries!B171&gt;=DATE(2026,1,1),Entries!B171&lt;=DATE(2026,12,31)))</f>
        <v/>
      </c>
      <c r="D171" s="6">
        <f>IF(AND(Entries!A171="",Entries!B171="",Entries!C171=""),"",IF(ISNUMBER(Entries!C171),AND(Entries!C171&gt;0,Entries!C171=INT(Entries!C171)),FALSE))</f>
        <v/>
      </c>
      <c r="E171" s="6">
        <f>IF(AND(Entries!A171="",Entries!B171="",Entries!C171=""),"",IF(AND(B171,C171,D171),"OK","Fix"))</f>
        <v/>
      </c>
    </row>
    <row r="172">
      <c r="A172" s="6">
        <f>IF(AND(Entries!A172="",Entries!B172="",Entries!C172=""),"",IF(Entries!A172="","(blank)",Entries!A172))</f>
        <v/>
      </c>
      <c r="B172" s="6">
        <f>IF(AND(Entries!A172="",Entries!B172="",Entries!C172=""),"",AND(Entries!A172&lt;&gt;"",COUNTIF(Entries!$A$2:$A$200,Entries!A172)=1))</f>
        <v/>
      </c>
      <c r="C172" s="6">
        <f>IF(AND(Entries!A172="",Entries!B172="",Entries!C172=""),"",AND(ISNUMBER(Entries!B172),Entries!B172&gt;=DATE(2026,1,1),Entries!B172&lt;=DATE(2026,12,31)))</f>
        <v/>
      </c>
      <c r="D172" s="6">
        <f>IF(AND(Entries!A172="",Entries!B172="",Entries!C172=""),"",IF(ISNUMBER(Entries!C172),AND(Entries!C172&gt;0,Entries!C172=INT(Entries!C172)),FALSE))</f>
        <v/>
      </c>
      <c r="E172" s="6">
        <f>IF(AND(Entries!A172="",Entries!B172="",Entries!C172=""),"",IF(AND(B172,C172,D172),"OK","Fix"))</f>
        <v/>
      </c>
    </row>
    <row r="173">
      <c r="A173" s="6">
        <f>IF(AND(Entries!A173="",Entries!B173="",Entries!C173=""),"",IF(Entries!A173="","(blank)",Entries!A173))</f>
        <v/>
      </c>
      <c r="B173" s="6">
        <f>IF(AND(Entries!A173="",Entries!B173="",Entries!C173=""),"",AND(Entries!A173&lt;&gt;"",COUNTIF(Entries!$A$2:$A$200,Entries!A173)=1))</f>
        <v/>
      </c>
      <c r="C173" s="6">
        <f>IF(AND(Entries!A173="",Entries!B173="",Entries!C173=""),"",AND(ISNUMBER(Entries!B173),Entries!B173&gt;=DATE(2026,1,1),Entries!B173&lt;=DATE(2026,12,31)))</f>
        <v/>
      </c>
      <c r="D173" s="6">
        <f>IF(AND(Entries!A173="",Entries!B173="",Entries!C173=""),"",IF(ISNUMBER(Entries!C173),AND(Entries!C173&gt;0,Entries!C173=INT(Entries!C173)),FALSE))</f>
        <v/>
      </c>
      <c r="E173" s="6">
        <f>IF(AND(Entries!A173="",Entries!B173="",Entries!C173=""),"",IF(AND(B173,C173,D173),"OK","Fix"))</f>
        <v/>
      </c>
    </row>
    <row r="174">
      <c r="A174" s="6">
        <f>IF(AND(Entries!A174="",Entries!B174="",Entries!C174=""),"",IF(Entries!A174="","(blank)",Entries!A174))</f>
        <v/>
      </c>
      <c r="B174" s="6">
        <f>IF(AND(Entries!A174="",Entries!B174="",Entries!C174=""),"",AND(Entries!A174&lt;&gt;"",COUNTIF(Entries!$A$2:$A$200,Entries!A174)=1))</f>
        <v/>
      </c>
      <c r="C174" s="6">
        <f>IF(AND(Entries!A174="",Entries!B174="",Entries!C174=""),"",AND(ISNUMBER(Entries!B174),Entries!B174&gt;=DATE(2026,1,1),Entries!B174&lt;=DATE(2026,12,31)))</f>
        <v/>
      </c>
      <c r="D174" s="6">
        <f>IF(AND(Entries!A174="",Entries!B174="",Entries!C174=""),"",IF(ISNUMBER(Entries!C174),AND(Entries!C174&gt;0,Entries!C174=INT(Entries!C174)),FALSE))</f>
        <v/>
      </c>
      <c r="E174" s="6">
        <f>IF(AND(Entries!A174="",Entries!B174="",Entries!C174=""),"",IF(AND(B174,C174,D174),"OK","Fix"))</f>
        <v/>
      </c>
    </row>
    <row r="175">
      <c r="A175" s="6">
        <f>IF(AND(Entries!A175="",Entries!B175="",Entries!C175=""),"",IF(Entries!A175="","(blank)",Entries!A175))</f>
        <v/>
      </c>
      <c r="B175" s="6">
        <f>IF(AND(Entries!A175="",Entries!B175="",Entries!C175=""),"",AND(Entries!A175&lt;&gt;"",COUNTIF(Entries!$A$2:$A$200,Entries!A175)=1))</f>
        <v/>
      </c>
      <c r="C175" s="6">
        <f>IF(AND(Entries!A175="",Entries!B175="",Entries!C175=""),"",AND(ISNUMBER(Entries!B175),Entries!B175&gt;=DATE(2026,1,1),Entries!B175&lt;=DATE(2026,12,31)))</f>
        <v/>
      </c>
      <c r="D175" s="6">
        <f>IF(AND(Entries!A175="",Entries!B175="",Entries!C175=""),"",IF(ISNUMBER(Entries!C175),AND(Entries!C175&gt;0,Entries!C175=INT(Entries!C175)),FALSE))</f>
        <v/>
      </c>
      <c r="E175" s="6">
        <f>IF(AND(Entries!A175="",Entries!B175="",Entries!C175=""),"",IF(AND(B175,C175,D175),"OK","Fix"))</f>
        <v/>
      </c>
    </row>
    <row r="176">
      <c r="A176" s="6">
        <f>IF(AND(Entries!A176="",Entries!B176="",Entries!C176=""),"",IF(Entries!A176="","(blank)",Entries!A176))</f>
        <v/>
      </c>
      <c r="B176" s="6">
        <f>IF(AND(Entries!A176="",Entries!B176="",Entries!C176=""),"",AND(Entries!A176&lt;&gt;"",COUNTIF(Entries!$A$2:$A$200,Entries!A176)=1))</f>
        <v/>
      </c>
      <c r="C176" s="6">
        <f>IF(AND(Entries!A176="",Entries!B176="",Entries!C176=""),"",AND(ISNUMBER(Entries!B176),Entries!B176&gt;=DATE(2026,1,1),Entries!B176&lt;=DATE(2026,12,31)))</f>
        <v/>
      </c>
      <c r="D176" s="6">
        <f>IF(AND(Entries!A176="",Entries!B176="",Entries!C176=""),"",IF(ISNUMBER(Entries!C176),AND(Entries!C176&gt;0,Entries!C176=INT(Entries!C176)),FALSE))</f>
        <v/>
      </c>
      <c r="E176" s="6">
        <f>IF(AND(Entries!A176="",Entries!B176="",Entries!C176=""),"",IF(AND(B176,C176,D176),"OK","Fix"))</f>
        <v/>
      </c>
    </row>
    <row r="177">
      <c r="A177" s="6">
        <f>IF(AND(Entries!A177="",Entries!B177="",Entries!C177=""),"",IF(Entries!A177="","(blank)",Entries!A177))</f>
        <v/>
      </c>
      <c r="B177" s="6">
        <f>IF(AND(Entries!A177="",Entries!B177="",Entries!C177=""),"",AND(Entries!A177&lt;&gt;"",COUNTIF(Entries!$A$2:$A$200,Entries!A177)=1))</f>
        <v/>
      </c>
      <c r="C177" s="6">
        <f>IF(AND(Entries!A177="",Entries!B177="",Entries!C177=""),"",AND(ISNUMBER(Entries!B177),Entries!B177&gt;=DATE(2026,1,1),Entries!B177&lt;=DATE(2026,12,31)))</f>
        <v/>
      </c>
      <c r="D177" s="6">
        <f>IF(AND(Entries!A177="",Entries!B177="",Entries!C177=""),"",IF(ISNUMBER(Entries!C177),AND(Entries!C177&gt;0,Entries!C177=INT(Entries!C177)),FALSE))</f>
        <v/>
      </c>
      <c r="E177" s="6">
        <f>IF(AND(Entries!A177="",Entries!B177="",Entries!C177=""),"",IF(AND(B177,C177,D177),"OK","Fix"))</f>
        <v/>
      </c>
    </row>
    <row r="178">
      <c r="A178" s="6">
        <f>IF(AND(Entries!A178="",Entries!B178="",Entries!C178=""),"",IF(Entries!A178="","(blank)",Entries!A178))</f>
        <v/>
      </c>
      <c r="B178" s="6">
        <f>IF(AND(Entries!A178="",Entries!B178="",Entries!C178=""),"",AND(Entries!A178&lt;&gt;"",COUNTIF(Entries!$A$2:$A$200,Entries!A178)=1))</f>
        <v/>
      </c>
      <c r="C178" s="6">
        <f>IF(AND(Entries!A178="",Entries!B178="",Entries!C178=""),"",AND(ISNUMBER(Entries!B178),Entries!B178&gt;=DATE(2026,1,1),Entries!B178&lt;=DATE(2026,12,31)))</f>
        <v/>
      </c>
      <c r="D178" s="6">
        <f>IF(AND(Entries!A178="",Entries!B178="",Entries!C178=""),"",IF(ISNUMBER(Entries!C178),AND(Entries!C178&gt;0,Entries!C178=INT(Entries!C178)),FALSE))</f>
        <v/>
      </c>
      <c r="E178" s="6">
        <f>IF(AND(Entries!A178="",Entries!B178="",Entries!C178=""),"",IF(AND(B178,C178,D178),"OK","Fix"))</f>
        <v/>
      </c>
    </row>
    <row r="179">
      <c r="A179" s="6">
        <f>IF(AND(Entries!A179="",Entries!B179="",Entries!C179=""),"",IF(Entries!A179="","(blank)",Entries!A179))</f>
        <v/>
      </c>
      <c r="B179" s="6">
        <f>IF(AND(Entries!A179="",Entries!B179="",Entries!C179=""),"",AND(Entries!A179&lt;&gt;"",COUNTIF(Entries!$A$2:$A$200,Entries!A179)=1))</f>
        <v/>
      </c>
      <c r="C179" s="6">
        <f>IF(AND(Entries!A179="",Entries!B179="",Entries!C179=""),"",AND(ISNUMBER(Entries!B179),Entries!B179&gt;=DATE(2026,1,1),Entries!B179&lt;=DATE(2026,12,31)))</f>
        <v/>
      </c>
      <c r="D179" s="6">
        <f>IF(AND(Entries!A179="",Entries!B179="",Entries!C179=""),"",IF(ISNUMBER(Entries!C179),AND(Entries!C179&gt;0,Entries!C179=INT(Entries!C179)),FALSE))</f>
        <v/>
      </c>
      <c r="E179" s="6">
        <f>IF(AND(Entries!A179="",Entries!B179="",Entries!C179=""),"",IF(AND(B179,C179,D179),"OK","Fix"))</f>
        <v/>
      </c>
    </row>
    <row r="180">
      <c r="A180" s="6">
        <f>IF(AND(Entries!A180="",Entries!B180="",Entries!C180=""),"",IF(Entries!A180="","(blank)",Entries!A180))</f>
        <v/>
      </c>
      <c r="B180" s="6">
        <f>IF(AND(Entries!A180="",Entries!B180="",Entries!C180=""),"",AND(Entries!A180&lt;&gt;"",COUNTIF(Entries!$A$2:$A$200,Entries!A180)=1))</f>
        <v/>
      </c>
      <c r="C180" s="6">
        <f>IF(AND(Entries!A180="",Entries!B180="",Entries!C180=""),"",AND(ISNUMBER(Entries!B180),Entries!B180&gt;=DATE(2026,1,1),Entries!B180&lt;=DATE(2026,12,31)))</f>
        <v/>
      </c>
      <c r="D180" s="6">
        <f>IF(AND(Entries!A180="",Entries!B180="",Entries!C180=""),"",IF(ISNUMBER(Entries!C180),AND(Entries!C180&gt;0,Entries!C180=INT(Entries!C180)),FALSE))</f>
        <v/>
      </c>
      <c r="E180" s="6">
        <f>IF(AND(Entries!A180="",Entries!B180="",Entries!C180=""),"",IF(AND(B180,C180,D180),"OK","Fix"))</f>
        <v/>
      </c>
    </row>
    <row r="181">
      <c r="A181" s="6">
        <f>IF(AND(Entries!A181="",Entries!B181="",Entries!C181=""),"",IF(Entries!A181="","(blank)",Entries!A181))</f>
        <v/>
      </c>
      <c r="B181" s="6">
        <f>IF(AND(Entries!A181="",Entries!B181="",Entries!C181=""),"",AND(Entries!A181&lt;&gt;"",COUNTIF(Entries!$A$2:$A$200,Entries!A181)=1))</f>
        <v/>
      </c>
      <c r="C181" s="6">
        <f>IF(AND(Entries!A181="",Entries!B181="",Entries!C181=""),"",AND(ISNUMBER(Entries!B181),Entries!B181&gt;=DATE(2026,1,1),Entries!B181&lt;=DATE(2026,12,31)))</f>
        <v/>
      </c>
      <c r="D181" s="6">
        <f>IF(AND(Entries!A181="",Entries!B181="",Entries!C181=""),"",IF(ISNUMBER(Entries!C181),AND(Entries!C181&gt;0,Entries!C181=INT(Entries!C181)),FALSE))</f>
        <v/>
      </c>
      <c r="E181" s="6">
        <f>IF(AND(Entries!A181="",Entries!B181="",Entries!C181=""),"",IF(AND(B181,C181,D181),"OK","Fix"))</f>
        <v/>
      </c>
    </row>
    <row r="182">
      <c r="A182" s="6">
        <f>IF(AND(Entries!A182="",Entries!B182="",Entries!C182=""),"",IF(Entries!A182="","(blank)",Entries!A182))</f>
        <v/>
      </c>
      <c r="B182" s="6">
        <f>IF(AND(Entries!A182="",Entries!B182="",Entries!C182=""),"",AND(Entries!A182&lt;&gt;"",COUNTIF(Entries!$A$2:$A$200,Entries!A182)=1))</f>
        <v/>
      </c>
      <c r="C182" s="6">
        <f>IF(AND(Entries!A182="",Entries!B182="",Entries!C182=""),"",AND(ISNUMBER(Entries!B182),Entries!B182&gt;=DATE(2026,1,1),Entries!B182&lt;=DATE(2026,12,31)))</f>
        <v/>
      </c>
      <c r="D182" s="6">
        <f>IF(AND(Entries!A182="",Entries!B182="",Entries!C182=""),"",IF(ISNUMBER(Entries!C182),AND(Entries!C182&gt;0,Entries!C182=INT(Entries!C182)),FALSE))</f>
        <v/>
      </c>
      <c r="E182" s="6">
        <f>IF(AND(Entries!A182="",Entries!B182="",Entries!C182=""),"",IF(AND(B182,C182,D182),"OK","Fix"))</f>
        <v/>
      </c>
    </row>
    <row r="183">
      <c r="A183" s="6">
        <f>IF(AND(Entries!A183="",Entries!B183="",Entries!C183=""),"",IF(Entries!A183="","(blank)",Entries!A183))</f>
        <v/>
      </c>
      <c r="B183" s="6">
        <f>IF(AND(Entries!A183="",Entries!B183="",Entries!C183=""),"",AND(Entries!A183&lt;&gt;"",COUNTIF(Entries!$A$2:$A$200,Entries!A183)=1))</f>
        <v/>
      </c>
      <c r="C183" s="6">
        <f>IF(AND(Entries!A183="",Entries!B183="",Entries!C183=""),"",AND(ISNUMBER(Entries!B183),Entries!B183&gt;=DATE(2026,1,1),Entries!B183&lt;=DATE(2026,12,31)))</f>
        <v/>
      </c>
      <c r="D183" s="6">
        <f>IF(AND(Entries!A183="",Entries!B183="",Entries!C183=""),"",IF(ISNUMBER(Entries!C183),AND(Entries!C183&gt;0,Entries!C183=INT(Entries!C183)),FALSE))</f>
        <v/>
      </c>
      <c r="E183" s="6">
        <f>IF(AND(Entries!A183="",Entries!B183="",Entries!C183=""),"",IF(AND(B183,C183,D183),"OK","Fix"))</f>
        <v/>
      </c>
    </row>
    <row r="184">
      <c r="A184" s="6">
        <f>IF(AND(Entries!A184="",Entries!B184="",Entries!C184=""),"",IF(Entries!A184="","(blank)",Entries!A184))</f>
        <v/>
      </c>
      <c r="B184" s="6">
        <f>IF(AND(Entries!A184="",Entries!B184="",Entries!C184=""),"",AND(Entries!A184&lt;&gt;"",COUNTIF(Entries!$A$2:$A$200,Entries!A184)=1))</f>
        <v/>
      </c>
      <c r="C184" s="6">
        <f>IF(AND(Entries!A184="",Entries!B184="",Entries!C184=""),"",AND(ISNUMBER(Entries!B184),Entries!B184&gt;=DATE(2026,1,1),Entries!B184&lt;=DATE(2026,12,31)))</f>
        <v/>
      </c>
      <c r="D184" s="6">
        <f>IF(AND(Entries!A184="",Entries!B184="",Entries!C184=""),"",IF(ISNUMBER(Entries!C184),AND(Entries!C184&gt;0,Entries!C184=INT(Entries!C184)),FALSE))</f>
        <v/>
      </c>
      <c r="E184" s="6">
        <f>IF(AND(Entries!A184="",Entries!B184="",Entries!C184=""),"",IF(AND(B184,C184,D184),"OK","Fix"))</f>
        <v/>
      </c>
    </row>
    <row r="185">
      <c r="A185" s="6">
        <f>IF(AND(Entries!A185="",Entries!B185="",Entries!C185=""),"",IF(Entries!A185="","(blank)",Entries!A185))</f>
        <v/>
      </c>
      <c r="B185" s="6">
        <f>IF(AND(Entries!A185="",Entries!B185="",Entries!C185=""),"",AND(Entries!A185&lt;&gt;"",COUNTIF(Entries!$A$2:$A$200,Entries!A185)=1))</f>
        <v/>
      </c>
      <c r="C185" s="6">
        <f>IF(AND(Entries!A185="",Entries!B185="",Entries!C185=""),"",AND(ISNUMBER(Entries!B185),Entries!B185&gt;=DATE(2026,1,1),Entries!B185&lt;=DATE(2026,12,31)))</f>
        <v/>
      </c>
      <c r="D185" s="6">
        <f>IF(AND(Entries!A185="",Entries!B185="",Entries!C185=""),"",IF(ISNUMBER(Entries!C185),AND(Entries!C185&gt;0,Entries!C185=INT(Entries!C185)),FALSE))</f>
        <v/>
      </c>
      <c r="E185" s="6">
        <f>IF(AND(Entries!A185="",Entries!B185="",Entries!C185=""),"",IF(AND(B185,C185,D185),"OK","Fix"))</f>
        <v/>
      </c>
    </row>
    <row r="186">
      <c r="A186" s="6">
        <f>IF(AND(Entries!A186="",Entries!B186="",Entries!C186=""),"",IF(Entries!A186="","(blank)",Entries!A186))</f>
        <v/>
      </c>
      <c r="B186" s="6">
        <f>IF(AND(Entries!A186="",Entries!B186="",Entries!C186=""),"",AND(Entries!A186&lt;&gt;"",COUNTIF(Entries!$A$2:$A$200,Entries!A186)=1))</f>
        <v/>
      </c>
      <c r="C186" s="6">
        <f>IF(AND(Entries!A186="",Entries!B186="",Entries!C186=""),"",AND(ISNUMBER(Entries!B186),Entries!B186&gt;=DATE(2026,1,1),Entries!B186&lt;=DATE(2026,12,31)))</f>
        <v/>
      </c>
      <c r="D186" s="6">
        <f>IF(AND(Entries!A186="",Entries!B186="",Entries!C186=""),"",IF(ISNUMBER(Entries!C186),AND(Entries!C186&gt;0,Entries!C186=INT(Entries!C186)),FALSE))</f>
        <v/>
      </c>
      <c r="E186" s="6">
        <f>IF(AND(Entries!A186="",Entries!B186="",Entries!C186=""),"",IF(AND(B186,C186,D186),"OK","Fix"))</f>
        <v/>
      </c>
    </row>
    <row r="187">
      <c r="A187" s="6">
        <f>IF(AND(Entries!A187="",Entries!B187="",Entries!C187=""),"",IF(Entries!A187="","(blank)",Entries!A187))</f>
        <v/>
      </c>
      <c r="B187" s="6">
        <f>IF(AND(Entries!A187="",Entries!B187="",Entries!C187=""),"",AND(Entries!A187&lt;&gt;"",COUNTIF(Entries!$A$2:$A$200,Entries!A187)=1))</f>
        <v/>
      </c>
      <c r="C187" s="6">
        <f>IF(AND(Entries!A187="",Entries!B187="",Entries!C187=""),"",AND(ISNUMBER(Entries!B187),Entries!B187&gt;=DATE(2026,1,1),Entries!B187&lt;=DATE(2026,12,31)))</f>
        <v/>
      </c>
      <c r="D187" s="6">
        <f>IF(AND(Entries!A187="",Entries!B187="",Entries!C187=""),"",IF(ISNUMBER(Entries!C187),AND(Entries!C187&gt;0,Entries!C187=INT(Entries!C187)),FALSE))</f>
        <v/>
      </c>
      <c r="E187" s="6">
        <f>IF(AND(Entries!A187="",Entries!B187="",Entries!C187=""),"",IF(AND(B187,C187,D187),"OK","Fix"))</f>
        <v/>
      </c>
    </row>
    <row r="188">
      <c r="A188" s="6">
        <f>IF(AND(Entries!A188="",Entries!B188="",Entries!C188=""),"",IF(Entries!A188="","(blank)",Entries!A188))</f>
        <v/>
      </c>
      <c r="B188" s="6">
        <f>IF(AND(Entries!A188="",Entries!B188="",Entries!C188=""),"",AND(Entries!A188&lt;&gt;"",COUNTIF(Entries!$A$2:$A$200,Entries!A188)=1))</f>
        <v/>
      </c>
      <c r="C188" s="6">
        <f>IF(AND(Entries!A188="",Entries!B188="",Entries!C188=""),"",AND(ISNUMBER(Entries!B188),Entries!B188&gt;=DATE(2026,1,1),Entries!B188&lt;=DATE(2026,12,31)))</f>
        <v/>
      </c>
      <c r="D188" s="6">
        <f>IF(AND(Entries!A188="",Entries!B188="",Entries!C188=""),"",IF(ISNUMBER(Entries!C188),AND(Entries!C188&gt;0,Entries!C188=INT(Entries!C188)),FALSE))</f>
        <v/>
      </c>
      <c r="E188" s="6">
        <f>IF(AND(Entries!A188="",Entries!B188="",Entries!C188=""),"",IF(AND(B188,C188,D188),"OK","Fix"))</f>
        <v/>
      </c>
    </row>
    <row r="189">
      <c r="A189" s="6">
        <f>IF(AND(Entries!A189="",Entries!B189="",Entries!C189=""),"",IF(Entries!A189="","(blank)",Entries!A189))</f>
        <v/>
      </c>
      <c r="B189" s="6">
        <f>IF(AND(Entries!A189="",Entries!B189="",Entries!C189=""),"",AND(Entries!A189&lt;&gt;"",COUNTIF(Entries!$A$2:$A$200,Entries!A189)=1))</f>
        <v/>
      </c>
      <c r="C189" s="6">
        <f>IF(AND(Entries!A189="",Entries!B189="",Entries!C189=""),"",AND(ISNUMBER(Entries!B189),Entries!B189&gt;=DATE(2026,1,1),Entries!B189&lt;=DATE(2026,12,31)))</f>
        <v/>
      </c>
      <c r="D189" s="6">
        <f>IF(AND(Entries!A189="",Entries!B189="",Entries!C189=""),"",IF(ISNUMBER(Entries!C189),AND(Entries!C189&gt;0,Entries!C189=INT(Entries!C189)),FALSE))</f>
        <v/>
      </c>
      <c r="E189" s="6">
        <f>IF(AND(Entries!A189="",Entries!B189="",Entries!C189=""),"",IF(AND(B189,C189,D189),"OK","Fix"))</f>
        <v/>
      </c>
    </row>
    <row r="190">
      <c r="A190" s="6">
        <f>IF(AND(Entries!A190="",Entries!B190="",Entries!C190=""),"",IF(Entries!A190="","(blank)",Entries!A190))</f>
        <v/>
      </c>
      <c r="B190" s="6">
        <f>IF(AND(Entries!A190="",Entries!B190="",Entries!C190=""),"",AND(Entries!A190&lt;&gt;"",COUNTIF(Entries!$A$2:$A$200,Entries!A190)=1))</f>
        <v/>
      </c>
      <c r="C190" s="6">
        <f>IF(AND(Entries!A190="",Entries!B190="",Entries!C190=""),"",AND(ISNUMBER(Entries!B190),Entries!B190&gt;=DATE(2026,1,1),Entries!B190&lt;=DATE(2026,12,31)))</f>
        <v/>
      </c>
      <c r="D190" s="6">
        <f>IF(AND(Entries!A190="",Entries!B190="",Entries!C190=""),"",IF(ISNUMBER(Entries!C190),AND(Entries!C190&gt;0,Entries!C190=INT(Entries!C190)),FALSE))</f>
        <v/>
      </c>
      <c r="E190" s="6">
        <f>IF(AND(Entries!A190="",Entries!B190="",Entries!C190=""),"",IF(AND(B190,C190,D190),"OK","Fix"))</f>
        <v/>
      </c>
    </row>
    <row r="191">
      <c r="A191" s="6">
        <f>IF(AND(Entries!A191="",Entries!B191="",Entries!C191=""),"",IF(Entries!A191="","(blank)",Entries!A191))</f>
        <v/>
      </c>
      <c r="B191" s="6">
        <f>IF(AND(Entries!A191="",Entries!B191="",Entries!C191=""),"",AND(Entries!A191&lt;&gt;"",COUNTIF(Entries!$A$2:$A$200,Entries!A191)=1))</f>
        <v/>
      </c>
      <c r="C191" s="6">
        <f>IF(AND(Entries!A191="",Entries!B191="",Entries!C191=""),"",AND(ISNUMBER(Entries!B191),Entries!B191&gt;=DATE(2026,1,1),Entries!B191&lt;=DATE(2026,12,31)))</f>
        <v/>
      </c>
      <c r="D191" s="6">
        <f>IF(AND(Entries!A191="",Entries!B191="",Entries!C191=""),"",IF(ISNUMBER(Entries!C191),AND(Entries!C191&gt;0,Entries!C191=INT(Entries!C191)),FALSE))</f>
        <v/>
      </c>
      <c r="E191" s="6">
        <f>IF(AND(Entries!A191="",Entries!B191="",Entries!C191=""),"",IF(AND(B191,C191,D191),"OK","Fix"))</f>
        <v/>
      </c>
    </row>
    <row r="192">
      <c r="A192" s="6">
        <f>IF(AND(Entries!A192="",Entries!B192="",Entries!C192=""),"",IF(Entries!A192="","(blank)",Entries!A192))</f>
        <v/>
      </c>
      <c r="B192" s="6">
        <f>IF(AND(Entries!A192="",Entries!B192="",Entries!C192=""),"",AND(Entries!A192&lt;&gt;"",COUNTIF(Entries!$A$2:$A$200,Entries!A192)=1))</f>
        <v/>
      </c>
      <c r="C192" s="6">
        <f>IF(AND(Entries!A192="",Entries!B192="",Entries!C192=""),"",AND(ISNUMBER(Entries!B192),Entries!B192&gt;=DATE(2026,1,1),Entries!B192&lt;=DATE(2026,12,31)))</f>
        <v/>
      </c>
      <c r="D192" s="6">
        <f>IF(AND(Entries!A192="",Entries!B192="",Entries!C192=""),"",IF(ISNUMBER(Entries!C192),AND(Entries!C192&gt;0,Entries!C192=INT(Entries!C192)),FALSE))</f>
        <v/>
      </c>
      <c r="E192" s="6">
        <f>IF(AND(Entries!A192="",Entries!B192="",Entries!C192=""),"",IF(AND(B192,C192,D192),"OK","Fix"))</f>
        <v/>
      </c>
    </row>
    <row r="193">
      <c r="A193" s="6">
        <f>IF(AND(Entries!A193="",Entries!B193="",Entries!C193=""),"",IF(Entries!A193="","(blank)",Entries!A193))</f>
        <v/>
      </c>
      <c r="B193" s="6">
        <f>IF(AND(Entries!A193="",Entries!B193="",Entries!C193=""),"",AND(Entries!A193&lt;&gt;"",COUNTIF(Entries!$A$2:$A$200,Entries!A193)=1))</f>
        <v/>
      </c>
      <c r="C193" s="6">
        <f>IF(AND(Entries!A193="",Entries!B193="",Entries!C193=""),"",AND(ISNUMBER(Entries!B193),Entries!B193&gt;=DATE(2026,1,1),Entries!B193&lt;=DATE(2026,12,31)))</f>
        <v/>
      </c>
      <c r="D193" s="6">
        <f>IF(AND(Entries!A193="",Entries!B193="",Entries!C193=""),"",IF(ISNUMBER(Entries!C193),AND(Entries!C193&gt;0,Entries!C193=INT(Entries!C193)),FALSE))</f>
        <v/>
      </c>
      <c r="E193" s="6">
        <f>IF(AND(Entries!A193="",Entries!B193="",Entries!C193=""),"",IF(AND(B193,C193,D193),"OK","Fix"))</f>
        <v/>
      </c>
    </row>
    <row r="194">
      <c r="A194" s="6">
        <f>IF(AND(Entries!A194="",Entries!B194="",Entries!C194=""),"",IF(Entries!A194="","(blank)",Entries!A194))</f>
        <v/>
      </c>
      <c r="B194" s="6">
        <f>IF(AND(Entries!A194="",Entries!B194="",Entries!C194=""),"",AND(Entries!A194&lt;&gt;"",COUNTIF(Entries!$A$2:$A$200,Entries!A194)=1))</f>
        <v/>
      </c>
      <c r="C194" s="6">
        <f>IF(AND(Entries!A194="",Entries!B194="",Entries!C194=""),"",AND(ISNUMBER(Entries!B194),Entries!B194&gt;=DATE(2026,1,1),Entries!B194&lt;=DATE(2026,12,31)))</f>
        <v/>
      </c>
      <c r="D194" s="6">
        <f>IF(AND(Entries!A194="",Entries!B194="",Entries!C194=""),"",IF(ISNUMBER(Entries!C194),AND(Entries!C194&gt;0,Entries!C194=INT(Entries!C194)),FALSE))</f>
        <v/>
      </c>
      <c r="E194" s="6">
        <f>IF(AND(Entries!A194="",Entries!B194="",Entries!C194=""),"",IF(AND(B194,C194,D194),"OK","Fix"))</f>
        <v/>
      </c>
    </row>
    <row r="195">
      <c r="A195" s="6">
        <f>IF(AND(Entries!A195="",Entries!B195="",Entries!C195=""),"",IF(Entries!A195="","(blank)",Entries!A195))</f>
        <v/>
      </c>
      <c r="B195" s="6">
        <f>IF(AND(Entries!A195="",Entries!B195="",Entries!C195=""),"",AND(Entries!A195&lt;&gt;"",COUNTIF(Entries!$A$2:$A$200,Entries!A195)=1))</f>
        <v/>
      </c>
      <c r="C195" s="6">
        <f>IF(AND(Entries!A195="",Entries!B195="",Entries!C195=""),"",AND(ISNUMBER(Entries!B195),Entries!B195&gt;=DATE(2026,1,1),Entries!B195&lt;=DATE(2026,12,31)))</f>
        <v/>
      </c>
      <c r="D195" s="6">
        <f>IF(AND(Entries!A195="",Entries!B195="",Entries!C195=""),"",IF(ISNUMBER(Entries!C195),AND(Entries!C195&gt;0,Entries!C195=INT(Entries!C195)),FALSE))</f>
        <v/>
      </c>
      <c r="E195" s="6">
        <f>IF(AND(Entries!A195="",Entries!B195="",Entries!C195=""),"",IF(AND(B195,C195,D195),"OK","Fix"))</f>
        <v/>
      </c>
    </row>
    <row r="196">
      <c r="A196" s="6">
        <f>IF(AND(Entries!A196="",Entries!B196="",Entries!C196=""),"",IF(Entries!A196="","(blank)",Entries!A196))</f>
        <v/>
      </c>
      <c r="B196" s="6">
        <f>IF(AND(Entries!A196="",Entries!B196="",Entries!C196=""),"",AND(Entries!A196&lt;&gt;"",COUNTIF(Entries!$A$2:$A$200,Entries!A196)=1))</f>
        <v/>
      </c>
      <c r="C196" s="6">
        <f>IF(AND(Entries!A196="",Entries!B196="",Entries!C196=""),"",AND(ISNUMBER(Entries!B196),Entries!B196&gt;=DATE(2026,1,1),Entries!B196&lt;=DATE(2026,12,31)))</f>
        <v/>
      </c>
      <c r="D196" s="6">
        <f>IF(AND(Entries!A196="",Entries!B196="",Entries!C196=""),"",IF(ISNUMBER(Entries!C196),AND(Entries!C196&gt;0,Entries!C196=INT(Entries!C196)),FALSE))</f>
        <v/>
      </c>
      <c r="E196" s="6">
        <f>IF(AND(Entries!A196="",Entries!B196="",Entries!C196=""),"",IF(AND(B196,C196,D196),"OK","Fix"))</f>
        <v/>
      </c>
    </row>
    <row r="197">
      <c r="A197" s="6">
        <f>IF(AND(Entries!A197="",Entries!B197="",Entries!C197=""),"",IF(Entries!A197="","(blank)",Entries!A197))</f>
        <v/>
      </c>
      <c r="B197" s="6">
        <f>IF(AND(Entries!A197="",Entries!B197="",Entries!C197=""),"",AND(Entries!A197&lt;&gt;"",COUNTIF(Entries!$A$2:$A$200,Entries!A197)=1))</f>
        <v/>
      </c>
      <c r="C197" s="6">
        <f>IF(AND(Entries!A197="",Entries!B197="",Entries!C197=""),"",AND(ISNUMBER(Entries!B197),Entries!B197&gt;=DATE(2026,1,1),Entries!B197&lt;=DATE(2026,12,31)))</f>
        <v/>
      </c>
      <c r="D197" s="6">
        <f>IF(AND(Entries!A197="",Entries!B197="",Entries!C197=""),"",IF(ISNUMBER(Entries!C197),AND(Entries!C197&gt;0,Entries!C197=INT(Entries!C197)),FALSE))</f>
        <v/>
      </c>
      <c r="E197" s="6">
        <f>IF(AND(Entries!A197="",Entries!B197="",Entries!C197=""),"",IF(AND(B197,C197,D197),"OK","Fix"))</f>
        <v/>
      </c>
    </row>
    <row r="198">
      <c r="A198" s="6">
        <f>IF(AND(Entries!A198="",Entries!B198="",Entries!C198=""),"",IF(Entries!A198="","(blank)",Entries!A198))</f>
        <v/>
      </c>
      <c r="B198" s="6">
        <f>IF(AND(Entries!A198="",Entries!B198="",Entries!C198=""),"",AND(Entries!A198&lt;&gt;"",COUNTIF(Entries!$A$2:$A$200,Entries!A198)=1))</f>
        <v/>
      </c>
      <c r="C198" s="6">
        <f>IF(AND(Entries!A198="",Entries!B198="",Entries!C198=""),"",AND(ISNUMBER(Entries!B198),Entries!B198&gt;=DATE(2026,1,1),Entries!B198&lt;=DATE(2026,12,31)))</f>
        <v/>
      </c>
      <c r="D198" s="6">
        <f>IF(AND(Entries!A198="",Entries!B198="",Entries!C198=""),"",IF(ISNUMBER(Entries!C198),AND(Entries!C198&gt;0,Entries!C198=INT(Entries!C198)),FALSE))</f>
        <v/>
      </c>
      <c r="E198" s="6">
        <f>IF(AND(Entries!A198="",Entries!B198="",Entries!C198=""),"",IF(AND(B198,C198,D198),"OK","Fix"))</f>
        <v/>
      </c>
    </row>
    <row r="199">
      <c r="A199" s="6">
        <f>IF(AND(Entries!A199="",Entries!B199="",Entries!C199=""),"",IF(Entries!A199="","(blank)",Entries!A199))</f>
        <v/>
      </c>
      <c r="B199" s="6">
        <f>IF(AND(Entries!A199="",Entries!B199="",Entries!C199=""),"",AND(Entries!A199&lt;&gt;"",COUNTIF(Entries!$A$2:$A$200,Entries!A199)=1))</f>
        <v/>
      </c>
      <c r="C199" s="6">
        <f>IF(AND(Entries!A199="",Entries!B199="",Entries!C199=""),"",AND(ISNUMBER(Entries!B199),Entries!B199&gt;=DATE(2026,1,1),Entries!B199&lt;=DATE(2026,12,31)))</f>
        <v/>
      </c>
      <c r="D199" s="6">
        <f>IF(AND(Entries!A199="",Entries!B199="",Entries!C199=""),"",IF(ISNUMBER(Entries!C199),AND(Entries!C199&gt;0,Entries!C199=INT(Entries!C199)),FALSE))</f>
        <v/>
      </c>
      <c r="E199" s="6">
        <f>IF(AND(Entries!A199="",Entries!B199="",Entries!C199=""),"",IF(AND(B199,C199,D199),"OK","Fix"))</f>
        <v/>
      </c>
    </row>
    <row r="200">
      <c r="A200" s="6">
        <f>IF(AND(Entries!A200="",Entries!B200="",Entries!C200=""),"",IF(Entries!A200="","(blank)",Entries!A200))</f>
        <v/>
      </c>
      <c r="B200" s="6">
        <f>IF(AND(Entries!A200="",Entries!B200="",Entries!C200=""),"",AND(Entries!A200&lt;&gt;"",COUNTIF(Entries!$A$2:$A$200,Entries!A200)=1))</f>
        <v/>
      </c>
      <c r="C200" s="6">
        <f>IF(AND(Entries!A200="",Entries!B200="",Entries!C200=""),"",AND(ISNUMBER(Entries!B200),Entries!B200&gt;=DATE(2026,1,1),Entries!B200&lt;=DATE(2026,12,31)))</f>
        <v/>
      </c>
      <c r="D200" s="6">
        <f>IF(AND(Entries!A200="",Entries!B200="",Entries!C200=""),"",IF(ISNUMBER(Entries!C200),AND(Entries!C200&gt;0,Entries!C200=INT(Entries!C200)),FALSE))</f>
        <v/>
      </c>
      <c r="E200" s="6">
        <f>IF(AND(Entries!A200="",Entries!B200="",Entries!C200=""),"",IF(AND(B200,C200,D200),"OK","Fix"))</f>
        <v/>
      </c>
    </row>
  </sheetData>
  <conditionalFormatting sqref="A2:E200">
    <cfRule type="expression" priority="1" dxfId="0">
      <formula>$E2="Fix"</formula>
    </cfRule>
  </conditionalFormatting>
  <conditionalFormatting sqref="H9">
    <cfRule type="expression" priority="2" dxfId="0">
      <formula>H9="CHECK"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Block Duplicate Invoice Numbers and Bad Dates</t>
        </is>
      </c>
    </row>
    <row r="2">
      <c r="A2" s="9" t="inlineStr"/>
    </row>
    <row r="3">
      <c r="A3" s="9" t="inlineStr">
        <is>
          <t>1. Entries tab: type Invoice #, Date and Qty in A to C (yellow). Rows 2 to 200 have the three validation rules.</t>
        </is>
      </c>
    </row>
    <row r="4">
      <c r="A4" s="9" t="inlineStr">
        <is>
          <t>2. Select a column, then Data &gt; Data Validation &gt; Allow: Custom. The rules here are: A2 =COUNTIF($A$2:$A$200,A2)=1 (no repeats), B2 =AND(ISNUMBER(B2),B2&gt;=DATE(2026,1,1),B2&lt;=DATE(2026,12,31)) (a real 2026 date), C2 =IF(ISNUMBER(C2),AND(C2&gt;0,C2=INT(C2)),FALSE) (a whole number above 0).</t>
        </is>
      </c>
    </row>
    <row r="5">
      <c r="A5" s="9" t="inlineStr">
        <is>
          <t>3. Each rule is written for the first cell (A2, B2, C2). The cell references without $ shift down for every row. $A$2:$A$200 stays fixed.</t>
        </is>
      </c>
    </row>
    <row r="6">
      <c r="A6" s="9" t="inlineStr">
        <is>
          <t>4. Each rule has a Stop error message and an input prompt, shown when you select the cell and when a bad value is typed.</t>
        </is>
      </c>
    </row>
    <row r="7">
      <c r="A7" s="9" t="inlineStr">
        <is>
          <t>5. Validation only checks what you type. Pasting over a cell skips the rule, and values already in the cells are not checked. Rows 7 and 11 repeat INV-1006 and row 9 has a quantity of 2.5 on purpose, so you can see them on the Rules check tab.</t>
        </is>
      </c>
    </row>
    <row r="8">
      <c r="A8" s="9" t="inlineStr">
        <is>
          <t>6. Rules check tab: the same three tests as TRUE or FALSE for every row, a Row result (OK or Fix) and counts. Rows to fix (H4) is the number to clean up after a paste. Both rows of a duplicated invoice number fail the invoice test.</t>
        </is>
      </c>
    </row>
    <row r="9">
      <c r="A9" s="9" t="inlineStr">
        <is>
          <t>7. H9 shows OK when OK rows plus Fix rows equal the rows with an entry and two counts of duplicate rows agree.</t>
        </is>
      </c>
    </row>
    <row r="10">
      <c r="A10" s="9" t="inlineStr">
        <is>
          <t>8. COUNTIF ignores upper and lower case (inv-1006 repeats INV-1006) and does not ignore spaces. The date rule allows 2026 only and a date with a time of day on 12/31/2026 fails; edit the DATE(...) parts for other years.</t>
        </is>
      </c>
    </row>
    <row r="11">
      <c r="A11" s="9" t="inlineStr">
        <is>
          <t>9. To change a rule, select the column, open Data Validation again and edit the formula.</t>
        </is>
      </c>
    </row>
    <row r="12">
      <c r="A12" s="9" t="inlineStr"/>
    </row>
    <row r="13">
      <c r="A13" s="9" t="inlineStr">
        <is>
          <t>Invoice numbers, dates and quantities are fictional. The rule formulas and the Rules check tab were checked in LibreOffice Calc only; the blocking itself, typing a bad value, was not tried in Excel or Google Sheets.</t>
        </is>
      </c>
    </row>
    <row r="14">
      <c r="A14" s="9" t="inlineStr">
        <is>
          <t>Google Sheets: File &gt; Import &gt; Upload this .xlsx. In Sheets use Data &gt; Data validation and the Custom formula is option.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2026-10-18T07:33:21Z</dcterms:created>
  <dcterms:modified xsi:type="dcterms:W3CDTF">2026-10-18T07:33:21Z</dcterms:modified>
</cp:coreProperties>
</file>