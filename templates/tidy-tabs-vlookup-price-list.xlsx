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 lines" sheetId="1" state="visible" r:id="rId1"/>
    <sheet name="Price list" sheetId="2" state="visible" r:id="rId2"/>
    <sheet name="How to u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2E5E4E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164" fontId="0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30" customWidth="1" min="3" max="3"/>
    <col width="11" customWidth="1" min="4" max="4"/>
    <col width="12" customWidth="1" min="5" max="5"/>
    <col width="20" customWidth="1" min="6" max="6"/>
    <col width="14" customWidth="1" min="8" max="8"/>
    <col width="12" customWidth="1" min="9" max="9"/>
  </cols>
  <sheetData>
    <row r="1" ht="30" customHeight="1">
      <c r="A1" s="1" t="inlineStr">
        <is>
          <t>SKU</t>
        </is>
      </c>
      <c r="B1" s="1" t="inlineStr">
        <is>
          <t>Qty</t>
        </is>
      </c>
      <c r="C1" s="1" t="inlineStr">
        <is>
          <t>Item</t>
        </is>
      </c>
      <c r="D1" s="1" t="inlineStr">
        <is>
          <t>Unit price</t>
        </is>
      </c>
      <c r="E1" s="1" t="inlineStr">
        <is>
          <t>Line total</t>
        </is>
      </c>
      <c r="F1" s="1" t="inlineStr">
        <is>
          <t>Price via INDEX/MATCH</t>
        </is>
      </c>
      <c r="H1" s="2" t="inlineStr">
        <is>
          <t>Order total</t>
        </is>
      </c>
      <c r="I1" s="3">
        <f>SUM(E2:E500)</f>
        <v/>
      </c>
    </row>
    <row r="2">
      <c r="A2" t="inlineStr">
        <is>
          <t>CND-LAV8</t>
        </is>
      </c>
      <c r="B2" t="n">
        <v>2</v>
      </c>
      <c r="C2" s="4">
        <f>IFERROR(VLOOKUP(A2,'Price list'!$A$2:$C$500,2,FALSE),"SKU not found")</f>
        <v/>
      </c>
      <c r="D2" s="5">
        <f>IFERROR(VLOOKUP(A2,'Price list'!$A$2:$C$500,3,FALSE),"")</f>
        <v/>
      </c>
      <c r="E2" s="5">
        <f>IF(D2="","",B2*D2)</f>
        <v/>
      </c>
      <c r="F2" s="5">
        <f>IFERROR(INDEX('Price list'!$C$2:$C$500,MATCH(A2,'Price list'!$A$2:$A$500,0)),"")</f>
        <v/>
      </c>
    </row>
    <row r="3">
      <c r="A3" t="inlineStr">
        <is>
          <t>SOP-OAT</t>
        </is>
      </c>
      <c r="B3" t="n">
        <v>3</v>
      </c>
      <c r="C3" s="4">
        <f>IFERROR(VLOOKUP(A3,'Price list'!$A$2:$C$500,2,FALSE),"SKU not found")</f>
        <v/>
      </c>
      <c r="D3" s="5">
        <f>IFERROR(VLOOKUP(A3,'Price list'!$A$2:$C$500,3,FALSE),"")</f>
        <v/>
      </c>
      <c r="E3" s="5">
        <f>IF(D3="","",B3*D3)</f>
        <v/>
      </c>
      <c r="F3" s="5">
        <f>IFERROR(INDEX('Price list'!$C$2:$C$500,MATCH(A3,'Price list'!$A$2:$A$500,0)),"")</f>
        <v/>
      </c>
    </row>
    <row r="4">
      <c r="A4" t="inlineStr">
        <is>
          <t>EAR-HOOP</t>
        </is>
      </c>
      <c r="B4" t="n">
        <v>1</v>
      </c>
      <c r="C4" s="4">
        <f>IFERROR(VLOOKUP(A4,'Price list'!$A$2:$C$500,2,FALSE),"SKU not found")</f>
        <v/>
      </c>
      <c r="D4" s="5">
        <f>IFERROR(VLOOKUP(A4,'Price list'!$A$2:$C$500,3,FALSE),"")</f>
        <v/>
      </c>
      <c r="E4" s="5">
        <f>IF(D4="","",B4*D4)</f>
        <v/>
      </c>
      <c r="F4" s="5">
        <f>IFERROR(INDEX('Price list'!$C$2:$C$500,MATCH(A4,'Price list'!$A$2:$A$500,0)),"")</f>
        <v/>
      </c>
    </row>
    <row r="5">
      <c r="A5" t="inlineStr">
        <is>
          <t xml:space="preserve">SOP-OAT </t>
        </is>
      </c>
      <c r="B5" t="n">
        <v>1</v>
      </c>
      <c r="C5" s="4">
        <f>IFERROR(VLOOKUP(A5,'Price list'!$A$2:$C$500,2,FALSE),"SKU not found")</f>
        <v/>
      </c>
      <c r="D5" s="5">
        <f>IFERROR(VLOOKUP(A5,'Price list'!$A$2:$C$500,3,FALSE),"")</f>
        <v/>
      </c>
      <c r="E5" s="5">
        <f>IF(D5="","",B5*D5)</f>
        <v/>
      </c>
      <c r="F5" s="5">
        <f>IFERROR(INDEX('Price list'!$C$2:$C$500,MATCH(A5,'Price list'!$A$2:$A$500,0)),"")</f>
        <v/>
      </c>
    </row>
    <row r="6">
      <c r="A6" t="inlineStr">
        <is>
          <t>CRD-BDAY</t>
        </is>
      </c>
      <c r="B6" t="n">
        <v>5</v>
      </c>
      <c r="C6" s="4">
        <f>IFERROR(VLOOKUP(A6,'Price list'!$A$2:$C$500,2,FALSE),"SKU not found")</f>
        <v/>
      </c>
      <c r="D6" s="5">
        <f>IFERROR(VLOOKUP(A6,'Price list'!$A$2:$C$500,3,FALSE),"")</f>
        <v/>
      </c>
      <c r="E6" s="5">
        <f>IF(D6="","",B6*D6)</f>
        <v/>
      </c>
      <c r="F6" s="5">
        <f>IFERROR(INDEX('Price list'!$C$2:$C$500,MATCH(A6,'Price list'!$A$2:$A$500,0)),"")</f>
        <v/>
      </c>
    </row>
    <row r="7">
      <c r="A7" t="inlineStr">
        <is>
          <t>CND-CED8</t>
        </is>
      </c>
      <c r="B7" t="n">
        <v>1</v>
      </c>
      <c r="C7" s="4">
        <f>IFERROR(VLOOKUP(A7,'Price list'!$A$2:$C$500,2,FALSE),"SKU not found")</f>
        <v/>
      </c>
      <c r="D7" s="5">
        <f>IFERROR(VLOOKUP(A7,'Price list'!$A$2:$C$500,3,FALSE),"")</f>
        <v/>
      </c>
      <c r="E7" s="5">
        <f>IF(D7="","",B7*D7)</f>
        <v/>
      </c>
      <c r="F7" s="5">
        <f>IFERROR(INDEX('Price list'!$C$2:$C$500,MATCH(A7,'Price list'!$A$2:$A$500,0)),"")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1" customWidth="1" min="3" max="3"/>
  </cols>
  <sheetData>
    <row r="1" ht="30" customHeight="1">
      <c r="A1" s="1" t="inlineStr">
        <is>
          <t>SKU</t>
        </is>
      </c>
      <c r="B1" s="1" t="inlineStr">
        <is>
          <t>Item</t>
        </is>
      </c>
      <c r="C1" s="1" t="inlineStr">
        <is>
          <t>Price</t>
        </is>
      </c>
    </row>
    <row r="2">
      <c r="A2" t="inlineStr">
        <is>
          <t>CND-LAV8</t>
        </is>
      </c>
      <c r="B2" t="inlineStr">
        <is>
          <t>Lavender soy candle, 8 oz</t>
        </is>
      </c>
      <c r="C2" s="3" t="n">
        <v>18</v>
      </c>
    </row>
    <row r="3">
      <c r="A3" t="inlineStr">
        <is>
          <t>CND-CED8</t>
        </is>
      </c>
      <c r="B3" t="inlineStr">
        <is>
          <t>Cedar soy candle, 8 oz</t>
        </is>
      </c>
      <c r="C3" s="3" t="n">
        <v>18</v>
      </c>
    </row>
    <row r="4">
      <c r="A4" t="inlineStr">
        <is>
          <t>SOP-OAT</t>
        </is>
      </c>
      <c r="B4" t="inlineStr">
        <is>
          <t>Oatmeal goat milk soap bar</t>
        </is>
      </c>
      <c r="C4" s="3" t="n">
        <v>8</v>
      </c>
    </row>
    <row r="5">
      <c r="A5" t="inlineStr">
        <is>
          <t>SOP-CHR</t>
        </is>
      </c>
      <c r="B5" t="inlineStr">
        <is>
          <t>Charcoal soap bar</t>
        </is>
      </c>
      <c r="C5" s="3" t="n">
        <v>8.5</v>
      </c>
    </row>
    <row r="6">
      <c r="A6" t="inlineStr">
        <is>
          <t>EAR-HOOP</t>
        </is>
      </c>
      <c r="B6" t="inlineStr">
        <is>
          <t>Brass hoop earrings</t>
        </is>
      </c>
      <c r="C6" s="3" t="n">
        <v>24</v>
      </c>
    </row>
    <row r="7">
      <c r="A7" t="inlineStr">
        <is>
          <t>CRD-BDAY</t>
        </is>
      </c>
      <c r="B7" t="inlineStr">
        <is>
          <t>Letterpress birthday card</t>
        </is>
      </c>
      <c r="C7" s="3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6" t="inlineStr">
        <is>
          <t>Tidy Tabs: Look Up a Price with VLOOKUP</t>
        </is>
      </c>
    </row>
    <row r="2">
      <c r="A2" t="inlineStr"/>
    </row>
    <row r="3">
      <c r="A3" t="inlineStr">
        <is>
          <t>1. Price list tab: SKU must be the first column, then Item, then Price.</t>
        </is>
      </c>
    </row>
    <row r="4">
      <c r="A4" t="inlineStr">
        <is>
          <t>2. Order lines tab: type a SKU and Qty. Item = VLOOKUP(A2,'Price list'!$A$2:$C$500,2,FALSE). FALSE means exact match only.</t>
        </is>
      </c>
    </row>
    <row r="5">
      <c r="A5" t="inlineStr">
        <is>
          <t>3. Unit price uses column number 3. Line total = Qty x Unit price. Order total is in I1.</t>
        </is>
      </c>
    </row>
    <row r="6">
      <c r="A6" t="inlineStr">
        <is>
          <t>4. IFERROR turns a missing SKU into "SKU not found" instead of #N/A. Row 5 has a trailing space after SOP-OAT on purpose, so it is not found.</t>
        </is>
      </c>
    </row>
    <row r="7">
      <c r="A7" t="inlineStr">
        <is>
          <t>5. Column F does the same lookup with INDEX/MATCH, which also works when the lookup column is not first.</t>
        </is>
      </c>
    </row>
    <row r="8">
      <c r="A8" t="inlineStr"/>
    </row>
    <row r="9">
      <c r="A9" t="inlineStr">
        <is>
          <t>Products and prices are fictional. XLOOKUP is not used here because it needs newer versions of Excel and LibreOffice.</t>
        </is>
      </c>
    </row>
    <row r="10">
      <c r="A10" t="inlineStr">
        <is>
          <t>Google Sheets: File &gt; Import &gt; Upload this .xlsx.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2026-09-29T07:27:06Z</dcterms:created>
  <dcterms:modified xsi:type="dcterms:W3CDTF">2026-09-29T07:27:06Z</dcterms:modified>
</cp:coreProperties>
</file>