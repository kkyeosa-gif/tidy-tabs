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Weeks" sheetId="2" state="visible" r:id="rId2"/>
    <sheet xmlns:r="http://schemas.openxmlformats.org/officeDocument/2006/relationships" name="How to use" sheetId="3" state="visible" r:id="rId3"/>
  </sheets>
  <definedNames>
    <definedName name="_xlnm.Print_Titles" localSheetId="0">'Log'!$1:$1</definedName>
    <definedName name="_xlnm.Print_Titles" localSheetId="1">'Weeks'!$1:$1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2" fontId="0" fillId="3" borderId="0" pivotButton="0" quotePrefix="0" xfId="0"/>
    <xf numFmtId="165" fontId="0" fillId="4" borderId="0" pivotButton="0" quotePrefix="0" xfId="0"/>
    <xf numFmtId="0" fontId="0" fillId="4" borderId="0" pivotButton="0" quotePrefix="0" xfId="0"/>
    <xf numFmtId="2" fontId="0" fillId="4" borderId="0" pivotButton="0" quotePrefix="0" xfId="0"/>
    <xf numFmtId="2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14" customWidth="1" min="4" max="4"/>
    <col width="4" customWidth="1" min="5" max="5"/>
    <col width="34" customWidth="1" min="6" max="6"/>
    <col width="12" customWidth="1" min="7" max="7"/>
  </cols>
  <sheetData>
    <row r="1" ht="30" customHeight="1">
      <c r="A1" s="1" t="inlineStr">
        <is>
          <t>Date</t>
        </is>
      </c>
      <c r="B1" s="1" t="inlineStr">
        <is>
          <t>Client</t>
        </is>
      </c>
      <c r="C1" s="1" t="inlineStr">
        <is>
          <t>Hours</t>
        </is>
      </c>
      <c r="D1" s="1" t="inlineStr">
        <is>
          <t>Week ending</t>
        </is>
      </c>
      <c r="F1" s="2" t="inlineStr">
        <is>
          <t>Setting</t>
        </is>
      </c>
    </row>
    <row r="2">
      <c r="A2" s="3" t="n">
        <v>46293</v>
      </c>
      <c r="B2" s="4" t="inlineStr">
        <is>
          <t>Maple Street Bakery</t>
        </is>
      </c>
      <c r="C2" s="5" t="n">
        <v>3.5</v>
      </c>
      <c r="D2" s="6">
        <f>IF(ISNUMBER(A2),A2+MOD($G$2-WEEKDAY(A2,1),7),"")</f>
        <v/>
      </c>
      <c r="F2" t="inlineStr">
        <is>
          <t>Week ends on (1 Sun, 2 Mon ... 6 Fri, 7 Sat)</t>
        </is>
      </c>
      <c r="G2" s="4" t="n">
        <v>6</v>
      </c>
    </row>
    <row r="3">
      <c r="A3" s="3" t="n">
        <v>46294</v>
      </c>
      <c r="B3" s="4" t="inlineStr">
        <is>
          <t>Harbor Yoga Studio</t>
        </is>
      </c>
      <c r="C3" s="5" t="n">
        <v>4</v>
      </c>
      <c r="D3" s="6">
        <f>IF(ISNUMBER(A3),A3+MOD($G$2-WEEKDAY(A3,1),7),"")</f>
        <v/>
      </c>
      <c r="F3" t="inlineStr">
        <is>
          <t>Week ends on</t>
        </is>
      </c>
      <c r="G3" s="7">
        <f>IF(AND(ISNUMBER(G2),G2&gt;=1,G2&lt;=7),CHOOSE(G2,"Sunday","Monday","Tuesday","Wednesday","Thursday","Friday","Saturday"),"Enter 1 to 7")</f>
        <v/>
      </c>
    </row>
    <row r="4">
      <c r="A4" s="3" t="n">
        <v>46295</v>
      </c>
      <c r="B4" s="4" t="inlineStr">
        <is>
          <t>Maple Street Bakery</t>
        </is>
      </c>
      <c r="C4" s="5" t="n">
        <v>2.5</v>
      </c>
      <c r="D4" s="6">
        <f>IF(ISNUMBER(A4),A4+MOD($G$2-WEEKDAY(A4,1),7),"")</f>
        <v/>
      </c>
      <c r="F4" t="inlineStr">
        <is>
          <t>Total hours in log</t>
        </is>
      </c>
      <c r="G4" s="8">
        <f>SUM(C2:C60)</f>
        <v/>
      </c>
    </row>
    <row r="5">
      <c r="A5" s="3" t="n">
        <v>46296</v>
      </c>
      <c r="B5" s="4" t="inlineStr">
        <is>
          <t>Birch Design Co</t>
        </is>
      </c>
      <c r="C5" s="5" t="n">
        <v>6</v>
      </c>
      <c r="D5" s="6">
        <f>IF(ISNUMBER(A5),A5+MOD($G$2-WEEKDAY(A5,1),7),"")</f>
        <v/>
      </c>
    </row>
    <row r="6">
      <c r="A6" s="3" t="n">
        <v>46297</v>
      </c>
      <c r="B6" s="4" t="inlineStr">
        <is>
          <t>Birch Design Co</t>
        </is>
      </c>
      <c r="C6" s="5" t="n">
        <v>5.5</v>
      </c>
      <c r="D6" s="6">
        <f>IF(ISNUMBER(A6),A6+MOD($G$2-WEEKDAY(A6,1),7),"")</f>
        <v/>
      </c>
    </row>
    <row r="7">
      <c r="A7" s="3" t="n">
        <v>46298</v>
      </c>
      <c r="B7" s="4" t="inlineStr">
        <is>
          <t>Harbor Yoga Studio</t>
        </is>
      </c>
      <c r="C7" s="5" t="n">
        <v>2</v>
      </c>
      <c r="D7" s="6">
        <f>IF(ISNUMBER(A7),A7+MOD($G$2-WEEKDAY(A7,1),7),"")</f>
        <v/>
      </c>
    </row>
    <row r="8">
      <c r="A8" s="3" t="n">
        <v>46299</v>
      </c>
      <c r="B8" s="4" t="inlineStr">
        <is>
          <t>Lantern Print Shop</t>
        </is>
      </c>
      <c r="C8" s="5" t="n">
        <v>1.5</v>
      </c>
      <c r="D8" s="6">
        <f>IF(ISNUMBER(A8),A8+MOD($G$2-WEEKDAY(A8,1),7),"")</f>
        <v/>
      </c>
    </row>
    <row r="9">
      <c r="A9" s="3" t="n">
        <v>46300</v>
      </c>
      <c r="B9" s="4" t="inlineStr">
        <is>
          <t>Lantern Print Shop</t>
        </is>
      </c>
      <c r="C9" s="5" t="n">
        <v>7</v>
      </c>
      <c r="D9" s="6">
        <f>IF(ISNUMBER(A9),A9+MOD($G$2-WEEKDAY(A9,1),7),"")</f>
        <v/>
      </c>
    </row>
    <row r="10">
      <c r="A10" s="3" t="n">
        <v>46302</v>
      </c>
      <c r="B10" s="4" t="inlineStr">
        <is>
          <t>Maple Street Bakery</t>
        </is>
      </c>
      <c r="C10" s="5" t="n">
        <v>4.25</v>
      </c>
      <c r="D10" s="6">
        <f>IF(ISNUMBER(A10),A10+MOD($G$2-WEEKDAY(A10,1),7),"")</f>
        <v/>
      </c>
    </row>
    <row r="11">
      <c r="A11" s="3" t="n">
        <v>46304</v>
      </c>
      <c r="B11" s="4" t="inlineStr">
        <is>
          <t>Birch Design Co</t>
        </is>
      </c>
      <c r="C11" s="5" t="n">
        <v>3</v>
      </c>
      <c r="D11" s="6">
        <f>IF(ISNUMBER(A11),A11+MOD($G$2-WEEKDAY(A11,1),7),"")</f>
        <v/>
      </c>
    </row>
    <row r="12">
      <c r="A12" s="3" t="n">
        <v>46307</v>
      </c>
      <c r="B12" s="4" t="inlineStr">
        <is>
          <t>Harbor Yoga Studio</t>
        </is>
      </c>
      <c r="C12" s="5" t="n">
        <v>5</v>
      </c>
      <c r="D12" s="6">
        <f>IF(ISNUMBER(A12),A12+MOD($G$2-WEEKDAY(A12,1),7),"")</f>
        <v/>
      </c>
    </row>
    <row r="13">
      <c r="A13" s="3" t="n">
        <v>46309</v>
      </c>
      <c r="B13" s="4" t="inlineStr">
        <is>
          <t>Lantern Print Shop</t>
        </is>
      </c>
      <c r="C13" s="5" t="n">
        <v>2.75</v>
      </c>
      <c r="D13" s="6">
        <f>IF(ISNUMBER(A13),A13+MOD($G$2-WEEKDAY(A13,1),7),"")</f>
        <v/>
      </c>
    </row>
    <row r="14">
      <c r="A14" s="3" t="n"/>
      <c r="B14" s="4" t="n"/>
      <c r="C14" s="5" t="n"/>
      <c r="D14" s="6">
        <f>IF(ISNUMBER(A14),A14+MOD($G$2-WEEKDAY(A14,1),7),"")</f>
        <v/>
      </c>
    </row>
    <row r="15">
      <c r="A15" s="3" t="n"/>
      <c r="B15" s="4" t="n"/>
      <c r="C15" s="5" t="n"/>
      <c r="D15" s="6">
        <f>IF(ISNUMBER(A15),A15+MOD($G$2-WEEKDAY(A15,1),7),"")</f>
        <v/>
      </c>
    </row>
    <row r="16">
      <c r="A16" s="3" t="n"/>
      <c r="B16" s="4" t="n"/>
      <c r="C16" s="5" t="n"/>
      <c r="D16" s="6">
        <f>IF(ISNUMBER(A16),A16+MOD($G$2-WEEKDAY(A16,1),7),"")</f>
        <v/>
      </c>
    </row>
    <row r="17">
      <c r="A17" s="3" t="n"/>
      <c r="B17" s="4" t="n"/>
      <c r="C17" s="5" t="n"/>
      <c r="D17" s="6">
        <f>IF(ISNUMBER(A17),A17+MOD($G$2-WEEKDAY(A17,1),7),"")</f>
        <v/>
      </c>
    </row>
    <row r="18">
      <c r="A18" s="3" t="n"/>
      <c r="B18" s="4" t="n"/>
      <c r="C18" s="5" t="n"/>
      <c r="D18" s="6">
        <f>IF(ISNUMBER(A18),A18+MOD($G$2-WEEKDAY(A18,1),7),"")</f>
        <v/>
      </c>
    </row>
    <row r="19">
      <c r="A19" s="3" t="n"/>
      <c r="B19" s="4" t="n"/>
      <c r="C19" s="5" t="n"/>
      <c r="D19" s="6">
        <f>IF(ISNUMBER(A19),A19+MOD($G$2-WEEKDAY(A19,1),7),"")</f>
        <v/>
      </c>
    </row>
    <row r="20">
      <c r="A20" s="3" t="n"/>
      <c r="B20" s="4" t="n"/>
      <c r="C20" s="5" t="n"/>
      <c r="D20" s="6">
        <f>IF(ISNUMBER(A20),A20+MOD($G$2-WEEKDAY(A20,1),7),"")</f>
        <v/>
      </c>
    </row>
    <row r="21">
      <c r="A21" s="3" t="n"/>
      <c r="B21" s="4" t="n"/>
      <c r="C21" s="5" t="n"/>
      <c r="D21" s="6">
        <f>IF(ISNUMBER(A21),A21+MOD($G$2-WEEKDAY(A21,1),7),"")</f>
        <v/>
      </c>
    </row>
    <row r="22">
      <c r="A22" s="3" t="n"/>
      <c r="B22" s="4" t="n"/>
      <c r="C22" s="5" t="n"/>
      <c r="D22" s="6">
        <f>IF(ISNUMBER(A22),A22+MOD($G$2-WEEKDAY(A22,1),7),"")</f>
        <v/>
      </c>
    </row>
    <row r="23">
      <c r="A23" s="3" t="n"/>
      <c r="B23" s="4" t="n"/>
      <c r="C23" s="5" t="n"/>
      <c r="D23" s="6">
        <f>IF(ISNUMBER(A23),A23+MOD($G$2-WEEKDAY(A23,1),7),"")</f>
        <v/>
      </c>
    </row>
    <row r="24">
      <c r="A24" s="3" t="n"/>
      <c r="B24" s="4" t="n"/>
      <c r="C24" s="5" t="n"/>
      <c r="D24" s="6">
        <f>IF(ISNUMBER(A24),A24+MOD($G$2-WEEKDAY(A24,1),7),"")</f>
        <v/>
      </c>
    </row>
    <row r="25">
      <c r="A25" s="3" t="n"/>
      <c r="B25" s="4" t="n"/>
      <c r="C25" s="5" t="n"/>
      <c r="D25" s="6">
        <f>IF(ISNUMBER(A25),A25+MOD($G$2-WEEKDAY(A25,1),7),"")</f>
        <v/>
      </c>
    </row>
    <row r="26">
      <c r="A26" s="3" t="n"/>
      <c r="B26" s="4" t="n"/>
      <c r="C26" s="5" t="n"/>
      <c r="D26" s="6">
        <f>IF(ISNUMBER(A26),A26+MOD($G$2-WEEKDAY(A26,1),7),"")</f>
        <v/>
      </c>
    </row>
    <row r="27">
      <c r="A27" s="3" t="n"/>
      <c r="B27" s="4" t="n"/>
      <c r="C27" s="5" t="n"/>
      <c r="D27" s="6">
        <f>IF(ISNUMBER(A27),A27+MOD($G$2-WEEKDAY(A27,1),7),"")</f>
        <v/>
      </c>
    </row>
    <row r="28">
      <c r="A28" s="3" t="n"/>
      <c r="B28" s="4" t="n"/>
      <c r="C28" s="5" t="n"/>
      <c r="D28" s="6">
        <f>IF(ISNUMBER(A28),A28+MOD($G$2-WEEKDAY(A28,1),7),"")</f>
        <v/>
      </c>
    </row>
    <row r="29">
      <c r="A29" s="3" t="n"/>
      <c r="B29" s="4" t="n"/>
      <c r="C29" s="5" t="n"/>
      <c r="D29" s="6">
        <f>IF(ISNUMBER(A29),A29+MOD($G$2-WEEKDAY(A29,1),7),"")</f>
        <v/>
      </c>
    </row>
    <row r="30">
      <c r="A30" s="3" t="n"/>
      <c r="B30" s="4" t="n"/>
      <c r="C30" s="5" t="n"/>
      <c r="D30" s="6">
        <f>IF(ISNUMBER(A30),A30+MOD($G$2-WEEKDAY(A30,1),7),"")</f>
        <v/>
      </c>
    </row>
    <row r="31">
      <c r="A31" s="3" t="n"/>
      <c r="B31" s="4" t="n"/>
      <c r="C31" s="5" t="n"/>
      <c r="D31" s="6">
        <f>IF(ISNUMBER(A31),A31+MOD($G$2-WEEKDAY(A31,1),7),"")</f>
        <v/>
      </c>
    </row>
    <row r="32">
      <c r="A32" s="3" t="n"/>
      <c r="B32" s="4" t="n"/>
      <c r="C32" s="5" t="n"/>
      <c r="D32" s="6">
        <f>IF(ISNUMBER(A32),A32+MOD($G$2-WEEKDAY(A32,1),7),"")</f>
        <v/>
      </c>
    </row>
    <row r="33">
      <c r="A33" s="3" t="n"/>
      <c r="B33" s="4" t="n"/>
      <c r="C33" s="5" t="n"/>
      <c r="D33" s="6">
        <f>IF(ISNUMBER(A33),A33+MOD($G$2-WEEKDAY(A33,1),7),"")</f>
        <v/>
      </c>
    </row>
    <row r="34">
      <c r="A34" s="3" t="n"/>
      <c r="B34" s="4" t="n"/>
      <c r="C34" s="5" t="n"/>
      <c r="D34" s="6">
        <f>IF(ISNUMBER(A34),A34+MOD($G$2-WEEKDAY(A34,1),7),"")</f>
        <v/>
      </c>
    </row>
    <row r="35">
      <c r="A35" s="3" t="n"/>
      <c r="B35" s="4" t="n"/>
      <c r="C35" s="5" t="n"/>
      <c r="D35" s="6">
        <f>IF(ISNUMBER(A35),A35+MOD($G$2-WEEKDAY(A35,1),7),"")</f>
        <v/>
      </c>
    </row>
    <row r="36">
      <c r="A36" s="3" t="n"/>
      <c r="B36" s="4" t="n"/>
      <c r="C36" s="5" t="n"/>
      <c r="D36" s="6">
        <f>IF(ISNUMBER(A36),A36+MOD($G$2-WEEKDAY(A36,1),7),"")</f>
        <v/>
      </c>
    </row>
    <row r="37">
      <c r="A37" s="3" t="n"/>
      <c r="B37" s="4" t="n"/>
      <c r="C37" s="5" t="n"/>
      <c r="D37" s="6">
        <f>IF(ISNUMBER(A37),A37+MOD($G$2-WEEKDAY(A37,1),7),"")</f>
        <v/>
      </c>
    </row>
    <row r="38">
      <c r="A38" s="3" t="n"/>
      <c r="B38" s="4" t="n"/>
      <c r="C38" s="5" t="n"/>
      <c r="D38" s="6">
        <f>IF(ISNUMBER(A38),A38+MOD($G$2-WEEKDAY(A38,1),7),"")</f>
        <v/>
      </c>
    </row>
    <row r="39">
      <c r="A39" s="3" t="n"/>
      <c r="B39" s="4" t="n"/>
      <c r="C39" s="5" t="n"/>
      <c r="D39" s="6">
        <f>IF(ISNUMBER(A39),A39+MOD($G$2-WEEKDAY(A39,1),7),"")</f>
        <v/>
      </c>
    </row>
    <row r="40">
      <c r="A40" s="3" t="n"/>
      <c r="B40" s="4" t="n"/>
      <c r="C40" s="5" t="n"/>
      <c r="D40" s="6">
        <f>IF(ISNUMBER(A40),A40+MOD($G$2-WEEKDAY(A40,1),7),"")</f>
        <v/>
      </c>
    </row>
    <row r="41">
      <c r="A41" s="3" t="n"/>
      <c r="B41" s="4" t="n"/>
      <c r="C41" s="5" t="n"/>
      <c r="D41" s="6">
        <f>IF(ISNUMBER(A41),A41+MOD($G$2-WEEKDAY(A41,1),7),"")</f>
        <v/>
      </c>
    </row>
    <row r="42">
      <c r="A42" s="3" t="n"/>
      <c r="B42" s="4" t="n"/>
      <c r="C42" s="5" t="n"/>
      <c r="D42" s="6">
        <f>IF(ISNUMBER(A42),A42+MOD($G$2-WEEKDAY(A42,1),7),"")</f>
        <v/>
      </c>
    </row>
    <row r="43">
      <c r="A43" s="3" t="n"/>
      <c r="B43" s="4" t="n"/>
      <c r="C43" s="5" t="n"/>
      <c r="D43" s="6">
        <f>IF(ISNUMBER(A43),A43+MOD($G$2-WEEKDAY(A43,1),7),"")</f>
        <v/>
      </c>
    </row>
    <row r="44">
      <c r="A44" s="3" t="n"/>
      <c r="B44" s="4" t="n"/>
      <c r="C44" s="5" t="n"/>
      <c r="D44" s="6">
        <f>IF(ISNUMBER(A44),A44+MOD($G$2-WEEKDAY(A44,1),7),"")</f>
        <v/>
      </c>
    </row>
    <row r="45">
      <c r="A45" s="3" t="n"/>
      <c r="B45" s="4" t="n"/>
      <c r="C45" s="5" t="n"/>
      <c r="D45" s="6">
        <f>IF(ISNUMBER(A45),A45+MOD($G$2-WEEKDAY(A45,1),7),"")</f>
        <v/>
      </c>
    </row>
    <row r="46">
      <c r="A46" s="3" t="n"/>
      <c r="B46" s="4" t="n"/>
      <c r="C46" s="5" t="n"/>
      <c r="D46" s="6">
        <f>IF(ISNUMBER(A46),A46+MOD($G$2-WEEKDAY(A46,1),7),"")</f>
        <v/>
      </c>
    </row>
    <row r="47">
      <c r="A47" s="3" t="n"/>
      <c r="B47" s="4" t="n"/>
      <c r="C47" s="5" t="n"/>
      <c r="D47" s="6">
        <f>IF(ISNUMBER(A47),A47+MOD($G$2-WEEKDAY(A47,1),7),"")</f>
        <v/>
      </c>
    </row>
    <row r="48">
      <c r="A48" s="3" t="n"/>
      <c r="B48" s="4" t="n"/>
      <c r="C48" s="5" t="n"/>
      <c r="D48" s="6">
        <f>IF(ISNUMBER(A48),A48+MOD($G$2-WEEKDAY(A48,1),7),"")</f>
        <v/>
      </c>
    </row>
    <row r="49">
      <c r="A49" s="3" t="n"/>
      <c r="B49" s="4" t="n"/>
      <c r="C49" s="5" t="n"/>
      <c r="D49" s="6">
        <f>IF(ISNUMBER(A49),A49+MOD($G$2-WEEKDAY(A49,1),7),"")</f>
        <v/>
      </c>
    </row>
    <row r="50">
      <c r="A50" s="3" t="n"/>
      <c r="B50" s="4" t="n"/>
      <c r="C50" s="5" t="n"/>
      <c r="D50" s="6">
        <f>IF(ISNUMBER(A50),A50+MOD($G$2-WEEKDAY(A50,1),7),"")</f>
        <v/>
      </c>
    </row>
    <row r="51">
      <c r="A51" s="3" t="n"/>
      <c r="B51" s="4" t="n"/>
      <c r="C51" s="5" t="n"/>
      <c r="D51" s="6">
        <f>IF(ISNUMBER(A51),A51+MOD($G$2-WEEKDAY(A51,1),7),"")</f>
        <v/>
      </c>
    </row>
    <row r="52">
      <c r="A52" s="3" t="n"/>
      <c r="B52" s="4" t="n"/>
      <c r="C52" s="5" t="n"/>
      <c r="D52" s="6">
        <f>IF(ISNUMBER(A52),A52+MOD($G$2-WEEKDAY(A52,1),7),"")</f>
        <v/>
      </c>
    </row>
    <row r="53">
      <c r="A53" s="3" t="n"/>
      <c r="B53" s="4" t="n"/>
      <c r="C53" s="5" t="n"/>
      <c r="D53" s="6">
        <f>IF(ISNUMBER(A53),A53+MOD($G$2-WEEKDAY(A53,1),7),"")</f>
        <v/>
      </c>
    </row>
    <row r="54">
      <c r="A54" s="3" t="n"/>
      <c r="B54" s="4" t="n"/>
      <c r="C54" s="5" t="n"/>
      <c r="D54" s="6">
        <f>IF(ISNUMBER(A54),A54+MOD($G$2-WEEKDAY(A54,1),7),"")</f>
        <v/>
      </c>
    </row>
    <row r="55">
      <c r="A55" s="3" t="n"/>
      <c r="B55" s="4" t="n"/>
      <c r="C55" s="5" t="n"/>
      <c r="D55" s="6">
        <f>IF(ISNUMBER(A55),A55+MOD($G$2-WEEKDAY(A55,1),7),"")</f>
        <v/>
      </c>
    </row>
    <row r="56">
      <c r="A56" s="3" t="n"/>
      <c r="B56" s="4" t="n"/>
      <c r="C56" s="5" t="n"/>
      <c r="D56" s="6">
        <f>IF(ISNUMBER(A56),A56+MOD($G$2-WEEKDAY(A56,1),7),"")</f>
        <v/>
      </c>
    </row>
    <row r="57">
      <c r="A57" s="3" t="n"/>
      <c r="B57" s="4" t="n"/>
      <c r="C57" s="5" t="n"/>
      <c r="D57" s="6">
        <f>IF(ISNUMBER(A57),A57+MOD($G$2-WEEKDAY(A57,1),7),"")</f>
        <v/>
      </c>
    </row>
    <row r="58">
      <c r="A58" s="3" t="n"/>
      <c r="B58" s="4" t="n"/>
      <c r="C58" s="5" t="n"/>
      <c r="D58" s="6">
        <f>IF(ISNUMBER(A58),A58+MOD($G$2-WEEKDAY(A58,1),7),"")</f>
        <v/>
      </c>
    </row>
    <row r="59">
      <c r="A59" s="3" t="n"/>
      <c r="B59" s="4" t="n"/>
      <c r="C59" s="5" t="n"/>
      <c r="D59" s="6">
        <f>IF(ISNUMBER(A59),A59+MOD($G$2-WEEKDAY(A59,1),7),"")</f>
        <v/>
      </c>
    </row>
    <row r="60">
      <c r="A60" s="3" t="n"/>
      <c r="B60" s="4" t="n"/>
      <c r="C60" s="5" t="n"/>
      <c r="D60" s="6">
        <f>IF(ISNUMBER(A60),A60+MOD($G$2-WEEKDAY(A60,1),7),"")</f>
        <v/>
      </c>
    </row>
  </sheetData>
  <dataValidations count="1">
    <dataValidation sqref="G2" showDropDown="0" showInputMessage="0" showErrorMessage="0" allowBlank="0" type="whole" operator="between">
      <formula1>1</formula1>
      <formula2>7</formula2>
    </dataValidation>
  </dataValidations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" customWidth="1" min="3" max="3"/>
    <col width="34" customWidth="1" min="4" max="4"/>
    <col width="12" customWidth="1" min="5" max="5"/>
  </cols>
  <sheetData>
    <row r="1" ht="30" customHeight="1">
      <c r="A1" s="1" t="inlineStr">
        <is>
          <t>Week ending</t>
        </is>
      </c>
      <c r="B1" s="1" t="inlineStr">
        <is>
          <t>Hours</t>
        </is>
      </c>
      <c r="D1" s="2" t="inlineStr">
        <is>
          <t>Check</t>
        </is>
      </c>
    </row>
    <row r="2">
      <c r="A2" s="6">
        <f>IF(COUNT(Log!D2:D60)=0,"",MIN(Log!D2:D60))</f>
        <v/>
      </c>
      <c r="B2" s="8">
        <f>IF(A2="","",SUMIFS(Log!C2:C60,Log!D2:D60,A2))</f>
        <v/>
      </c>
      <c r="D2" t="inlineStr">
        <is>
          <t>Hours on this tab</t>
        </is>
      </c>
      <c r="E2" s="9">
        <f>SUM(B2:B27)</f>
        <v/>
      </c>
    </row>
    <row r="3">
      <c r="A3" s="6">
        <f>IF(A2="","",IF(A2+7&gt;MAX(Log!D2:D60),"",A2+7))</f>
        <v/>
      </c>
      <c r="B3" s="8">
        <f>IF(A3="","",SUMIFS(Log!C2:C60,Log!D2:D60,A3))</f>
        <v/>
      </c>
      <c r="D3" t="inlineStr">
        <is>
          <t>Hours in the log</t>
        </is>
      </c>
      <c r="E3" s="9">
        <f>SUM(Log!C2:C60)</f>
        <v/>
      </c>
    </row>
    <row r="4">
      <c r="A4" s="6">
        <f>IF(A3="","",IF(A3+7&gt;MAX(Log!D2:D60),"",A3+7))</f>
        <v/>
      </c>
      <c r="B4" s="8">
        <f>IF(A4="","",SUMIFS(Log!C2:C60,Log!D2:D60,A4))</f>
        <v/>
      </c>
      <c r="D4" t="inlineStr">
        <is>
          <t>Check: they match</t>
        </is>
      </c>
      <c r="E4" s="10">
        <f>IF(ROUND(E2-E3,6)=0,"OK","CHECK")</f>
        <v/>
      </c>
    </row>
    <row r="5">
      <c r="A5" s="6">
        <f>IF(A4="","",IF(A4+7&gt;MAX(Log!D2:D60),"",A4+7))</f>
        <v/>
      </c>
      <c r="B5" s="8">
        <f>IF(A5="","",SUMIFS(Log!C2:C60,Log!D2:D60,A5))</f>
        <v/>
      </c>
    </row>
    <row r="6">
      <c r="A6" s="6">
        <f>IF(A5="","",IF(A5+7&gt;MAX(Log!D2:D60),"",A5+7))</f>
        <v/>
      </c>
      <c r="B6" s="8">
        <f>IF(A6="","",SUMIFS(Log!C2:C60,Log!D2:D60,A6))</f>
        <v/>
      </c>
    </row>
    <row r="7">
      <c r="A7" s="6">
        <f>IF(A6="","",IF(A6+7&gt;MAX(Log!D2:D60),"",A6+7))</f>
        <v/>
      </c>
      <c r="B7" s="8">
        <f>IF(A7="","",SUMIFS(Log!C2:C60,Log!D2:D60,A7))</f>
        <v/>
      </c>
    </row>
    <row r="8">
      <c r="A8" s="6">
        <f>IF(A7="","",IF(A7+7&gt;MAX(Log!D2:D60),"",A7+7))</f>
        <v/>
      </c>
      <c r="B8" s="8">
        <f>IF(A8="","",SUMIFS(Log!C2:C60,Log!D2:D60,A8))</f>
        <v/>
      </c>
    </row>
    <row r="9">
      <c r="A9" s="6">
        <f>IF(A8="","",IF(A8+7&gt;MAX(Log!D2:D60),"",A8+7))</f>
        <v/>
      </c>
      <c r="B9" s="8">
        <f>IF(A9="","",SUMIFS(Log!C2:C60,Log!D2:D60,A9))</f>
        <v/>
      </c>
    </row>
    <row r="10">
      <c r="A10" s="6">
        <f>IF(A9="","",IF(A9+7&gt;MAX(Log!D2:D60),"",A9+7))</f>
        <v/>
      </c>
      <c r="B10" s="8">
        <f>IF(A10="","",SUMIFS(Log!C2:C60,Log!D2:D60,A10))</f>
        <v/>
      </c>
    </row>
    <row r="11">
      <c r="A11" s="6">
        <f>IF(A10="","",IF(A10+7&gt;MAX(Log!D2:D60),"",A10+7))</f>
        <v/>
      </c>
      <c r="B11" s="8">
        <f>IF(A11="","",SUMIFS(Log!C2:C60,Log!D2:D60,A11))</f>
        <v/>
      </c>
    </row>
    <row r="12">
      <c r="A12" s="6">
        <f>IF(A11="","",IF(A11+7&gt;MAX(Log!D2:D60),"",A11+7))</f>
        <v/>
      </c>
      <c r="B12" s="8">
        <f>IF(A12="","",SUMIFS(Log!C2:C60,Log!D2:D60,A12))</f>
        <v/>
      </c>
    </row>
    <row r="13">
      <c r="A13" s="6">
        <f>IF(A12="","",IF(A12+7&gt;MAX(Log!D2:D60),"",A12+7))</f>
        <v/>
      </c>
      <c r="B13" s="8">
        <f>IF(A13="","",SUMIFS(Log!C2:C60,Log!D2:D60,A13))</f>
        <v/>
      </c>
    </row>
    <row r="14">
      <c r="A14" s="6">
        <f>IF(A13="","",IF(A13+7&gt;MAX(Log!D2:D60),"",A13+7))</f>
        <v/>
      </c>
      <c r="B14" s="8">
        <f>IF(A14="","",SUMIFS(Log!C2:C60,Log!D2:D60,A14))</f>
        <v/>
      </c>
    </row>
    <row r="15">
      <c r="A15" s="6">
        <f>IF(A14="","",IF(A14+7&gt;MAX(Log!D2:D60),"",A14+7))</f>
        <v/>
      </c>
      <c r="B15" s="8">
        <f>IF(A15="","",SUMIFS(Log!C2:C60,Log!D2:D60,A15))</f>
        <v/>
      </c>
    </row>
    <row r="16">
      <c r="A16" s="6">
        <f>IF(A15="","",IF(A15+7&gt;MAX(Log!D2:D60),"",A15+7))</f>
        <v/>
      </c>
      <c r="B16" s="8">
        <f>IF(A16="","",SUMIFS(Log!C2:C60,Log!D2:D60,A16))</f>
        <v/>
      </c>
    </row>
    <row r="17">
      <c r="A17" s="6">
        <f>IF(A16="","",IF(A16+7&gt;MAX(Log!D2:D60),"",A16+7))</f>
        <v/>
      </c>
      <c r="B17" s="8">
        <f>IF(A17="","",SUMIFS(Log!C2:C60,Log!D2:D60,A17))</f>
        <v/>
      </c>
    </row>
    <row r="18">
      <c r="A18" s="6">
        <f>IF(A17="","",IF(A17+7&gt;MAX(Log!D2:D60),"",A17+7))</f>
        <v/>
      </c>
      <c r="B18" s="8">
        <f>IF(A18="","",SUMIFS(Log!C2:C60,Log!D2:D60,A18))</f>
        <v/>
      </c>
    </row>
    <row r="19">
      <c r="A19" s="6">
        <f>IF(A18="","",IF(A18+7&gt;MAX(Log!D2:D60),"",A18+7))</f>
        <v/>
      </c>
      <c r="B19" s="8">
        <f>IF(A19="","",SUMIFS(Log!C2:C60,Log!D2:D60,A19))</f>
        <v/>
      </c>
    </row>
    <row r="20">
      <c r="A20" s="6">
        <f>IF(A19="","",IF(A19+7&gt;MAX(Log!D2:D60),"",A19+7))</f>
        <v/>
      </c>
      <c r="B20" s="8">
        <f>IF(A20="","",SUMIFS(Log!C2:C60,Log!D2:D60,A20))</f>
        <v/>
      </c>
    </row>
    <row r="21">
      <c r="A21" s="6">
        <f>IF(A20="","",IF(A20+7&gt;MAX(Log!D2:D60),"",A20+7))</f>
        <v/>
      </c>
      <c r="B21" s="8">
        <f>IF(A21="","",SUMIFS(Log!C2:C60,Log!D2:D60,A21))</f>
        <v/>
      </c>
    </row>
    <row r="22">
      <c r="A22" s="6">
        <f>IF(A21="","",IF(A21+7&gt;MAX(Log!D2:D60),"",A21+7))</f>
        <v/>
      </c>
      <c r="B22" s="8">
        <f>IF(A22="","",SUMIFS(Log!C2:C60,Log!D2:D60,A22))</f>
        <v/>
      </c>
    </row>
    <row r="23">
      <c r="A23" s="6">
        <f>IF(A22="","",IF(A22+7&gt;MAX(Log!D2:D60),"",A22+7))</f>
        <v/>
      </c>
      <c r="B23" s="8">
        <f>IF(A23="","",SUMIFS(Log!C2:C60,Log!D2:D60,A23))</f>
        <v/>
      </c>
    </row>
    <row r="24">
      <c r="A24" s="6">
        <f>IF(A23="","",IF(A23+7&gt;MAX(Log!D2:D60),"",A23+7))</f>
        <v/>
      </c>
      <c r="B24" s="8">
        <f>IF(A24="","",SUMIFS(Log!C2:C60,Log!D2:D60,A24))</f>
        <v/>
      </c>
    </row>
    <row r="25">
      <c r="A25" s="6">
        <f>IF(A24="","",IF(A24+7&gt;MAX(Log!D2:D60),"",A24+7))</f>
        <v/>
      </c>
      <c r="B25" s="8">
        <f>IF(A25="","",SUMIFS(Log!C2:C60,Log!D2:D60,A25))</f>
        <v/>
      </c>
    </row>
    <row r="26">
      <c r="A26" s="6">
        <f>IF(A25="","",IF(A25+7&gt;MAX(Log!D2:D60),"",A25+7))</f>
        <v/>
      </c>
      <c r="B26" s="8">
        <f>IF(A26="","",SUMIFS(Log!C2:C60,Log!D2:D60,A26))</f>
        <v/>
      </c>
    </row>
    <row r="27">
      <c r="A27" s="6">
        <f>IF(A26="","",IF(A26+7&gt;MAX(Log!D2:D60),"",A26+7))</f>
        <v/>
      </c>
      <c r="B27" s="8">
        <f>IF(A27="","",SUMIFS(Log!C2:C60,Log!D2:D60,A27))</f>
        <v/>
      </c>
    </row>
  </sheetData>
  <conditionalFormatting sqref="E4">
    <cfRule type="expression" priority="1" dxfId="0">
      <formula>E4="CHECK"</formula>
    </cfRule>
  </conditionalFormatting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Tidy Tabs: Find the Week Ending Date for Any Date</t>
        </is>
      </c>
    </row>
    <row r="2">
      <c r="A2" s="12" t="inlineStr"/>
    </row>
    <row r="3">
      <c r="A3" s="12" t="inlineStr">
        <is>
          <t>1. Log tab: type the date, client and hours in A to C (yellow). Rows 2 to 60 have formulas ready.</t>
        </is>
      </c>
    </row>
    <row r="4">
      <c r="A4" s="12" t="inlineStr">
        <is>
          <t>2. G2 is the weekday that ends your week: 1 Sunday, 2 Monday, 3 Tuesday, 4 Wednesday, 5 Thursday, 6 Friday, 7 Saturday. It starts at 6 (Friday).</t>
        </is>
      </c>
    </row>
    <row r="5">
      <c r="A5" s="12" t="inlineStr">
        <is>
          <t>3. D2: =A2+MOD($G$2-WEEKDAY(A2,1),7). WEEKDAY(A2,1) gives 1 for Sunday to 7 for Saturday. MOD counts the days forward to the week ending day, from 0 to 6.</t>
        </is>
      </c>
    </row>
    <row r="6">
      <c r="A6" s="12" t="inlineStr">
        <is>
          <t>4. A date that already falls on the week ending day stays the same. The day after it jumps ahead 6 days.</t>
        </is>
      </c>
    </row>
    <row r="7">
      <c r="A7" s="12" t="inlineStr">
        <is>
          <t>5. Weeks tab: A2 is the earliest week ending in the log and each row below adds 7 days. B uses SUMIFS to add the hours whose week ending matches.</t>
        </is>
      </c>
    </row>
    <row r="8">
      <c r="A8" s="12" t="inlineStr">
        <is>
          <t>6. Weeks!E4 checks that the hours on the Weeks tab equal the hours in the log. CHECK means a row was left out, for example a date typed as text, or more weeks than the 26 rows listed.</t>
        </is>
      </c>
    </row>
    <row r="9">
      <c r="A9" s="12" t="inlineStr">
        <is>
          <t>7. Enter real dates. A date stored as text (usually left-aligned) gets no week ending, and its hours show up as CHECK. A blank date row stays blank.</t>
        </is>
      </c>
    </row>
    <row r="10">
      <c r="A10" s="12" t="inlineStr">
        <is>
          <t>8. Date math only. It does not apply pay period rules, overtime or time zones.</t>
        </is>
      </c>
    </row>
    <row r="11">
      <c r="A11" s="12" t="inlineStr"/>
    </row>
    <row r="12">
      <c r="A12" s="12" t="inlineStr">
        <is>
          <t>Clients, dates and hours are fictional. Checked in LibreOffice Calc only; not opened in Excel or Google Sheets.</t>
        </is>
      </c>
    </row>
    <row r="13">
      <c r="A13" s="12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2026-10-15T07:28:37Z</dcterms:created>
  <dcterms:modified xmlns:dcterms="http://purl.org/dc/terms/" xmlns:xsi="http://www.w3.org/2001/XMLSchema-instance" xsi:type="dcterms:W3CDTF">2026-10-15T07:28:37Z</dcterms:modified>
</cp:coreProperties>
</file>