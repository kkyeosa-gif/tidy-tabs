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Forecast" sheetId="2" state="visible" r:id="rId2"/>
    <sheet xmlns:r="http://schemas.openxmlformats.org/officeDocument/2006/relationships" name="How to use" sheetId="3" state="visible" r:id="rId3"/>
  </sheets>
  <definedNames>
    <definedName name="_xlnm.Print_Titles" localSheetId="0">'Items'!$4:$4</definedName>
    <definedName name="_xlnm.Print_Area" localSheetId="0">'Items'!$A$1:$E$104</definedName>
    <definedName name="_xlnm.Print_Titles" localSheetId="1">'Forecast'!$5:$5</definedName>
    <definedName name="_xlnm.Print_Area" localSheetId="1">'Forecast'!$A$1:$J$19</definedName>
  </definedNames>
  <calcPr calcId="124519" fullCalcOnLoad="1"/>
</workbook>
</file>

<file path=xl/styles.xml><?xml version="1.0" encoding="utf-8"?>
<styleSheet xmlns="http://schemas.openxmlformats.org/spreadsheetml/2006/main">
  <numFmts count="3">
    <numFmt numFmtId="164" formatCode="mm/dd/yyyy"/>
    <numFmt numFmtId="165" formatCode="&quot;$&quot;#,##0.00"/>
    <numFmt numFmtId="166" formatCode="yyyy-mm-dd"/>
  </numFmts>
  <fonts count="5">
    <font>
      <name val="Calibri"/>
      <family val="2"/>
      <color theme="1"/>
      <sz val="11"/>
      <scheme val="minor"/>
    </font>
    <font>
      <i val="1"/>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4" fontId="0" fillId="3" borderId="0" pivotButton="0" quotePrefix="0" xfId="0"/>
    <xf numFmtId="0" fontId="0" fillId="3" borderId="0" pivotButton="0" quotePrefix="0" xfId="0"/>
    <xf numFmtId="165" fontId="0" fillId="3" borderId="0" pivotButton="0" quotePrefix="0" xfId="0"/>
    <xf numFmtId="0" fontId="0" fillId="4" borderId="0" pivotButton="0" quotePrefix="0" xfId="0"/>
    <xf numFmtId="0" fontId="3" fillId="0" borderId="0" pivotButton="0" quotePrefix="0" xfId="0"/>
    <xf numFmtId="165" fontId="0" fillId="4" borderId="0" applyAlignment="1" pivotButton="0" quotePrefix="0" xfId="0">
      <alignment horizontal="right"/>
    </xf>
    <xf numFmtId="0" fontId="3" fillId="0" borderId="0" applyAlignment="1" pivotButton="0" quotePrefix="0" xfId="0">
      <alignment vertical="center" wrapText="1"/>
    </xf>
    <xf numFmtId="164" fontId="0" fillId="4" borderId="0" applyAlignment="1" pivotButton="0" quotePrefix="0" xfId="0">
      <alignment horizontal="right"/>
    </xf>
    <xf numFmtId="1" fontId="0" fillId="4" borderId="0" applyAlignment="1" pivotButton="0" quotePrefix="0" xfId="0">
      <alignment horizontal="right"/>
    </xf>
    <xf numFmtId="0" fontId="0" fillId="4" borderId="0" applyAlignment="1" pivotButton="0" quotePrefix="0" xfId="0">
      <alignment horizontal="right"/>
    </xf>
    <xf numFmtId="0" fontId="3" fillId="4" borderId="0" applyAlignment="1" pivotButton="0" quotePrefix="0" xfId="0">
      <alignment horizontal="left"/>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04"/>
  <sheetViews>
    <sheetView workbookViewId="0">
      <pane ySplit="4" topLeftCell="A5" activePane="bottomLeft" state="frozen"/>
      <selection pane="bottomLeft" activeCell="A1" sqref="A1"/>
    </sheetView>
  </sheetViews>
  <sheetFormatPr baseColWidth="8" defaultRowHeight="15"/>
  <cols>
    <col width="13" customWidth="1" min="1" max="1"/>
    <col width="30" customWidth="1" min="2" max="2"/>
    <col width="9" customWidth="1" min="3" max="3"/>
    <col width="13" customWidth="1" min="4" max="4"/>
    <col width="16" customWidth="1" min="5" max="5"/>
  </cols>
  <sheetData>
    <row r="1">
      <c r="A1" s="1" t="inlineStr">
        <is>
          <t>Expected money in and out. Type the date, a description, In or Out, and the amount as a positive number.</t>
        </is>
      </c>
    </row>
    <row r="2">
      <c r="A2" s="1" t="inlineStr">
        <is>
          <t>Fictional freelancer and shop. Amounts are guesses, not a promise.</t>
        </is>
      </c>
    </row>
    <row r="4" ht="24" customHeight="1">
      <c r="A4" s="2" t="inlineStr">
        <is>
          <t>Date</t>
        </is>
      </c>
      <c r="B4" s="2" t="inlineStr">
        <is>
          <t>Description</t>
        </is>
      </c>
      <c r="C4" s="2" t="inlineStr">
        <is>
          <t>Type</t>
        </is>
      </c>
      <c r="D4" s="2" t="inlineStr">
        <is>
          <t>Amount</t>
        </is>
      </c>
      <c r="E4" s="2" t="inlineStr">
        <is>
          <t>Row check</t>
        </is>
      </c>
    </row>
    <row r="5">
      <c r="A5" s="3" t="n">
        <v>46328</v>
      </c>
      <c r="B5" s="4" t="inlineStr">
        <is>
          <t>Studio rent</t>
        </is>
      </c>
      <c r="C5" s="4" t="inlineStr">
        <is>
          <t>Out</t>
        </is>
      </c>
      <c r="D5" s="5" t="n">
        <v>650</v>
      </c>
      <c r="E5" s="6">
        <f>IF(AND(A5="",B5="",C5="",D5=""),"",IF(NOT(ISNUMBER(A5)),"Check date",IF(AND(C5&lt;&gt;"In",C5&lt;&gt;"Out"),"Check type",IF(NOT(ISNUMBER(D5)),"Check amount",IF(D5&lt;0,"Check amount",IF(ISNUMBER(Forecast!$B$2),IF(OR(A5&lt;Forecast!$B$2,A5&gt;=Forecast!$B$2+91),"Outside weeks",""),""))))))</f>
        <v/>
      </c>
    </row>
    <row r="6">
      <c r="A6" s="3" t="n">
        <v>46330</v>
      </c>
      <c r="B6" s="4" t="inlineStr">
        <is>
          <t>Supplies order</t>
        </is>
      </c>
      <c r="C6" s="4" t="inlineStr">
        <is>
          <t>Out</t>
        </is>
      </c>
      <c r="D6" s="5" t="n">
        <v>320</v>
      </c>
      <c r="E6" s="6">
        <f>IF(AND(A6="",B6="",C6="",D6=""),"",IF(NOT(ISNUMBER(A6)),"Check date",IF(AND(C6&lt;&gt;"In",C6&lt;&gt;"Out"),"Check type",IF(NOT(ISNUMBER(D6)),"Check amount",IF(D6&lt;0,"Check amount",IF(ISNUMBER(Forecast!$B$2),IF(OR(A6&lt;Forecast!$B$2,A6&gt;=Forecast!$B$2+91),"Outside weeks",""),""))))))</f>
        <v/>
      </c>
    </row>
    <row r="7">
      <c r="A7" s="3" t="n">
        <v>46332</v>
      </c>
      <c r="B7" s="4" t="inlineStr">
        <is>
          <t>Client invoice 2040</t>
        </is>
      </c>
      <c r="C7" s="4" t="inlineStr">
        <is>
          <t>In</t>
        </is>
      </c>
      <c r="D7" s="5" t="n">
        <v>600</v>
      </c>
      <c r="E7" s="6">
        <f>IF(AND(A7="",B7="",C7="",D7=""),"",IF(NOT(ISNUMBER(A7)),"Check date",IF(AND(C7&lt;&gt;"In",C7&lt;&gt;"Out"),"Check type",IF(NOT(ISNUMBER(D7)),"Check amount",IF(D7&lt;0,"Check amount",IF(ISNUMBER(Forecast!$B$2),IF(OR(A7&lt;Forecast!$B$2,A7&gt;=Forecast!$B$2+91),"Outside weeks",""),""))))))</f>
        <v/>
      </c>
    </row>
    <row r="8">
      <c r="A8" s="3" t="n">
        <v>46335</v>
      </c>
      <c r="B8" s="4" t="inlineStr">
        <is>
          <t>Etsy payout</t>
        </is>
      </c>
      <c r="C8" s="4" t="inlineStr">
        <is>
          <t>In</t>
        </is>
      </c>
      <c r="D8" s="5" t="n">
        <v>340</v>
      </c>
      <c r="E8" s="6">
        <f>IF(AND(A8="",B8="",C8="",D8=""),"",IF(NOT(ISNUMBER(A8)),"Check date",IF(AND(C8&lt;&gt;"In",C8&lt;&gt;"Out"),"Check type",IF(NOT(ISNUMBER(D8)),"Check amount",IF(D8&lt;0,"Check amount",IF(ISNUMBER(Forecast!$B$2),IF(OR(A8&lt;Forecast!$B$2,A8&gt;=Forecast!$B$2+91),"Outside weeks",""),""))))))</f>
        <v/>
      </c>
    </row>
    <row r="9">
      <c r="A9" s="3" t="n">
        <v>46335</v>
      </c>
      <c r="B9" s="4" t="inlineStr">
        <is>
          <t>Software subscription</t>
        </is>
      </c>
      <c r="C9" s="4" t="inlineStr">
        <is>
          <t>Out</t>
        </is>
      </c>
      <c r="D9" s="5" t="n">
        <v>45</v>
      </c>
      <c r="E9" s="6">
        <f>IF(AND(A9="",B9="",C9="",D9=""),"",IF(NOT(ISNUMBER(A9)),"Check date",IF(AND(C9&lt;&gt;"In",C9&lt;&gt;"Out"),"Check type",IF(NOT(ISNUMBER(D9)),"Check amount",IF(D9&lt;0,"Check amount",IF(ISNUMBER(Forecast!$B$2),IF(OR(A9&lt;Forecast!$B$2,A9&gt;=Forecast!$B$2+91),"Outside weeks",""),""))))))</f>
        <v/>
      </c>
    </row>
    <row r="10">
      <c r="A10" s="3" t="n">
        <v>46342</v>
      </c>
      <c r="B10" s="4" t="inlineStr">
        <is>
          <t>Insurance payment</t>
        </is>
      </c>
      <c r="C10" s="4" t="inlineStr">
        <is>
          <t>Out</t>
        </is>
      </c>
      <c r="D10" s="5" t="n">
        <v>210</v>
      </c>
      <c r="E10" s="6">
        <f>IF(AND(A10="",B10="",C10="",D10=""),"",IF(NOT(ISNUMBER(A10)),"Check date",IF(AND(C10&lt;&gt;"In",C10&lt;&gt;"Out"),"Check type",IF(NOT(ISNUMBER(D10)),"Check amount",IF(D10&lt;0,"Check amount",IF(ISNUMBER(Forecast!$B$2),IF(OR(A10&lt;Forecast!$B$2,A10&gt;=Forecast!$B$2+91),"Outside weeks",""),""))))))</f>
        <v/>
      </c>
    </row>
    <row r="11">
      <c r="A11" s="3" t="n">
        <v>46345</v>
      </c>
      <c r="B11" s="4" t="inlineStr">
        <is>
          <t>Craft fair booth fee</t>
        </is>
      </c>
      <c r="C11" s="4" t="inlineStr">
        <is>
          <t>Out</t>
        </is>
      </c>
      <c r="D11" s="5" t="n">
        <v>180</v>
      </c>
      <c r="E11" s="6">
        <f>IF(AND(A11="",B11="",C11="",D11=""),"",IF(NOT(ISNUMBER(A11)),"Check date",IF(AND(C11&lt;&gt;"In",C11&lt;&gt;"Out"),"Check type",IF(NOT(ISNUMBER(D11)),"Check amount",IF(D11&lt;0,"Check amount",IF(ISNUMBER(Forecast!$B$2),IF(OR(A11&lt;Forecast!$B$2,A11&gt;=Forecast!$B$2+91),"Outside weeks",""),""))))))</f>
        <v/>
      </c>
    </row>
    <row r="12">
      <c r="A12" s="3" t="n">
        <v>46346</v>
      </c>
      <c r="B12" s="4" t="inlineStr">
        <is>
          <t>Client invoice 2041</t>
        </is>
      </c>
      <c r="C12" s="4" t="inlineStr">
        <is>
          <t>In</t>
        </is>
      </c>
      <c r="D12" s="5" t="n">
        <v>1800</v>
      </c>
      <c r="E12" s="6">
        <f>IF(AND(A12="",B12="",C12="",D12=""),"",IF(NOT(ISNUMBER(A12)),"Check date",IF(AND(C12&lt;&gt;"In",C12&lt;&gt;"Out"),"Check type",IF(NOT(ISNUMBER(D12)),"Check amount",IF(D12&lt;0,"Check amount",IF(ISNUMBER(Forecast!$B$2),IF(OR(A12&lt;Forecast!$B$2,A12&gt;=Forecast!$B$2+91),"Outside weeks",""),""))))))</f>
        <v/>
      </c>
    </row>
    <row r="13">
      <c r="A13" s="3" t="n">
        <v>46349</v>
      </c>
      <c r="B13" s="4" t="inlineStr">
        <is>
          <t>Etsy payout</t>
        </is>
      </c>
      <c r="C13" s="4" t="inlineStr">
        <is>
          <t>In</t>
        </is>
      </c>
      <c r="D13" s="5" t="n">
        <v>410</v>
      </c>
      <c r="E13" s="6">
        <f>IF(AND(A13="",B13="",C13="",D13=""),"",IF(NOT(ISNUMBER(A13)),"Check date",IF(AND(C13&lt;&gt;"In",C13&lt;&gt;"Out"),"Check type",IF(NOT(ISNUMBER(D13)),"Check amount",IF(D13&lt;0,"Check amount",IF(ISNUMBER(Forecast!$B$2),IF(OR(A13&lt;Forecast!$B$2,A13&gt;=Forecast!$B$2+91),"Outside weeks",""),""))))))</f>
        <v/>
      </c>
    </row>
    <row r="14">
      <c r="A14" s="3" t="n">
        <v>46351</v>
      </c>
      <c r="B14" s="4" t="inlineStr">
        <is>
          <t>Packaging and labels</t>
        </is>
      </c>
      <c r="C14" s="4" t="inlineStr">
        <is>
          <t>Out</t>
        </is>
      </c>
      <c r="D14" s="5" t="n">
        <v>260</v>
      </c>
      <c r="E14" s="6">
        <f>IF(AND(A14="",B14="",C14="",D14=""),"",IF(NOT(ISNUMBER(A14)),"Check date",IF(AND(C14&lt;&gt;"In",C14&lt;&gt;"Out"),"Check type",IF(NOT(ISNUMBER(D14)),"Check amount",IF(D14&lt;0,"Check amount",IF(ISNUMBER(Forecast!$B$2),IF(OR(A14&lt;Forecast!$B$2,A14&gt;=Forecast!$B$2+91),"Outside weeks",""),""))))))</f>
        <v/>
      </c>
    </row>
    <row r="15">
      <c r="A15" s="3" t="n">
        <v>46356</v>
      </c>
      <c r="B15" s="4" t="inlineStr">
        <is>
          <t>Kiln repair</t>
        </is>
      </c>
      <c r="C15" s="4" t="inlineStr">
        <is>
          <t>Out</t>
        </is>
      </c>
      <c r="D15" s="5" t="n">
        <v>1275</v>
      </c>
      <c r="E15" s="6">
        <f>IF(AND(A15="",B15="",C15="",D15=""),"",IF(NOT(ISNUMBER(A15)),"Check date",IF(AND(C15&lt;&gt;"In",C15&lt;&gt;"Out"),"Check type",IF(NOT(ISNUMBER(D15)),"Check amount",IF(D15&lt;0,"Check amount",IF(ISNUMBER(Forecast!$B$2),IF(OR(A15&lt;Forecast!$B$2,A15&gt;=Forecast!$B$2+91),"Outside weeks",""),""))))))</f>
        <v/>
      </c>
    </row>
    <row r="16">
      <c r="A16" s="3" t="n">
        <v>46358</v>
      </c>
      <c r="B16" s="4" t="inlineStr">
        <is>
          <t>Studio rent</t>
        </is>
      </c>
      <c r="C16" s="4" t="inlineStr">
        <is>
          <t>Out</t>
        </is>
      </c>
      <c r="D16" s="5" t="n">
        <v>650</v>
      </c>
      <c r="E16" s="6">
        <f>IF(AND(A16="",B16="",C16="",D16=""),"",IF(NOT(ISNUMBER(A16)),"Check date",IF(AND(C16&lt;&gt;"In",C16&lt;&gt;"Out"),"Check type",IF(NOT(ISNUMBER(D16)),"Check amount",IF(D16&lt;0,"Check amount",IF(ISNUMBER(Forecast!$B$2),IF(OR(A16&lt;Forecast!$B$2,A16&gt;=Forecast!$B$2+91),"Outside weeks",""),""))))))</f>
        <v/>
      </c>
    </row>
    <row r="17">
      <c r="A17" s="3" t="n">
        <v>46359</v>
      </c>
      <c r="B17" s="4" t="inlineStr">
        <is>
          <t>Supplies order</t>
        </is>
      </c>
      <c r="C17" s="4" t="inlineStr">
        <is>
          <t>Out</t>
        </is>
      </c>
      <c r="D17" s="5" t="n">
        <v>1650</v>
      </c>
      <c r="E17" s="6">
        <f>IF(AND(A17="",B17="",C17="",D17=""),"",IF(NOT(ISNUMBER(A17)),"Check date",IF(AND(C17&lt;&gt;"In",C17&lt;&gt;"Out"),"Check type",IF(NOT(ISNUMBER(D17)),"Check amount",IF(D17&lt;0,"Check amount",IF(ISNUMBER(Forecast!$B$2),IF(OR(A17&lt;Forecast!$B$2,A17&gt;=Forecast!$B$2+91),"Outside weeks",""),""))))))</f>
        <v/>
      </c>
    </row>
    <row r="18">
      <c r="A18" s="3" t="n">
        <v>46363</v>
      </c>
      <c r="B18" s="4" t="inlineStr">
        <is>
          <t>Etsy payout</t>
        </is>
      </c>
      <c r="C18" s="4" t="inlineStr">
        <is>
          <t>In</t>
        </is>
      </c>
      <c r="D18" s="5" t="n">
        <v>190</v>
      </c>
      <c r="E18" s="6">
        <f>IF(AND(A18="",B18="",C18="",D18=""),"",IF(NOT(ISNUMBER(A18)),"Check date",IF(AND(C18&lt;&gt;"In",C18&lt;&gt;"Out"),"Check type",IF(NOT(ISNUMBER(D18)),"Check amount",IF(D18&lt;0,"Check amount",IF(ISNUMBER(Forecast!$B$2),IF(OR(A18&lt;Forecast!$B$2,A18&gt;=Forecast!$B$2+91),"Outside weeks",""),""))))))</f>
        <v/>
      </c>
    </row>
    <row r="19">
      <c r="A19" s="3" t="n">
        <v>46365</v>
      </c>
      <c r="B19" s="4" t="inlineStr">
        <is>
          <t>Software subscription</t>
        </is>
      </c>
      <c r="C19" s="4" t="inlineStr">
        <is>
          <t>Out</t>
        </is>
      </c>
      <c r="D19" s="5" t="n">
        <v>45</v>
      </c>
      <c r="E19" s="6">
        <f>IF(AND(A19="",B19="",C19="",D19=""),"",IF(NOT(ISNUMBER(A19)),"Check date",IF(AND(C19&lt;&gt;"In",C19&lt;&gt;"Out"),"Check type",IF(NOT(ISNUMBER(D19)),"Check amount",IF(D19&lt;0,"Check amount",IF(ISNUMBER(Forecast!$B$2),IF(OR(A19&lt;Forecast!$B$2,A19&gt;=Forecast!$B$2+91),"Outside weeks",""),""))))))</f>
        <v/>
      </c>
    </row>
    <row r="20">
      <c r="A20" s="3" t="n">
        <v>46370</v>
      </c>
      <c r="B20" s="4" t="inlineStr">
        <is>
          <t>Etsy payout</t>
        </is>
      </c>
      <c r="C20" s="4" t="inlineStr">
        <is>
          <t>In</t>
        </is>
      </c>
      <c r="D20" s="5" t="n">
        <v>690</v>
      </c>
      <c r="E20" s="6">
        <f>IF(AND(A20="",B20="",C20="",D20=""),"",IF(NOT(ISNUMBER(A20)),"Check date",IF(AND(C20&lt;&gt;"In",C20&lt;&gt;"Out"),"Check type",IF(NOT(ISNUMBER(D20)),"Check amount",IF(D20&lt;0,"Check amount",IF(ISNUMBER(Forecast!$B$2),IF(OR(A20&lt;Forecast!$B$2,A20&gt;=Forecast!$B$2+91),"Outside weeks",""),""))))))</f>
        <v/>
      </c>
    </row>
    <row r="21">
      <c r="A21" s="3" t="n">
        <v>46372</v>
      </c>
      <c r="B21" s="4" t="inlineStr">
        <is>
          <t>Insurance payment</t>
        </is>
      </c>
      <c r="C21" s="4" t="inlineStr">
        <is>
          <t>Out</t>
        </is>
      </c>
      <c r="D21" s="5" t="n">
        <v>210</v>
      </c>
      <c r="E21" s="6">
        <f>IF(AND(A21="",B21="",C21="",D21=""),"",IF(NOT(ISNUMBER(A21)),"Check date",IF(AND(C21&lt;&gt;"In",C21&lt;&gt;"Out"),"Check type",IF(NOT(ISNUMBER(D21)),"Check amount",IF(D21&lt;0,"Check amount",IF(ISNUMBER(Forecast!$B$2),IF(OR(A21&lt;Forecast!$B$2,A21&gt;=Forecast!$B$2+91),"Outside weeks",""),""))))))</f>
        <v/>
      </c>
    </row>
    <row r="22">
      <c r="A22" s="3" t="n">
        <v>46374</v>
      </c>
      <c r="B22" s="4" t="inlineStr">
        <is>
          <t>Client invoice 2042</t>
        </is>
      </c>
      <c r="C22" s="4" t="inlineStr">
        <is>
          <t>In</t>
        </is>
      </c>
      <c r="D22" s="5" t="n">
        <v>1250</v>
      </c>
      <c r="E22" s="6">
        <f>IF(AND(A22="",B22="",C22="",D22=""),"",IF(NOT(ISNUMBER(A22)),"Check date",IF(AND(C22&lt;&gt;"In",C22&lt;&gt;"Out"),"Check type",IF(NOT(ISNUMBER(D22)),"Check amount",IF(D22&lt;0,"Check amount",IF(ISNUMBER(Forecast!$B$2),IF(OR(A22&lt;Forecast!$B$2,A22&gt;=Forecast!$B$2+91),"Outside weeks",""),""))))))</f>
        <v/>
      </c>
    </row>
    <row r="23">
      <c r="A23" s="3" t="n">
        <v>46377</v>
      </c>
      <c r="B23" s="4" t="inlineStr">
        <is>
          <t>Etsy payout</t>
        </is>
      </c>
      <c r="C23" s="4" t="inlineStr">
        <is>
          <t>In</t>
        </is>
      </c>
      <c r="D23" s="5" t="n">
        <v>560</v>
      </c>
      <c r="E23" s="6">
        <f>IF(AND(A23="",B23="",C23="",D23=""),"",IF(NOT(ISNUMBER(A23)),"Check date",IF(AND(C23&lt;&gt;"In",C23&lt;&gt;"Out"),"Check type",IF(NOT(ISNUMBER(D23)),"Check amount",IF(D23&lt;0,"Check amount",IF(ISNUMBER(Forecast!$B$2),IF(OR(A23&lt;Forecast!$B$2,A23&gt;=Forecast!$B$2+91),"Outside weeks",""),""))))))</f>
        <v/>
      </c>
    </row>
    <row r="24">
      <c r="A24" s="3" t="n">
        <v>46378</v>
      </c>
      <c r="B24" s="4" t="inlineStr">
        <is>
          <t>Shipping supplies</t>
        </is>
      </c>
      <c r="C24" s="4" t="inlineStr">
        <is>
          <t>Out</t>
        </is>
      </c>
      <c r="D24" s="5" t="n">
        <v>240</v>
      </c>
      <c r="E24" s="6">
        <f>IF(AND(A24="",B24="",C24="",D24=""),"",IF(NOT(ISNUMBER(A24)),"Check date",IF(AND(C24&lt;&gt;"In",C24&lt;&gt;"Out"),"Check type",IF(NOT(ISNUMBER(D24)),"Check amount",IF(D24&lt;0,"Check amount",IF(ISNUMBER(Forecast!$B$2),IF(OR(A24&lt;Forecast!$B$2,A24&gt;=Forecast!$B$2+91),"Outside weeks",""),""))))))</f>
        <v/>
      </c>
    </row>
    <row r="25">
      <c r="A25" s="3" t="n">
        <v>46384</v>
      </c>
      <c r="B25" s="4" t="inlineStr">
        <is>
          <t>Holiday market booth fee</t>
        </is>
      </c>
      <c r="C25" s="4" t="inlineStr">
        <is>
          <t>Out</t>
        </is>
      </c>
      <c r="D25" s="5" t="n">
        <v>150</v>
      </c>
      <c r="E25" s="6">
        <f>IF(AND(A25="",B25="",C25="",D25=""),"",IF(NOT(ISNUMBER(A25)),"Check date",IF(AND(C25&lt;&gt;"In",C25&lt;&gt;"Out"),"Check type",IF(NOT(ISNUMBER(D25)),"Check amount",IF(D25&lt;0,"Check amount",IF(ISNUMBER(Forecast!$B$2),IF(OR(A25&lt;Forecast!$B$2,A25&gt;=Forecast!$B$2+91),"Outside weeks",""),""))))))</f>
        <v/>
      </c>
    </row>
    <row r="26">
      <c r="A26" s="3" t="n">
        <v>46391</v>
      </c>
      <c r="B26" s="4" t="inlineStr">
        <is>
          <t>Studio rent</t>
        </is>
      </c>
      <c r="C26" s="4" t="inlineStr">
        <is>
          <t>Out</t>
        </is>
      </c>
      <c r="D26" s="5" t="n">
        <v>650</v>
      </c>
      <c r="E26" s="6">
        <f>IF(AND(A26="",B26="",C26="",D26=""),"",IF(NOT(ISNUMBER(A26)),"Check date",IF(AND(C26&lt;&gt;"In",C26&lt;&gt;"Out"),"Check type",IF(NOT(ISNUMBER(D26)),"Check amount",IF(D26&lt;0,"Check amount",IF(ISNUMBER(Forecast!$B$2),IF(OR(A26&lt;Forecast!$B$2,A26&gt;=Forecast!$B$2+91),"Outside weeks",""),""))))))</f>
        <v/>
      </c>
    </row>
    <row r="27">
      <c r="A27" s="3" t="n">
        <v>46395</v>
      </c>
      <c r="B27" s="4" t="inlineStr">
        <is>
          <t>Supplies order</t>
        </is>
      </c>
      <c r="C27" s="4" t="inlineStr">
        <is>
          <t>Out</t>
        </is>
      </c>
      <c r="D27" s="5" t="n">
        <v>300</v>
      </c>
      <c r="E27" s="6">
        <f>IF(AND(A27="",B27="",C27="",D27=""),"",IF(NOT(ISNUMBER(A27)),"Check date",IF(AND(C27&lt;&gt;"In",C27&lt;&gt;"Out"),"Check type",IF(NOT(ISNUMBER(D27)),"Check amount",IF(D27&lt;0,"Check amount",IF(ISNUMBER(Forecast!$B$2),IF(OR(A27&lt;Forecast!$B$2,A27&gt;=Forecast!$B$2+91),"Outside weeks",""),""))))))</f>
        <v/>
      </c>
    </row>
    <row r="28">
      <c r="A28" s="3" t="n">
        <v>46398</v>
      </c>
      <c r="B28" s="4" t="inlineStr">
        <is>
          <t>Software subscription</t>
        </is>
      </c>
      <c r="C28" s="4" t="inlineStr">
        <is>
          <t>Out</t>
        </is>
      </c>
      <c r="D28" s="5" t="n">
        <v>45</v>
      </c>
      <c r="E28" s="6">
        <f>IF(AND(A28="",B28="",C28="",D28=""),"",IF(NOT(ISNUMBER(A28)),"Check date",IF(AND(C28&lt;&gt;"In",C28&lt;&gt;"Out"),"Check type",IF(NOT(ISNUMBER(D28)),"Check amount",IF(D28&lt;0,"Check amount",IF(ISNUMBER(Forecast!$B$2),IF(OR(A28&lt;Forecast!$B$2,A28&gt;=Forecast!$B$2+91),"Outside weeks",""),""))))))</f>
        <v/>
      </c>
    </row>
    <row r="29">
      <c r="A29" s="3" t="n">
        <v>46402</v>
      </c>
      <c r="B29" s="4" t="inlineStr">
        <is>
          <t>Insurance payment</t>
        </is>
      </c>
      <c r="C29" s="4" t="inlineStr">
        <is>
          <t>Out</t>
        </is>
      </c>
      <c r="D29" s="5" t="n">
        <v>210</v>
      </c>
      <c r="E29" s="6">
        <f>IF(AND(A29="",B29="",C29="",D29=""),"",IF(NOT(ISNUMBER(A29)),"Check date",IF(AND(C29&lt;&gt;"In",C29&lt;&gt;"Out"),"Check type",IF(NOT(ISNUMBER(D29)),"Check amount",IF(D29&lt;0,"Check amount",IF(ISNUMBER(Forecast!$B$2),IF(OR(A29&lt;Forecast!$B$2,A29&gt;=Forecast!$B$2+91),"Outside weeks",""),""))))))</f>
        <v/>
      </c>
    </row>
    <row r="30">
      <c r="A30" s="3" t="n">
        <v>46405</v>
      </c>
      <c r="B30" s="4" t="inlineStr">
        <is>
          <t>Etsy payout</t>
        </is>
      </c>
      <c r="C30" s="4" t="inlineStr">
        <is>
          <t>In</t>
        </is>
      </c>
      <c r="D30" s="5" t="n">
        <v>380</v>
      </c>
      <c r="E30" s="6">
        <f>IF(AND(A30="",B30="",C30="",D30=""),"",IF(NOT(ISNUMBER(A30)),"Check date",IF(AND(C30&lt;&gt;"In",C30&lt;&gt;"Out"),"Check type",IF(NOT(ISNUMBER(D30)),"Check amount",IF(D30&lt;0,"Check amount",IF(ISNUMBER(Forecast!$B$2),IF(OR(A30&lt;Forecast!$B$2,A30&gt;=Forecast!$B$2+91),"Outside weeks",""),""))))))</f>
        <v/>
      </c>
    </row>
    <row r="31">
      <c r="A31" s="3" t="n">
        <v>46408</v>
      </c>
      <c r="B31" s="4" t="inlineStr">
        <is>
          <t>Craft fair booth fee</t>
        </is>
      </c>
      <c r="C31" s="4" t="inlineStr">
        <is>
          <t>Out</t>
        </is>
      </c>
      <c r="D31" s="5" t="n">
        <v>220</v>
      </c>
      <c r="E31" s="6">
        <f>IF(AND(A31="",B31="",C31="",D31=""),"",IF(NOT(ISNUMBER(A31)),"Check date",IF(AND(C31&lt;&gt;"In",C31&lt;&gt;"Out"),"Check type",IF(NOT(ISNUMBER(D31)),"Check amount",IF(D31&lt;0,"Check amount",IF(ISNUMBER(Forecast!$B$2),IF(OR(A31&lt;Forecast!$B$2,A31&gt;=Forecast!$B$2+91),"Outside weeks",""),""))))))</f>
        <v/>
      </c>
    </row>
    <row r="32">
      <c r="A32" s="3" t="n">
        <v>46409</v>
      </c>
      <c r="B32" s="4" t="inlineStr">
        <is>
          <t>Client invoice 2043</t>
        </is>
      </c>
      <c r="C32" s="4" t="inlineStr">
        <is>
          <t>In</t>
        </is>
      </c>
      <c r="D32" s="5" t="n">
        <v>1400</v>
      </c>
      <c r="E32" s="6">
        <f>IF(AND(A32="",B32="",C32="",D32=""),"",IF(NOT(ISNUMBER(A32)),"Check date",IF(AND(C32&lt;&gt;"In",C32&lt;&gt;"Out"),"Check type",IF(NOT(ISNUMBER(D32)),"Check amount",IF(D32&lt;0,"Check amount",IF(ISNUMBER(Forecast!$B$2),IF(OR(A32&lt;Forecast!$B$2,A32&gt;=Forecast!$B$2+91),"Outside weeks",""),""))))))</f>
        <v/>
      </c>
    </row>
    <row r="33">
      <c r="A33" s="3" t="n">
        <v>46416</v>
      </c>
      <c r="B33" s="4" t="inlineStr">
        <is>
          <t>Client invoice 2044</t>
        </is>
      </c>
      <c r="C33" s="4" t="inlineStr">
        <is>
          <t>In</t>
        </is>
      </c>
      <c r="D33" s="5" t="n">
        <v>1100</v>
      </c>
      <c r="E33" s="6">
        <f>IF(AND(A33="",B33="",C33="",D33=""),"",IF(NOT(ISNUMBER(A33)),"Check date",IF(AND(C33&lt;&gt;"In",C33&lt;&gt;"Out"),"Check type",IF(NOT(ISNUMBER(D33)),"Check amount",IF(D33&lt;0,"Check amount",IF(ISNUMBER(Forecast!$B$2),IF(OR(A33&lt;Forecast!$B$2,A33&gt;=Forecast!$B$2+91),"Outside weeks",""),""))))))</f>
        <v/>
      </c>
    </row>
    <row r="34">
      <c r="A34" s="3" t="n">
        <v>46416</v>
      </c>
      <c r="B34" s="4" t="inlineStr">
        <is>
          <t>Etsy payout</t>
        </is>
      </c>
      <c r="C34" s="4" t="inlineStr">
        <is>
          <t>In</t>
        </is>
      </c>
      <c r="D34" s="5" t="n">
        <v>300</v>
      </c>
      <c r="E34" s="6">
        <f>IF(AND(A34="",B34="",C34="",D34=""),"",IF(NOT(ISNUMBER(A34)),"Check date",IF(AND(C34&lt;&gt;"In",C34&lt;&gt;"Out"),"Check type",IF(NOT(ISNUMBER(D34)),"Check amount",IF(D34&lt;0,"Check amount",IF(ISNUMBER(Forecast!$B$2),IF(OR(A34&lt;Forecast!$B$2,A34&gt;=Forecast!$B$2+91),"Outside weeks",""),""))))))</f>
        <v/>
      </c>
    </row>
    <row r="35">
      <c r="A35" s="3" t="n"/>
      <c r="B35" s="4" t="n"/>
      <c r="C35" s="4" t="n"/>
      <c r="D35" s="5" t="n"/>
      <c r="E35" s="6">
        <f>IF(AND(A35="",B35="",C35="",D35=""),"",IF(NOT(ISNUMBER(A35)),"Check date",IF(AND(C35&lt;&gt;"In",C35&lt;&gt;"Out"),"Check type",IF(NOT(ISNUMBER(D35)),"Check amount",IF(D35&lt;0,"Check amount",IF(ISNUMBER(Forecast!$B$2),IF(OR(A35&lt;Forecast!$B$2,A35&gt;=Forecast!$B$2+91),"Outside weeks",""),""))))))</f>
        <v/>
      </c>
    </row>
    <row r="36">
      <c r="A36" s="3" t="n"/>
      <c r="B36" s="4" t="n"/>
      <c r="C36" s="4" t="n"/>
      <c r="D36" s="5" t="n"/>
      <c r="E36" s="6">
        <f>IF(AND(A36="",B36="",C36="",D36=""),"",IF(NOT(ISNUMBER(A36)),"Check date",IF(AND(C36&lt;&gt;"In",C36&lt;&gt;"Out"),"Check type",IF(NOT(ISNUMBER(D36)),"Check amount",IF(D36&lt;0,"Check amount",IF(ISNUMBER(Forecast!$B$2),IF(OR(A36&lt;Forecast!$B$2,A36&gt;=Forecast!$B$2+91),"Outside weeks",""),""))))))</f>
        <v/>
      </c>
    </row>
    <row r="37">
      <c r="A37" s="3" t="n"/>
      <c r="B37" s="4" t="n"/>
      <c r="C37" s="4" t="n"/>
      <c r="D37" s="5" t="n"/>
      <c r="E37" s="6">
        <f>IF(AND(A37="",B37="",C37="",D37=""),"",IF(NOT(ISNUMBER(A37)),"Check date",IF(AND(C37&lt;&gt;"In",C37&lt;&gt;"Out"),"Check type",IF(NOT(ISNUMBER(D37)),"Check amount",IF(D37&lt;0,"Check amount",IF(ISNUMBER(Forecast!$B$2),IF(OR(A37&lt;Forecast!$B$2,A37&gt;=Forecast!$B$2+91),"Outside weeks",""),""))))))</f>
        <v/>
      </c>
    </row>
    <row r="38">
      <c r="A38" s="3" t="n"/>
      <c r="B38" s="4" t="n"/>
      <c r="C38" s="4" t="n"/>
      <c r="D38" s="5" t="n"/>
      <c r="E38" s="6">
        <f>IF(AND(A38="",B38="",C38="",D38=""),"",IF(NOT(ISNUMBER(A38)),"Check date",IF(AND(C38&lt;&gt;"In",C38&lt;&gt;"Out"),"Check type",IF(NOT(ISNUMBER(D38)),"Check amount",IF(D38&lt;0,"Check amount",IF(ISNUMBER(Forecast!$B$2),IF(OR(A38&lt;Forecast!$B$2,A38&gt;=Forecast!$B$2+91),"Outside weeks",""),""))))))</f>
        <v/>
      </c>
    </row>
    <row r="39">
      <c r="A39" s="3" t="n"/>
      <c r="B39" s="4" t="n"/>
      <c r="C39" s="4" t="n"/>
      <c r="D39" s="5" t="n"/>
      <c r="E39" s="6">
        <f>IF(AND(A39="",B39="",C39="",D39=""),"",IF(NOT(ISNUMBER(A39)),"Check date",IF(AND(C39&lt;&gt;"In",C39&lt;&gt;"Out"),"Check type",IF(NOT(ISNUMBER(D39)),"Check amount",IF(D39&lt;0,"Check amount",IF(ISNUMBER(Forecast!$B$2),IF(OR(A39&lt;Forecast!$B$2,A39&gt;=Forecast!$B$2+91),"Outside weeks",""),""))))))</f>
        <v/>
      </c>
    </row>
    <row r="40">
      <c r="A40" s="3" t="n"/>
      <c r="B40" s="4" t="n"/>
      <c r="C40" s="4" t="n"/>
      <c r="D40" s="5" t="n"/>
      <c r="E40" s="6">
        <f>IF(AND(A40="",B40="",C40="",D40=""),"",IF(NOT(ISNUMBER(A40)),"Check date",IF(AND(C40&lt;&gt;"In",C40&lt;&gt;"Out"),"Check type",IF(NOT(ISNUMBER(D40)),"Check amount",IF(D40&lt;0,"Check amount",IF(ISNUMBER(Forecast!$B$2),IF(OR(A40&lt;Forecast!$B$2,A40&gt;=Forecast!$B$2+91),"Outside weeks",""),""))))))</f>
        <v/>
      </c>
    </row>
    <row r="41">
      <c r="A41" s="3" t="n"/>
      <c r="B41" s="4" t="n"/>
      <c r="C41" s="4" t="n"/>
      <c r="D41" s="5" t="n"/>
      <c r="E41" s="6">
        <f>IF(AND(A41="",B41="",C41="",D41=""),"",IF(NOT(ISNUMBER(A41)),"Check date",IF(AND(C41&lt;&gt;"In",C41&lt;&gt;"Out"),"Check type",IF(NOT(ISNUMBER(D41)),"Check amount",IF(D41&lt;0,"Check amount",IF(ISNUMBER(Forecast!$B$2),IF(OR(A41&lt;Forecast!$B$2,A41&gt;=Forecast!$B$2+91),"Outside weeks",""),""))))))</f>
        <v/>
      </c>
    </row>
    <row r="42">
      <c r="A42" s="3" t="n"/>
      <c r="B42" s="4" t="n"/>
      <c r="C42" s="4" t="n"/>
      <c r="D42" s="5" t="n"/>
      <c r="E42" s="6">
        <f>IF(AND(A42="",B42="",C42="",D42=""),"",IF(NOT(ISNUMBER(A42)),"Check date",IF(AND(C42&lt;&gt;"In",C42&lt;&gt;"Out"),"Check type",IF(NOT(ISNUMBER(D42)),"Check amount",IF(D42&lt;0,"Check amount",IF(ISNUMBER(Forecast!$B$2),IF(OR(A42&lt;Forecast!$B$2,A42&gt;=Forecast!$B$2+91),"Outside weeks",""),""))))))</f>
        <v/>
      </c>
    </row>
    <row r="43">
      <c r="A43" s="3" t="n"/>
      <c r="B43" s="4" t="n"/>
      <c r="C43" s="4" t="n"/>
      <c r="D43" s="5" t="n"/>
      <c r="E43" s="6">
        <f>IF(AND(A43="",B43="",C43="",D43=""),"",IF(NOT(ISNUMBER(A43)),"Check date",IF(AND(C43&lt;&gt;"In",C43&lt;&gt;"Out"),"Check type",IF(NOT(ISNUMBER(D43)),"Check amount",IF(D43&lt;0,"Check amount",IF(ISNUMBER(Forecast!$B$2),IF(OR(A43&lt;Forecast!$B$2,A43&gt;=Forecast!$B$2+91),"Outside weeks",""),""))))))</f>
        <v/>
      </c>
    </row>
    <row r="44">
      <c r="A44" s="3" t="n"/>
      <c r="B44" s="4" t="n"/>
      <c r="C44" s="4" t="n"/>
      <c r="D44" s="5" t="n"/>
      <c r="E44" s="6">
        <f>IF(AND(A44="",B44="",C44="",D44=""),"",IF(NOT(ISNUMBER(A44)),"Check date",IF(AND(C44&lt;&gt;"In",C44&lt;&gt;"Out"),"Check type",IF(NOT(ISNUMBER(D44)),"Check amount",IF(D44&lt;0,"Check amount",IF(ISNUMBER(Forecast!$B$2),IF(OR(A44&lt;Forecast!$B$2,A44&gt;=Forecast!$B$2+91),"Outside weeks",""),""))))))</f>
        <v/>
      </c>
    </row>
    <row r="45">
      <c r="A45" s="3" t="n"/>
      <c r="B45" s="4" t="n"/>
      <c r="C45" s="4" t="n"/>
      <c r="D45" s="5" t="n"/>
      <c r="E45" s="6">
        <f>IF(AND(A45="",B45="",C45="",D45=""),"",IF(NOT(ISNUMBER(A45)),"Check date",IF(AND(C45&lt;&gt;"In",C45&lt;&gt;"Out"),"Check type",IF(NOT(ISNUMBER(D45)),"Check amount",IF(D45&lt;0,"Check amount",IF(ISNUMBER(Forecast!$B$2),IF(OR(A45&lt;Forecast!$B$2,A45&gt;=Forecast!$B$2+91),"Outside weeks",""),""))))))</f>
        <v/>
      </c>
    </row>
    <row r="46">
      <c r="A46" s="3" t="n"/>
      <c r="B46" s="4" t="n"/>
      <c r="C46" s="4" t="n"/>
      <c r="D46" s="5" t="n"/>
      <c r="E46" s="6">
        <f>IF(AND(A46="",B46="",C46="",D46=""),"",IF(NOT(ISNUMBER(A46)),"Check date",IF(AND(C46&lt;&gt;"In",C46&lt;&gt;"Out"),"Check type",IF(NOT(ISNUMBER(D46)),"Check amount",IF(D46&lt;0,"Check amount",IF(ISNUMBER(Forecast!$B$2),IF(OR(A46&lt;Forecast!$B$2,A46&gt;=Forecast!$B$2+91),"Outside weeks",""),""))))))</f>
        <v/>
      </c>
    </row>
    <row r="47">
      <c r="A47" s="3" t="n"/>
      <c r="B47" s="4" t="n"/>
      <c r="C47" s="4" t="n"/>
      <c r="D47" s="5" t="n"/>
      <c r="E47" s="6">
        <f>IF(AND(A47="",B47="",C47="",D47=""),"",IF(NOT(ISNUMBER(A47)),"Check date",IF(AND(C47&lt;&gt;"In",C47&lt;&gt;"Out"),"Check type",IF(NOT(ISNUMBER(D47)),"Check amount",IF(D47&lt;0,"Check amount",IF(ISNUMBER(Forecast!$B$2),IF(OR(A47&lt;Forecast!$B$2,A47&gt;=Forecast!$B$2+91),"Outside weeks",""),""))))))</f>
        <v/>
      </c>
    </row>
    <row r="48">
      <c r="A48" s="3" t="n"/>
      <c r="B48" s="4" t="n"/>
      <c r="C48" s="4" t="n"/>
      <c r="D48" s="5" t="n"/>
      <c r="E48" s="6">
        <f>IF(AND(A48="",B48="",C48="",D48=""),"",IF(NOT(ISNUMBER(A48)),"Check date",IF(AND(C48&lt;&gt;"In",C48&lt;&gt;"Out"),"Check type",IF(NOT(ISNUMBER(D48)),"Check amount",IF(D48&lt;0,"Check amount",IF(ISNUMBER(Forecast!$B$2),IF(OR(A48&lt;Forecast!$B$2,A48&gt;=Forecast!$B$2+91),"Outside weeks",""),""))))))</f>
        <v/>
      </c>
    </row>
    <row r="49">
      <c r="A49" s="3" t="n"/>
      <c r="B49" s="4" t="n"/>
      <c r="C49" s="4" t="n"/>
      <c r="D49" s="5" t="n"/>
      <c r="E49" s="6">
        <f>IF(AND(A49="",B49="",C49="",D49=""),"",IF(NOT(ISNUMBER(A49)),"Check date",IF(AND(C49&lt;&gt;"In",C49&lt;&gt;"Out"),"Check type",IF(NOT(ISNUMBER(D49)),"Check amount",IF(D49&lt;0,"Check amount",IF(ISNUMBER(Forecast!$B$2),IF(OR(A49&lt;Forecast!$B$2,A49&gt;=Forecast!$B$2+91),"Outside weeks",""),""))))))</f>
        <v/>
      </c>
    </row>
    <row r="50">
      <c r="A50" s="3" t="n"/>
      <c r="B50" s="4" t="n"/>
      <c r="C50" s="4" t="n"/>
      <c r="D50" s="5" t="n"/>
      <c r="E50" s="6">
        <f>IF(AND(A50="",B50="",C50="",D50=""),"",IF(NOT(ISNUMBER(A50)),"Check date",IF(AND(C50&lt;&gt;"In",C50&lt;&gt;"Out"),"Check type",IF(NOT(ISNUMBER(D50)),"Check amount",IF(D50&lt;0,"Check amount",IF(ISNUMBER(Forecast!$B$2),IF(OR(A50&lt;Forecast!$B$2,A50&gt;=Forecast!$B$2+91),"Outside weeks",""),""))))))</f>
        <v/>
      </c>
    </row>
    <row r="51">
      <c r="A51" s="3" t="n"/>
      <c r="B51" s="4" t="n"/>
      <c r="C51" s="4" t="n"/>
      <c r="D51" s="5" t="n"/>
      <c r="E51" s="6">
        <f>IF(AND(A51="",B51="",C51="",D51=""),"",IF(NOT(ISNUMBER(A51)),"Check date",IF(AND(C51&lt;&gt;"In",C51&lt;&gt;"Out"),"Check type",IF(NOT(ISNUMBER(D51)),"Check amount",IF(D51&lt;0,"Check amount",IF(ISNUMBER(Forecast!$B$2),IF(OR(A51&lt;Forecast!$B$2,A51&gt;=Forecast!$B$2+91),"Outside weeks",""),""))))))</f>
        <v/>
      </c>
    </row>
    <row r="52">
      <c r="A52" s="3" t="n"/>
      <c r="B52" s="4" t="n"/>
      <c r="C52" s="4" t="n"/>
      <c r="D52" s="5" t="n"/>
      <c r="E52" s="6">
        <f>IF(AND(A52="",B52="",C52="",D52=""),"",IF(NOT(ISNUMBER(A52)),"Check date",IF(AND(C52&lt;&gt;"In",C52&lt;&gt;"Out"),"Check type",IF(NOT(ISNUMBER(D52)),"Check amount",IF(D52&lt;0,"Check amount",IF(ISNUMBER(Forecast!$B$2),IF(OR(A52&lt;Forecast!$B$2,A52&gt;=Forecast!$B$2+91),"Outside weeks",""),""))))))</f>
        <v/>
      </c>
    </row>
    <row r="53">
      <c r="A53" s="3" t="n"/>
      <c r="B53" s="4" t="n"/>
      <c r="C53" s="4" t="n"/>
      <c r="D53" s="5" t="n"/>
      <c r="E53" s="6">
        <f>IF(AND(A53="",B53="",C53="",D53=""),"",IF(NOT(ISNUMBER(A53)),"Check date",IF(AND(C53&lt;&gt;"In",C53&lt;&gt;"Out"),"Check type",IF(NOT(ISNUMBER(D53)),"Check amount",IF(D53&lt;0,"Check amount",IF(ISNUMBER(Forecast!$B$2),IF(OR(A53&lt;Forecast!$B$2,A53&gt;=Forecast!$B$2+91),"Outside weeks",""),""))))))</f>
        <v/>
      </c>
    </row>
    <row r="54">
      <c r="A54" s="3" t="n"/>
      <c r="B54" s="4" t="n"/>
      <c r="C54" s="4" t="n"/>
      <c r="D54" s="5" t="n"/>
      <c r="E54" s="6">
        <f>IF(AND(A54="",B54="",C54="",D54=""),"",IF(NOT(ISNUMBER(A54)),"Check date",IF(AND(C54&lt;&gt;"In",C54&lt;&gt;"Out"),"Check type",IF(NOT(ISNUMBER(D54)),"Check amount",IF(D54&lt;0,"Check amount",IF(ISNUMBER(Forecast!$B$2),IF(OR(A54&lt;Forecast!$B$2,A54&gt;=Forecast!$B$2+91),"Outside weeks",""),""))))))</f>
        <v/>
      </c>
    </row>
    <row r="55">
      <c r="A55" s="3" t="n"/>
      <c r="B55" s="4" t="n"/>
      <c r="C55" s="4" t="n"/>
      <c r="D55" s="5" t="n"/>
      <c r="E55" s="6">
        <f>IF(AND(A55="",B55="",C55="",D55=""),"",IF(NOT(ISNUMBER(A55)),"Check date",IF(AND(C55&lt;&gt;"In",C55&lt;&gt;"Out"),"Check type",IF(NOT(ISNUMBER(D55)),"Check amount",IF(D55&lt;0,"Check amount",IF(ISNUMBER(Forecast!$B$2),IF(OR(A55&lt;Forecast!$B$2,A55&gt;=Forecast!$B$2+91),"Outside weeks",""),""))))))</f>
        <v/>
      </c>
    </row>
    <row r="56">
      <c r="A56" s="3" t="n"/>
      <c r="B56" s="4" t="n"/>
      <c r="C56" s="4" t="n"/>
      <c r="D56" s="5" t="n"/>
      <c r="E56" s="6">
        <f>IF(AND(A56="",B56="",C56="",D56=""),"",IF(NOT(ISNUMBER(A56)),"Check date",IF(AND(C56&lt;&gt;"In",C56&lt;&gt;"Out"),"Check type",IF(NOT(ISNUMBER(D56)),"Check amount",IF(D56&lt;0,"Check amount",IF(ISNUMBER(Forecast!$B$2),IF(OR(A56&lt;Forecast!$B$2,A56&gt;=Forecast!$B$2+91),"Outside weeks",""),""))))))</f>
        <v/>
      </c>
    </row>
    <row r="57">
      <c r="A57" s="3" t="n"/>
      <c r="B57" s="4" t="n"/>
      <c r="C57" s="4" t="n"/>
      <c r="D57" s="5" t="n"/>
      <c r="E57" s="6">
        <f>IF(AND(A57="",B57="",C57="",D57=""),"",IF(NOT(ISNUMBER(A57)),"Check date",IF(AND(C57&lt;&gt;"In",C57&lt;&gt;"Out"),"Check type",IF(NOT(ISNUMBER(D57)),"Check amount",IF(D57&lt;0,"Check amount",IF(ISNUMBER(Forecast!$B$2),IF(OR(A57&lt;Forecast!$B$2,A57&gt;=Forecast!$B$2+91),"Outside weeks",""),""))))))</f>
        <v/>
      </c>
    </row>
    <row r="58">
      <c r="A58" s="3" t="n"/>
      <c r="B58" s="4" t="n"/>
      <c r="C58" s="4" t="n"/>
      <c r="D58" s="5" t="n"/>
      <c r="E58" s="6">
        <f>IF(AND(A58="",B58="",C58="",D58=""),"",IF(NOT(ISNUMBER(A58)),"Check date",IF(AND(C58&lt;&gt;"In",C58&lt;&gt;"Out"),"Check type",IF(NOT(ISNUMBER(D58)),"Check amount",IF(D58&lt;0,"Check amount",IF(ISNUMBER(Forecast!$B$2),IF(OR(A58&lt;Forecast!$B$2,A58&gt;=Forecast!$B$2+91),"Outside weeks",""),""))))))</f>
        <v/>
      </c>
    </row>
    <row r="59">
      <c r="A59" s="3" t="n"/>
      <c r="B59" s="4" t="n"/>
      <c r="C59" s="4" t="n"/>
      <c r="D59" s="5" t="n"/>
      <c r="E59" s="6">
        <f>IF(AND(A59="",B59="",C59="",D59=""),"",IF(NOT(ISNUMBER(A59)),"Check date",IF(AND(C59&lt;&gt;"In",C59&lt;&gt;"Out"),"Check type",IF(NOT(ISNUMBER(D59)),"Check amount",IF(D59&lt;0,"Check amount",IF(ISNUMBER(Forecast!$B$2),IF(OR(A59&lt;Forecast!$B$2,A59&gt;=Forecast!$B$2+91),"Outside weeks",""),""))))))</f>
        <v/>
      </c>
    </row>
    <row r="60">
      <c r="A60" s="3" t="n"/>
      <c r="B60" s="4" t="n"/>
      <c r="C60" s="4" t="n"/>
      <c r="D60" s="5" t="n"/>
      <c r="E60" s="6">
        <f>IF(AND(A60="",B60="",C60="",D60=""),"",IF(NOT(ISNUMBER(A60)),"Check date",IF(AND(C60&lt;&gt;"In",C60&lt;&gt;"Out"),"Check type",IF(NOT(ISNUMBER(D60)),"Check amount",IF(D60&lt;0,"Check amount",IF(ISNUMBER(Forecast!$B$2),IF(OR(A60&lt;Forecast!$B$2,A60&gt;=Forecast!$B$2+91),"Outside weeks",""),""))))))</f>
        <v/>
      </c>
    </row>
    <row r="61">
      <c r="A61" s="3" t="n"/>
      <c r="B61" s="4" t="n"/>
      <c r="C61" s="4" t="n"/>
      <c r="D61" s="5" t="n"/>
      <c r="E61" s="6">
        <f>IF(AND(A61="",B61="",C61="",D61=""),"",IF(NOT(ISNUMBER(A61)),"Check date",IF(AND(C61&lt;&gt;"In",C61&lt;&gt;"Out"),"Check type",IF(NOT(ISNUMBER(D61)),"Check amount",IF(D61&lt;0,"Check amount",IF(ISNUMBER(Forecast!$B$2),IF(OR(A61&lt;Forecast!$B$2,A61&gt;=Forecast!$B$2+91),"Outside weeks",""),""))))))</f>
        <v/>
      </c>
    </row>
    <row r="62">
      <c r="A62" s="3" t="n"/>
      <c r="B62" s="4" t="n"/>
      <c r="C62" s="4" t="n"/>
      <c r="D62" s="5" t="n"/>
      <c r="E62" s="6">
        <f>IF(AND(A62="",B62="",C62="",D62=""),"",IF(NOT(ISNUMBER(A62)),"Check date",IF(AND(C62&lt;&gt;"In",C62&lt;&gt;"Out"),"Check type",IF(NOT(ISNUMBER(D62)),"Check amount",IF(D62&lt;0,"Check amount",IF(ISNUMBER(Forecast!$B$2),IF(OR(A62&lt;Forecast!$B$2,A62&gt;=Forecast!$B$2+91),"Outside weeks",""),""))))))</f>
        <v/>
      </c>
    </row>
    <row r="63">
      <c r="A63" s="3" t="n"/>
      <c r="B63" s="4" t="n"/>
      <c r="C63" s="4" t="n"/>
      <c r="D63" s="5" t="n"/>
      <c r="E63" s="6">
        <f>IF(AND(A63="",B63="",C63="",D63=""),"",IF(NOT(ISNUMBER(A63)),"Check date",IF(AND(C63&lt;&gt;"In",C63&lt;&gt;"Out"),"Check type",IF(NOT(ISNUMBER(D63)),"Check amount",IF(D63&lt;0,"Check amount",IF(ISNUMBER(Forecast!$B$2),IF(OR(A63&lt;Forecast!$B$2,A63&gt;=Forecast!$B$2+91),"Outside weeks",""),""))))))</f>
        <v/>
      </c>
    </row>
    <row r="64">
      <c r="A64" s="3" t="n"/>
      <c r="B64" s="4" t="n"/>
      <c r="C64" s="4" t="n"/>
      <c r="D64" s="5" t="n"/>
      <c r="E64" s="6">
        <f>IF(AND(A64="",B64="",C64="",D64=""),"",IF(NOT(ISNUMBER(A64)),"Check date",IF(AND(C64&lt;&gt;"In",C64&lt;&gt;"Out"),"Check type",IF(NOT(ISNUMBER(D64)),"Check amount",IF(D64&lt;0,"Check amount",IF(ISNUMBER(Forecast!$B$2),IF(OR(A64&lt;Forecast!$B$2,A64&gt;=Forecast!$B$2+91),"Outside weeks",""),""))))))</f>
        <v/>
      </c>
    </row>
    <row r="65">
      <c r="A65" s="3" t="n"/>
      <c r="B65" s="4" t="n"/>
      <c r="C65" s="4" t="n"/>
      <c r="D65" s="5" t="n"/>
      <c r="E65" s="6">
        <f>IF(AND(A65="",B65="",C65="",D65=""),"",IF(NOT(ISNUMBER(A65)),"Check date",IF(AND(C65&lt;&gt;"In",C65&lt;&gt;"Out"),"Check type",IF(NOT(ISNUMBER(D65)),"Check amount",IF(D65&lt;0,"Check amount",IF(ISNUMBER(Forecast!$B$2),IF(OR(A65&lt;Forecast!$B$2,A65&gt;=Forecast!$B$2+91),"Outside weeks",""),""))))))</f>
        <v/>
      </c>
    </row>
    <row r="66">
      <c r="A66" s="3" t="n"/>
      <c r="B66" s="4" t="n"/>
      <c r="C66" s="4" t="n"/>
      <c r="D66" s="5" t="n"/>
      <c r="E66" s="6">
        <f>IF(AND(A66="",B66="",C66="",D66=""),"",IF(NOT(ISNUMBER(A66)),"Check date",IF(AND(C66&lt;&gt;"In",C66&lt;&gt;"Out"),"Check type",IF(NOT(ISNUMBER(D66)),"Check amount",IF(D66&lt;0,"Check amount",IF(ISNUMBER(Forecast!$B$2),IF(OR(A66&lt;Forecast!$B$2,A66&gt;=Forecast!$B$2+91),"Outside weeks",""),""))))))</f>
        <v/>
      </c>
    </row>
    <row r="67">
      <c r="A67" s="3" t="n"/>
      <c r="B67" s="4" t="n"/>
      <c r="C67" s="4" t="n"/>
      <c r="D67" s="5" t="n"/>
      <c r="E67" s="6">
        <f>IF(AND(A67="",B67="",C67="",D67=""),"",IF(NOT(ISNUMBER(A67)),"Check date",IF(AND(C67&lt;&gt;"In",C67&lt;&gt;"Out"),"Check type",IF(NOT(ISNUMBER(D67)),"Check amount",IF(D67&lt;0,"Check amount",IF(ISNUMBER(Forecast!$B$2),IF(OR(A67&lt;Forecast!$B$2,A67&gt;=Forecast!$B$2+91),"Outside weeks",""),""))))))</f>
        <v/>
      </c>
    </row>
    <row r="68">
      <c r="A68" s="3" t="n"/>
      <c r="B68" s="4" t="n"/>
      <c r="C68" s="4" t="n"/>
      <c r="D68" s="5" t="n"/>
      <c r="E68" s="6">
        <f>IF(AND(A68="",B68="",C68="",D68=""),"",IF(NOT(ISNUMBER(A68)),"Check date",IF(AND(C68&lt;&gt;"In",C68&lt;&gt;"Out"),"Check type",IF(NOT(ISNUMBER(D68)),"Check amount",IF(D68&lt;0,"Check amount",IF(ISNUMBER(Forecast!$B$2),IF(OR(A68&lt;Forecast!$B$2,A68&gt;=Forecast!$B$2+91),"Outside weeks",""),""))))))</f>
        <v/>
      </c>
    </row>
    <row r="69">
      <c r="A69" s="3" t="n"/>
      <c r="B69" s="4" t="n"/>
      <c r="C69" s="4" t="n"/>
      <c r="D69" s="5" t="n"/>
      <c r="E69" s="6">
        <f>IF(AND(A69="",B69="",C69="",D69=""),"",IF(NOT(ISNUMBER(A69)),"Check date",IF(AND(C69&lt;&gt;"In",C69&lt;&gt;"Out"),"Check type",IF(NOT(ISNUMBER(D69)),"Check amount",IF(D69&lt;0,"Check amount",IF(ISNUMBER(Forecast!$B$2),IF(OR(A69&lt;Forecast!$B$2,A69&gt;=Forecast!$B$2+91),"Outside weeks",""),""))))))</f>
        <v/>
      </c>
    </row>
    <row r="70">
      <c r="A70" s="3" t="n"/>
      <c r="B70" s="4" t="n"/>
      <c r="C70" s="4" t="n"/>
      <c r="D70" s="5" t="n"/>
      <c r="E70" s="6">
        <f>IF(AND(A70="",B70="",C70="",D70=""),"",IF(NOT(ISNUMBER(A70)),"Check date",IF(AND(C70&lt;&gt;"In",C70&lt;&gt;"Out"),"Check type",IF(NOT(ISNUMBER(D70)),"Check amount",IF(D70&lt;0,"Check amount",IF(ISNUMBER(Forecast!$B$2),IF(OR(A70&lt;Forecast!$B$2,A70&gt;=Forecast!$B$2+91),"Outside weeks",""),""))))))</f>
        <v/>
      </c>
    </row>
    <row r="71">
      <c r="A71" s="3" t="n"/>
      <c r="B71" s="4" t="n"/>
      <c r="C71" s="4" t="n"/>
      <c r="D71" s="5" t="n"/>
      <c r="E71" s="6">
        <f>IF(AND(A71="",B71="",C71="",D71=""),"",IF(NOT(ISNUMBER(A71)),"Check date",IF(AND(C71&lt;&gt;"In",C71&lt;&gt;"Out"),"Check type",IF(NOT(ISNUMBER(D71)),"Check amount",IF(D71&lt;0,"Check amount",IF(ISNUMBER(Forecast!$B$2),IF(OR(A71&lt;Forecast!$B$2,A71&gt;=Forecast!$B$2+91),"Outside weeks",""),""))))))</f>
        <v/>
      </c>
    </row>
    <row r="72">
      <c r="A72" s="3" t="n"/>
      <c r="B72" s="4" t="n"/>
      <c r="C72" s="4" t="n"/>
      <c r="D72" s="5" t="n"/>
      <c r="E72" s="6">
        <f>IF(AND(A72="",B72="",C72="",D72=""),"",IF(NOT(ISNUMBER(A72)),"Check date",IF(AND(C72&lt;&gt;"In",C72&lt;&gt;"Out"),"Check type",IF(NOT(ISNUMBER(D72)),"Check amount",IF(D72&lt;0,"Check amount",IF(ISNUMBER(Forecast!$B$2),IF(OR(A72&lt;Forecast!$B$2,A72&gt;=Forecast!$B$2+91),"Outside weeks",""),""))))))</f>
        <v/>
      </c>
    </row>
    <row r="73">
      <c r="A73" s="3" t="n"/>
      <c r="B73" s="4" t="n"/>
      <c r="C73" s="4" t="n"/>
      <c r="D73" s="5" t="n"/>
      <c r="E73" s="6">
        <f>IF(AND(A73="",B73="",C73="",D73=""),"",IF(NOT(ISNUMBER(A73)),"Check date",IF(AND(C73&lt;&gt;"In",C73&lt;&gt;"Out"),"Check type",IF(NOT(ISNUMBER(D73)),"Check amount",IF(D73&lt;0,"Check amount",IF(ISNUMBER(Forecast!$B$2),IF(OR(A73&lt;Forecast!$B$2,A73&gt;=Forecast!$B$2+91),"Outside weeks",""),""))))))</f>
        <v/>
      </c>
    </row>
    <row r="74">
      <c r="A74" s="3" t="n"/>
      <c r="B74" s="4" t="n"/>
      <c r="C74" s="4" t="n"/>
      <c r="D74" s="5" t="n"/>
      <c r="E74" s="6">
        <f>IF(AND(A74="",B74="",C74="",D74=""),"",IF(NOT(ISNUMBER(A74)),"Check date",IF(AND(C74&lt;&gt;"In",C74&lt;&gt;"Out"),"Check type",IF(NOT(ISNUMBER(D74)),"Check amount",IF(D74&lt;0,"Check amount",IF(ISNUMBER(Forecast!$B$2),IF(OR(A74&lt;Forecast!$B$2,A74&gt;=Forecast!$B$2+91),"Outside weeks",""),""))))))</f>
        <v/>
      </c>
    </row>
    <row r="75">
      <c r="A75" s="3" t="n"/>
      <c r="B75" s="4" t="n"/>
      <c r="C75" s="4" t="n"/>
      <c r="D75" s="5" t="n"/>
      <c r="E75" s="6">
        <f>IF(AND(A75="",B75="",C75="",D75=""),"",IF(NOT(ISNUMBER(A75)),"Check date",IF(AND(C75&lt;&gt;"In",C75&lt;&gt;"Out"),"Check type",IF(NOT(ISNUMBER(D75)),"Check amount",IF(D75&lt;0,"Check amount",IF(ISNUMBER(Forecast!$B$2),IF(OR(A75&lt;Forecast!$B$2,A75&gt;=Forecast!$B$2+91),"Outside weeks",""),""))))))</f>
        <v/>
      </c>
    </row>
    <row r="76">
      <c r="A76" s="3" t="n"/>
      <c r="B76" s="4" t="n"/>
      <c r="C76" s="4" t="n"/>
      <c r="D76" s="5" t="n"/>
      <c r="E76" s="6">
        <f>IF(AND(A76="",B76="",C76="",D76=""),"",IF(NOT(ISNUMBER(A76)),"Check date",IF(AND(C76&lt;&gt;"In",C76&lt;&gt;"Out"),"Check type",IF(NOT(ISNUMBER(D76)),"Check amount",IF(D76&lt;0,"Check amount",IF(ISNUMBER(Forecast!$B$2),IF(OR(A76&lt;Forecast!$B$2,A76&gt;=Forecast!$B$2+91),"Outside weeks",""),""))))))</f>
        <v/>
      </c>
    </row>
    <row r="77">
      <c r="A77" s="3" t="n"/>
      <c r="B77" s="4" t="n"/>
      <c r="C77" s="4" t="n"/>
      <c r="D77" s="5" t="n"/>
      <c r="E77" s="6">
        <f>IF(AND(A77="",B77="",C77="",D77=""),"",IF(NOT(ISNUMBER(A77)),"Check date",IF(AND(C77&lt;&gt;"In",C77&lt;&gt;"Out"),"Check type",IF(NOT(ISNUMBER(D77)),"Check amount",IF(D77&lt;0,"Check amount",IF(ISNUMBER(Forecast!$B$2),IF(OR(A77&lt;Forecast!$B$2,A77&gt;=Forecast!$B$2+91),"Outside weeks",""),""))))))</f>
        <v/>
      </c>
    </row>
    <row r="78">
      <c r="A78" s="3" t="n"/>
      <c r="B78" s="4" t="n"/>
      <c r="C78" s="4" t="n"/>
      <c r="D78" s="5" t="n"/>
      <c r="E78" s="6">
        <f>IF(AND(A78="",B78="",C78="",D78=""),"",IF(NOT(ISNUMBER(A78)),"Check date",IF(AND(C78&lt;&gt;"In",C78&lt;&gt;"Out"),"Check type",IF(NOT(ISNUMBER(D78)),"Check amount",IF(D78&lt;0,"Check amount",IF(ISNUMBER(Forecast!$B$2),IF(OR(A78&lt;Forecast!$B$2,A78&gt;=Forecast!$B$2+91),"Outside weeks",""),""))))))</f>
        <v/>
      </c>
    </row>
    <row r="79">
      <c r="A79" s="3" t="n"/>
      <c r="B79" s="4" t="n"/>
      <c r="C79" s="4" t="n"/>
      <c r="D79" s="5" t="n"/>
      <c r="E79" s="6">
        <f>IF(AND(A79="",B79="",C79="",D79=""),"",IF(NOT(ISNUMBER(A79)),"Check date",IF(AND(C79&lt;&gt;"In",C79&lt;&gt;"Out"),"Check type",IF(NOT(ISNUMBER(D79)),"Check amount",IF(D79&lt;0,"Check amount",IF(ISNUMBER(Forecast!$B$2),IF(OR(A79&lt;Forecast!$B$2,A79&gt;=Forecast!$B$2+91),"Outside weeks",""),""))))))</f>
        <v/>
      </c>
    </row>
    <row r="80">
      <c r="A80" s="3" t="n"/>
      <c r="B80" s="4" t="n"/>
      <c r="C80" s="4" t="n"/>
      <c r="D80" s="5" t="n"/>
      <c r="E80" s="6">
        <f>IF(AND(A80="",B80="",C80="",D80=""),"",IF(NOT(ISNUMBER(A80)),"Check date",IF(AND(C80&lt;&gt;"In",C80&lt;&gt;"Out"),"Check type",IF(NOT(ISNUMBER(D80)),"Check amount",IF(D80&lt;0,"Check amount",IF(ISNUMBER(Forecast!$B$2),IF(OR(A80&lt;Forecast!$B$2,A80&gt;=Forecast!$B$2+91),"Outside weeks",""),""))))))</f>
        <v/>
      </c>
    </row>
    <row r="81">
      <c r="A81" s="3" t="n"/>
      <c r="B81" s="4" t="n"/>
      <c r="C81" s="4" t="n"/>
      <c r="D81" s="5" t="n"/>
      <c r="E81" s="6">
        <f>IF(AND(A81="",B81="",C81="",D81=""),"",IF(NOT(ISNUMBER(A81)),"Check date",IF(AND(C81&lt;&gt;"In",C81&lt;&gt;"Out"),"Check type",IF(NOT(ISNUMBER(D81)),"Check amount",IF(D81&lt;0,"Check amount",IF(ISNUMBER(Forecast!$B$2),IF(OR(A81&lt;Forecast!$B$2,A81&gt;=Forecast!$B$2+91),"Outside weeks",""),""))))))</f>
        <v/>
      </c>
    </row>
    <row r="82">
      <c r="A82" s="3" t="n"/>
      <c r="B82" s="4" t="n"/>
      <c r="C82" s="4" t="n"/>
      <c r="D82" s="5" t="n"/>
      <c r="E82" s="6">
        <f>IF(AND(A82="",B82="",C82="",D82=""),"",IF(NOT(ISNUMBER(A82)),"Check date",IF(AND(C82&lt;&gt;"In",C82&lt;&gt;"Out"),"Check type",IF(NOT(ISNUMBER(D82)),"Check amount",IF(D82&lt;0,"Check amount",IF(ISNUMBER(Forecast!$B$2),IF(OR(A82&lt;Forecast!$B$2,A82&gt;=Forecast!$B$2+91),"Outside weeks",""),""))))))</f>
        <v/>
      </c>
    </row>
    <row r="83">
      <c r="A83" s="3" t="n"/>
      <c r="B83" s="4" t="n"/>
      <c r="C83" s="4" t="n"/>
      <c r="D83" s="5" t="n"/>
      <c r="E83" s="6">
        <f>IF(AND(A83="",B83="",C83="",D83=""),"",IF(NOT(ISNUMBER(A83)),"Check date",IF(AND(C83&lt;&gt;"In",C83&lt;&gt;"Out"),"Check type",IF(NOT(ISNUMBER(D83)),"Check amount",IF(D83&lt;0,"Check amount",IF(ISNUMBER(Forecast!$B$2),IF(OR(A83&lt;Forecast!$B$2,A83&gt;=Forecast!$B$2+91),"Outside weeks",""),""))))))</f>
        <v/>
      </c>
    </row>
    <row r="84">
      <c r="A84" s="3" t="n"/>
      <c r="B84" s="4" t="n"/>
      <c r="C84" s="4" t="n"/>
      <c r="D84" s="5" t="n"/>
      <c r="E84" s="6">
        <f>IF(AND(A84="",B84="",C84="",D84=""),"",IF(NOT(ISNUMBER(A84)),"Check date",IF(AND(C84&lt;&gt;"In",C84&lt;&gt;"Out"),"Check type",IF(NOT(ISNUMBER(D84)),"Check amount",IF(D84&lt;0,"Check amount",IF(ISNUMBER(Forecast!$B$2),IF(OR(A84&lt;Forecast!$B$2,A84&gt;=Forecast!$B$2+91),"Outside weeks",""),""))))))</f>
        <v/>
      </c>
    </row>
    <row r="85">
      <c r="A85" s="3" t="n"/>
      <c r="B85" s="4" t="n"/>
      <c r="C85" s="4" t="n"/>
      <c r="D85" s="5" t="n"/>
      <c r="E85" s="6">
        <f>IF(AND(A85="",B85="",C85="",D85=""),"",IF(NOT(ISNUMBER(A85)),"Check date",IF(AND(C85&lt;&gt;"In",C85&lt;&gt;"Out"),"Check type",IF(NOT(ISNUMBER(D85)),"Check amount",IF(D85&lt;0,"Check amount",IF(ISNUMBER(Forecast!$B$2),IF(OR(A85&lt;Forecast!$B$2,A85&gt;=Forecast!$B$2+91),"Outside weeks",""),""))))))</f>
        <v/>
      </c>
    </row>
    <row r="86">
      <c r="A86" s="3" t="n"/>
      <c r="B86" s="4" t="n"/>
      <c r="C86" s="4" t="n"/>
      <c r="D86" s="5" t="n"/>
      <c r="E86" s="6">
        <f>IF(AND(A86="",B86="",C86="",D86=""),"",IF(NOT(ISNUMBER(A86)),"Check date",IF(AND(C86&lt;&gt;"In",C86&lt;&gt;"Out"),"Check type",IF(NOT(ISNUMBER(D86)),"Check amount",IF(D86&lt;0,"Check amount",IF(ISNUMBER(Forecast!$B$2),IF(OR(A86&lt;Forecast!$B$2,A86&gt;=Forecast!$B$2+91),"Outside weeks",""),""))))))</f>
        <v/>
      </c>
    </row>
    <row r="87">
      <c r="A87" s="3" t="n"/>
      <c r="B87" s="4" t="n"/>
      <c r="C87" s="4" t="n"/>
      <c r="D87" s="5" t="n"/>
      <c r="E87" s="6">
        <f>IF(AND(A87="",B87="",C87="",D87=""),"",IF(NOT(ISNUMBER(A87)),"Check date",IF(AND(C87&lt;&gt;"In",C87&lt;&gt;"Out"),"Check type",IF(NOT(ISNUMBER(D87)),"Check amount",IF(D87&lt;0,"Check amount",IF(ISNUMBER(Forecast!$B$2),IF(OR(A87&lt;Forecast!$B$2,A87&gt;=Forecast!$B$2+91),"Outside weeks",""),""))))))</f>
        <v/>
      </c>
    </row>
    <row r="88">
      <c r="A88" s="3" t="n"/>
      <c r="B88" s="4" t="n"/>
      <c r="C88" s="4" t="n"/>
      <c r="D88" s="5" t="n"/>
      <c r="E88" s="6">
        <f>IF(AND(A88="",B88="",C88="",D88=""),"",IF(NOT(ISNUMBER(A88)),"Check date",IF(AND(C88&lt;&gt;"In",C88&lt;&gt;"Out"),"Check type",IF(NOT(ISNUMBER(D88)),"Check amount",IF(D88&lt;0,"Check amount",IF(ISNUMBER(Forecast!$B$2),IF(OR(A88&lt;Forecast!$B$2,A88&gt;=Forecast!$B$2+91),"Outside weeks",""),""))))))</f>
        <v/>
      </c>
    </row>
    <row r="89">
      <c r="A89" s="3" t="n"/>
      <c r="B89" s="4" t="n"/>
      <c r="C89" s="4" t="n"/>
      <c r="D89" s="5" t="n"/>
      <c r="E89" s="6">
        <f>IF(AND(A89="",B89="",C89="",D89=""),"",IF(NOT(ISNUMBER(A89)),"Check date",IF(AND(C89&lt;&gt;"In",C89&lt;&gt;"Out"),"Check type",IF(NOT(ISNUMBER(D89)),"Check amount",IF(D89&lt;0,"Check amount",IF(ISNUMBER(Forecast!$B$2),IF(OR(A89&lt;Forecast!$B$2,A89&gt;=Forecast!$B$2+91),"Outside weeks",""),""))))))</f>
        <v/>
      </c>
    </row>
    <row r="90">
      <c r="A90" s="3" t="n"/>
      <c r="B90" s="4" t="n"/>
      <c r="C90" s="4" t="n"/>
      <c r="D90" s="5" t="n"/>
      <c r="E90" s="6">
        <f>IF(AND(A90="",B90="",C90="",D90=""),"",IF(NOT(ISNUMBER(A90)),"Check date",IF(AND(C90&lt;&gt;"In",C90&lt;&gt;"Out"),"Check type",IF(NOT(ISNUMBER(D90)),"Check amount",IF(D90&lt;0,"Check amount",IF(ISNUMBER(Forecast!$B$2),IF(OR(A90&lt;Forecast!$B$2,A90&gt;=Forecast!$B$2+91),"Outside weeks",""),""))))))</f>
        <v/>
      </c>
    </row>
    <row r="91">
      <c r="A91" s="3" t="n"/>
      <c r="B91" s="4" t="n"/>
      <c r="C91" s="4" t="n"/>
      <c r="D91" s="5" t="n"/>
      <c r="E91" s="6">
        <f>IF(AND(A91="",B91="",C91="",D91=""),"",IF(NOT(ISNUMBER(A91)),"Check date",IF(AND(C91&lt;&gt;"In",C91&lt;&gt;"Out"),"Check type",IF(NOT(ISNUMBER(D91)),"Check amount",IF(D91&lt;0,"Check amount",IF(ISNUMBER(Forecast!$B$2),IF(OR(A91&lt;Forecast!$B$2,A91&gt;=Forecast!$B$2+91),"Outside weeks",""),""))))))</f>
        <v/>
      </c>
    </row>
    <row r="92">
      <c r="A92" s="3" t="n"/>
      <c r="B92" s="4" t="n"/>
      <c r="C92" s="4" t="n"/>
      <c r="D92" s="5" t="n"/>
      <c r="E92" s="6">
        <f>IF(AND(A92="",B92="",C92="",D92=""),"",IF(NOT(ISNUMBER(A92)),"Check date",IF(AND(C92&lt;&gt;"In",C92&lt;&gt;"Out"),"Check type",IF(NOT(ISNUMBER(D92)),"Check amount",IF(D92&lt;0,"Check amount",IF(ISNUMBER(Forecast!$B$2),IF(OR(A92&lt;Forecast!$B$2,A92&gt;=Forecast!$B$2+91),"Outside weeks",""),""))))))</f>
        <v/>
      </c>
    </row>
    <row r="93">
      <c r="A93" s="3" t="n"/>
      <c r="B93" s="4" t="n"/>
      <c r="C93" s="4" t="n"/>
      <c r="D93" s="5" t="n"/>
      <c r="E93" s="6">
        <f>IF(AND(A93="",B93="",C93="",D93=""),"",IF(NOT(ISNUMBER(A93)),"Check date",IF(AND(C93&lt;&gt;"In",C93&lt;&gt;"Out"),"Check type",IF(NOT(ISNUMBER(D93)),"Check amount",IF(D93&lt;0,"Check amount",IF(ISNUMBER(Forecast!$B$2),IF(OR(A93&lt;Forecast!$B$2,A93&gt;=Forecast!$B$2+91),"Outside weeks",""),""))))))</f>
        <v/>
      </c>
    </row>
    <row r="94">
      <c r="A94" s="3" t="n"/>
      <c r="B94" s="4" t="n"/>
      <c r="C94" s="4" t="n"/>
      <c r="D94" s="5" t="n"/>
      <c r="E94" s="6">
        <f>IF(AND(A94="",B94="",C94="",D94=""),"",IF(NOT(ISNUMBER(A94)),"Check date",IF(AND(C94&lt;&gt;"In",C94&lt;&gt;"Out"),"Check type",IF(NOT(ISNUMBER(D94)),"Check amount",IF(D94&lt;0,"Check amount",IF(ISNUMBER(Forecast!$B$2),IF(OR(A94&lt;Forecast!$B$2,A94&gt;=Forecast!$B$2+91),"Outside weeks",""),""))))))</f>
        <v/>
      </c>
    </row>
    <row r="95">
      <c r="A95" s="3" t="n"/>
      <c r="B95" s="4" t="n"/>
      <c r="C95" s="4" t="n"/>
      <c r="D95" s="5" t="n"/>
      <c r="E95" s="6">
        <f>IF(AND(A95="",B95="",C95="",D95=""),"",IF(NOT(ISNUMBER(A95)),"Check date",IF(AND(C95&lt;&gt;"In",C95&lt;&gt;"Out"),"Check type",IF(NOT(ISNUMBER(D95)),"Check amount",IF(D95&lt;0,"Check amount",IF(ISNUMBER(Forecast!$B$2),IF(OR(A95&lt;Forecast!$B$2,A95&gt;=Forecast!$B$2+91),"Outside weeks",""),""))))))</f>
        <v/>
      </c>
    </row>
    <row r="96">
      <c r="A96" s="3" t="n"/>
      <c r="B96" s="4" t="n"/>
      <c r="C96" s="4" t="n"/>
      <c r="D96" s="5" t="n"/>
      <c r="E96" s="6">
        <f>IF(AND(A96="",B96="",C96="",D96=""),"",IF(NOT(ISNUMBER(A96)),"Check date",IF(AND(C96&lt;&gt;"In",C96&lt;&gt;"Out"),"Check type",IF(NOT(ISNUMBER(D96)),"Check amount",IF(D96&lt;0,"Check amount",IF(ISNUMBER(Forecast!$B$2),IF(OR(A96&lt;Forecast!$B$2,A96&gt;=Forecast!$B$2+91),"Outside weeks",""),""))))))</f>
        <v/>
      </c>
    </row>
    <row r="97">
      <c r="A97" s="3" t="n"/>
      <c r="B97" s="4" t="n"/>
      <c r="C97" s="4" t="n"/>
      <c r="D97" s="5" t="n"/>
      <c r="E97" s="6">
        <f>IF(AND(A97="",B97="",C97="",D97=""),"",IF(NOT(ISNUMBER(A97)),"Check date",IF(AND(C97&lt;&gt;"In",C97&lt;&gt;"Out"),"Check type",IF(NOT(ISNUMBER(D97)),"Check amount",IF(D97&lt;0,"Check amount",IF(ISNUMBER(Forecast!$B$2),IF(OR(A97&lt;Forecast!$B$2,A97&gt;=Forecast!$B$2+91),"Outside weeks",""),""))))))</f>
        <v/>
      </c>
    </row>
    <row r="98">
      <c r="A98" s="3" t="n"/>
      <c r="B98" s="4" t="n"/>
      <c r="C98" s="4" t="n"/>
      <c r="D98" s="5" t="n"/>
      <c r="E98" s="6">
        <f>IF(AND(A98="",B98="",C98="",D98=""),"",IF(NOT(ISNUMBER(A98)),"Check date",IF(AND(C98&lt;&gt;"In",C98&lt;&gt;"Out"),"Check type",IF(NOT(ISNUMBER(D98)),"Check amount",IF(D98&lt;0,"Check amount",IF(ISNUMBER(Forecast!$B$2),IF(OR(A98&lt;Forecast!$B$2,A98&gt;=Forecast!$B$2+91),"Outside weeks",""),""))))))</f>
        <v/>
      </c>
    </row>
    <row r="99">
      <c r="A99" s="3" t="n"/>
      <c r="B99" s="4" t="n"/>
      <c r="C99" s="4" t="n"/>
      <c r="D99" s="5" t="n"/>
      <c r="E99" s="6">
        <f>IF(AND(A99="",B99="",C99="",D99=""),"",IF(NOT(ISNUMBER(A99)),"Check date",IF(AND(C99&lt;&gt;"In",C99&lt;&gt;"Out"),"Check type",IF(NOT(ISNUMBER(D99)),"Check amount",IF(D99&lt;0,"Check amount",IF(ISNUMBER(Forecast!$B$2),IF(OR(A99&lt;Forecast!$B$2,A99&gt;=Forecast!$B$2+91),"Outside weeks",""),""))))))</f>
        <v/>
      </c>
    </row>
    <row r="100">
      <c r="A100" s="3" t="n"/>
      <c r="B100" s="4" t="n"/>
      <c r="C100" s="4" t="n"/>
      <c r="D100" s="5" t="n"/>
      <c r="E100" s="6">
        <f>IF(AND(A100="",B100="",C100="",D100=""),"",IF(NOT(ISNUMBER(A100)),"Check date",IF(AND(C100&lt;&gt;"In",C100&lt;&gt;"Out"),"Check type",IF(NOT(ISNUMBER(D100)),"Check amount",IF(D100&lt;0,"Check amount",IF(ISNUMBER(Forecast!$B$2),IF(OR(A100&lt;Forecast!$B$2,A100&gt;=Forecast!$B$2+91),"Outside weeks",""),""))))))</f>
        <v/>
      </c>
    </row>
    <row r="101">
      <c r="A101" s="3" t="n"/>
      <c r="B101" s="4" t="n"/>
      <c r="C101" s="4" t="n"/>
      <c r="D101" s="5" t="n"/>
      <c r="E101" s="6">
        <f>IF(AND(A101="",B101="",C101="",D101=""),"",IF(NOT(ISNUMBER(A101)),"Check date",IF(AND(C101&lt;&gt;"In",C101&lt;&gt;"Out"),"Check type",IF(NOT(ISNUMBER(D101)),"Check amount",IF(D101&lt;0,"Check amount",IF(ISNUMBER(Forecast!$B$2),IF(OR(A101&lt;Forecast!$B$2,A101&gt;=Forecast!$B$2+91),"Outside weeks",""),""))))))</f>
        <v/>
      </c>
    </row>
    <row r="102">
      <c r="A102" s="3" t="n"/>
      <c r="B102" s="4" t="n"/>
      <c r="C102" s="4" t="n"/>
      <c r="D102" s="5" t="n"/>
      <c r="E102" s="6">
        <f>IF(AND(A102="",B102="",C102="",D102=""),"",IF(NOT(ISNUMBER(A102)),"Check date",IF(AND(C102&lt;&gt;"In",C102&lt;&gt;"Out"),"Check type",IF(NOT(ISNUMBER(D102)),"Check amount",IF(D102&lt;0,"Check amount",IF(ISNUMBER(Forecast!$B$2),IF(OR(A102&lt;Forecast!$B$2,A102&gt;=Forecast!$B$2+91),"Outside weeks",""),""))))))</f>
        <v/>
      </c>
    </row>
    <row r="103">
      <c r="A103" s="3" t="n"/>
      <c r="B103" s="4" t="n"/>
      <c r="C103" s="4" t="n"/>
      <c r="D103" s="5" t="n"/>
      <c r="E103" s="6">
        <f>IF(AND(A103="",B103="",C103="",D103=""),"",IF(NOT(ISNUMBER(A103)),"Check date",IF(AND(C103&lt;&gt;"In",C103&lt;&gt;"Out"),"Check type",IF(NOT(ISNUMBER(D103)),"Check amount",IF(D103&lt;0,"Check amount",IF(ISNUMBER(Forecast!$B$2),IF(OR(A103&lt;Forecast!$B$2,A103&gt;=Forecast!$B$2+91),"Outside weeks",""),""))))))</f>
        <v/>
      </c>
    </row>
    <row r="104">
      <c r="A104" s="3" t="n"/>
      <c r="B104" s="4" t="n"/>
      <c r="C104" s="4" t="n"/>
      <c r="D104" s="5" t="n"/>
      <c r="E104" s="6">
        <f>IF(AND(A104="",B104="",C104="",D104=""),"",IF(NOT(ISNUMBER(A104)),"Check date",IF(AND(C104&lt;&gt;"In",C104&lt;&gt;"Out"),"Check type",IF(NOT(ISNUMBER(D104)),"Check amount",IF(D104&lt;0,"Check amount",IF(ISNUMBER(Forecast!$B$2),IF(OR(A104&lt;Forecast!$B$2,A104&gt;=Forecast!$B$2+91),"Outside weeks",""),""))))))</f>
        <v/>
      </c>
    </row>
  </sheetData>
  <conditionalFormatting sqref="A5:E104">
    <cfRule type="expression" priority="1" dxfId="0">
      <formula>LEFT($E5,5)="Check"</formula>
    </cfRule>
    <cfRule type="expression" priority="2" dxfId="1">
      <formula>$E5="Outside weeks"</formula>
    </cfRule>
  </conditionalFormatting>
  <dataValidations count="1">
    <dataValidation sqref="C5:C104" showDropDown="0" showInputMessage="0" showErrorMessage="0" allowBlank="1" type="list">
      <formula1>"In,Out"</formula1>
    </dataValidation>
  </dataValidations>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J19"/>
  <sheetViews>
    <sheetView workbookViewId="0">
      <pane ySplit="5" topLeftCell="A6" activePane="bottomLeft" state="frozen"/>
      <selection pane="bottomLeft"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6" customWidth="1" min="6" max="6"/>
    <col width="13" customWidth="1" min="7" max="7"/>
    <col width="3" customWidth="1" min="8" max="8"/>
    <col width="44" customWidth="1" min="9" max="9"/>
    <col width="16" customWidth="1" min="10" max="10"/>
  </cols>
  <sheetData>
    <row r="1">
      <c r="A1" s="7" t="inlineStr">
        <is>
          <t>Opening balance</t>
        </is>
      </c>
      <c r="B1" s="5" t="n">
        <v>2400</v>
      </c>
      <c r="I1" s="7" t="inlineStr">
        <is>
          <t>Lowest ending balance</t>
        </is>
      </c>
      <c r="J1" s="8">
        <f>IF(COUNT(F6:F18)=0,"n/a",MIN(F6:F18))</f>
        <v/>
      </c>
    </row>
    <row r="2" ht="30" customHeight="1">
      <c r="A2" s="7" t="inlineStr">
        <is>
          <t>First Monday</t>
        </is>
      </c>
      <c r="B2" s="3" t="n">
        <v>46328</v>
      </c>
      <c r="C2" s="6">
        <f>IF(ISNUMBER(B2),TEXT(B2,"dddd"),"Type a date")</f>
        <v/>
      </c>
      <c r="I2" s="9" t="inlineStr">
        <is>
          <t>Week that lowest balance begins</t>
        </is>
      </c>
      <c r="J2" s="10">
        <f>IF(COUNT(F6:F18)=0,"n/a",INDEX(A6:A18,MATCH(MIN(F6:F18),F6:F18,0)))</f>
        <v/>
      </c>
    </row>
    <row r="3">
      <c r="A3" s="7" t="inlineStr">
        <is>
          <t>Low-balance line</t>
        </is>
      </c>
      <c r="B3" s="5" t="n">
        <v>500</v>
      </c>
      <c r="I3" s="7" t="inlineStr">
        <is>
          <t>Weeks below the line</t>
        </is>
      </c>
      <c r="J3" s="11">
        <f>COUNTIF(G6:G18,"Below line")</f>
        <v/>
      </c>
    </row>
    <row r="4">
      <c r="A4" s="1" t="inlineStr">
        <is>
          <t>The low-balance line is a number you pick. It is not advice.</t>
        </is>
      </c>
      <c r="I4" s="7" t="inlineStr">
        <is>
          <t>Ending balance after week 13</t>
        </is>
      </c>
      <c r="J4" s="8">
        <f>IF(ISNUMBER(F18),F18,"n/a")</f>
        <v/>
      </c>
    </row>
    <row r="5" ht="32" customHeight="1">
      <c r="A5" s="2" t="inlineStr">
        <is>
          <t>Week starts</t>
        </is>
      </c>
      <c r="B5" s="2" t="inlineStr">
        <is>
          <t>Week ends</t>
        </is>
      </c>
      <c r="C5" s="2" t="inlineStr">
        <is>
          <t>Money in</t>
        </is>
      </c>
      <c r="D5" s="2" t="inlineStr">
        <is>
          <t>Money out</t>
        </is>
      </c>
      <c r="E5" s="2" t="inlineStr">
        <is>
          <t>Net</t>
        </is>
      </c>
      <c r="F5" s="2" t="inlineStr">
        <is>
          <t>Ending balance</t>
        </is>
      </c>
      <c r="G5" s="2" t="inlineStr">
        <is>
          <t>Flag</t>
        </is>
      </c>
      <c r="I5" s="7" t="inlineStr">
        <is>
          <t>Items dated outside the 13 weeks</t>
        </is>
      </c>
      <c r="J5" s="11">
        <f>IF(ISNUMBER(B2),COUNTIFS(Items!$A$5:$A$104,"&lt;"&amp;B2)+COUNTIFS(Items!$A$5:$A$104,"&gt;="&amp;B2+91),0)</f>
        <v/>
      </c>
    </row>
    <row r="6">
      <c r="A6" s="10">
        <f>IF(ISNUMBER($B$2),$B$2+7*(ROWS($A$6:A6)-1),"")</f>
        <v/>
      </c>
      <c r="B6" s="10">
        <f>IF(A6="","",A6+6)</f>
        <v/>
      </c>
      <c r="C6" s="8">
        <f>IF(A6="","",SUMIFS(Items!$D$5:$D$104,Items!$C$5:$C$104,"In",Items!$A$5:$A$104,"&gt;="&amp;A6,Items!$A$5:$A$104,"&lt;"&amp;A6+7))</f>
        <v/>
      </c>
      <c r="D6" s="8">
        <f>IF(A6="","",SUMIFS(Items!$D$5:$D$104,Items!$C$5:$C$104,"Out",Items!$A$5:$A$104,"&gt;="&amp;A6,Items!$A$5:$A$104,"&lt;"&amp;A6+7))</f>
        <v/>
      </c>
      <c r="E6" s="8">
        <f>IF(A6="","",ROUND(C6-D6,2))</f>
        <v/>
      </c>
      <c r="F6" s="8">
        <f>IF(OR(A6="",NOT(ISNUMBER($B$1))),"",ROUND(IF(ROWS($A$6:A6)=1,$B$1,F5)+E6,2))</f>
        <v/>
      </c>
      <c r="G6" s="12">
        <f>IF(OR(F6="",NOT(ISNUMBER($B$3))),"",IF(F6&lt;$B$3,"Below line",""))</f>
        <v/>
      </c>
      <c r="I6" s="7" t="inlineStr">
        <is>
          <t>Item rows to fix (date, type or amount)</t>
        </is>
      </c>
      <c r="J6" s="11">
        <f>SUMPRODUCT(--(LEFT(Items!$E$5:$E$104,5)="Check"))</f>
        <v/>
      </c>
    </row>
    <row r="7" ht="32" customHeight="1">
      <c r="A7" s="10">
        <f>IF(ISNUMBER($B$2),$B$2+7*(ROWS($A$6:A7)-1),"")</f>
        <v/>
      </c>
      <c r="B7" s="10">
        <f>IF(A7="","",A7+6)</f>
        <v/>
      </c>
      <c r="C7" s="8">
        <f>IF(A7="","",SUMIFS(Items!$D$5:$D$104,Items!$C$5:$C$104,"In",Items!$A$5:$A$104,"&gt;="&amp;A7,Items!$A$5:$A$104,"&lt;"&amp;A7+7))</f>
        <v/>
      </c>
      <c r="D7" s="8">
        <f>IF(A7="","",SUMIFS(Items!$D$5:$D$104,Items!$C$5:$C$104,"Out",Items!$A$5:$A$104,"&gt;="&amp;A7,Items!$A$5:$A$104,"&lt;"&amp;A7+7))</f>
        <v/>
      </c>
      <c r="E7" s="8">
        <f>IF(A7="","",ROUND(C7-D7,2))</f>
        <v/>
      </c>
      <c r="F7" s="8">
        <f>IF(OR(A7="",NOT(ISNUMBER($B$1))),"",ROUND(IF(ROWS($A$6:A7)=1,$B$1,F6)+E7,2))</f>
        <v/>
      </c>
      <c r="G7" s="12">
        <f>IF(OR(F7="",NOT(ISNUMBER($B$3))),"",IF(F7&lt;$B$3,"Below line",""))</f>
        <v/>
      </c>
      <c r="I7" s="9" t="inlineStr">
        <is>
          <t>Check: ending balance matches opening + in - out, nothing to fix</t>
        </is>
      </c>
      <c r="J7" s="12">
        <f>IF(NOT(AND(ISNUMBER(B1),ISNUMBER(B2),ISNUMBER(B3))),"Check",IF(AND(ROUND(B1+SUM(C6:C18)-SUM(D6:D18)-F18,2)=0,J5=0,J6=0,COUNTA(Items!A105:D500)=0),"OK","Check"))</f>
        <v/>
      </c>
    </row>
    <row r="8">
      <c r="A8" s="10">
        <f>IF(ISNUMBER($B$2),$B$2+7*(ROWS($A$6:A8)-1),"")</f>
        <v/>
      </c>
      <c r="B8" s="10">
        <f>IF(A8="","",A8+6)</f>
        <v/>
      </c>
      <c r="C8" s="8">
        <f>IF(A8="","",SUMIFS(Items!$D$5:$D$104,Items!$C$5:$C$104,"In",Items!$A$5:$A$104,"&gt;="&amp;A8,Items!$A$5:$A$104,"&lt;"&amp;A8+7))</f>
        <v/>
      </c>
      <c r="D8" s="8">
        <f>IF(A8="","",SUMIFS(Items!$D$5:$D$104,Items!$C$5:$C$104,"Out",Items!$A$5:$A$104,"&gt;="&amp;A8,Items!$A$5:$A$104,"&lt;"&amp;A8+7))</f>
        <v/>
      </c>
      <c r="E8" s="8">
        <f>IF(A8="","",ROUND(C8-D8,2))</f>
        <v/>
      </c>
      <c r="F8" s="8">
        <f>IF(OR(A8="",NOT(ISNUMBER($B$1))),"",ROUND(IF(ROWS($A$6:A8)=1,$B$1,F7)+E8,2))</f>
        <v/>
      </c>
      <c r="G8" s="12">
        <f>IF(OR(F8="",NOT(ISNUMBER($B$3))),"",IF(F8&lt;$B$3,"Below line",""))</f>
        <v/>
      </c>
    </row>
    <row r="9">
      <c r="A9" s="10">
        <f>IF(ISNUMBER($B$2),$B$2+7*(ROWS($A$6:A9)-1),"")</f>
        <v/>
      </c>
      <c r="B9" s="10">
        <f>IF(A9="","",A9+6)</f>
        <v/>
      </c>
      <c r="C9" s="8">
        <f>IF(A9="","",SUMIFS(Items!$D$5:$D$104,Items!$C$5:$C$104,"In",Items!$A$5:$A$104,"&gt;="&amp;A9,Items!$A$5:$A$104,"&lt;"&amp;A9+7))</f>
        <v/>
      </c>
      <c r="D9" s="8">
        <f>IF(A9="","",SUMIFS(Items!$D$5:$D$104,Items!$C$5:$C$104,"Out",Items!$A$5:$A$104,"&gt;="&amp;A9,Items!$A$5:$A$104,"&lt;"&amp;A9+7))</f>
        <v/>
      </c>
      <c r="E9" s="8">
        <f>IF(A9="","",ROUND(C9-D9,2))</f>
        <v/>
      </c>
      <c r="F9" s="8">
        <f>IF(OR(A9="",NOT(ISNUMBER($B$1))),"",ROUND(IF(ROWS($A$6:A9)=1,$B$1,F8)+E9,2))</f>
        <v/>
      </c>
      <c r="G9" s="12">
        <f>IF(OR(F9="",NOT(ISNUMBER($B$3))),"",IF(F9&lt;$B$3,"Below line",""))</f>
        <v/>
      </c>
    </row>
    <row r="10">
      <c r="A10" s="10">
        <f>IF(ISNUMBER($B$2),$B$2+7*(ROWS($A$6:A10)-1),"")</f>
        <v/>
      </c>
      <c r="B10" s="10">
        <f>IF(A10="","",A10+6)</f>
        <v/>
      </c>
      <c r="C10" s="8">
        <f>IF(A10="","",SUMIFS(Items!$D$5:$D$104,Items!$C$5:$C$104,"In",Items!$A$5:$A$104,"&gt;="&amp;A10,Items!$A$5:$A$104,"&lt;"&amp;A10+7))</f>
        <v/>
      </c>
      <c r="D10" s="8">
        <f>IF(A10="","",SUMIFS(Items!$D$5:$D$104,Items!$C$5:$C$104,"Out",Items!$A$5:$A$104,"&gt;="&amp;A10,Items!$A$5:$A$104,"&lt;"&amp;A10+7))</f>
        <v/>
      </c>
      <c r="E10" s="8">
        <f>IF(A10="","",ROUND(C10-D10,2))</f>
        <v/>
      </c>
      <c r="F10" s="8">
        <f>IF(OR(A10="",NOT(ISNUMBER($B$1))),"",ROUND(IF(ROWS($A$6:A10)=1,$B$1,F9)+E10,2))</f>
        <v/>
      </c>
      <c r="G10" s="12">
        <f>IF(OR(F10="",NOT(ISNUMBER($B$3))),"",IF(F10&lt;$B$3,"Below line",""))</f>
        <v/>
      </c>
    </row>
    <row r="11">
      <c r="A11" s="10">
        <f>IF(ISNUMBER($B$2),$B$2+7*(ROWS($A$6:A11)-1),"")</f>
        <v/>
      </c>
      <c r="B11" s="10">
        <f>IF(A11="","",A11+6)</f>
        <v/>
      </c>
      <c r="C11" s="8">
        <f>IF(A11="","",SUMIFS(Items!$D$5:$D$104,Items!$C$5:$C$104,"In",Items!$A$5:$A$104,"&gt;="&amp;A11,Items!$A$5:$A$104,"&lt;"&amp;A11+7))</f>
        <v/>
      </c>
      <c r="D11" s="8">
        <f>IF(A11="","",SUMIFS(Items!$D$5:$D$104,Items!$C$5:$C$104,"Out",Items!$A$5:$A$104,"&gt;="&amp;A11,Items!$A$5:$A$104,"&lt;"&amp;A11+7))</f>
        <v/>
      </c>
      <c r="E11" s="8">
        <f>IF(A11="","",ROUND(C11-D11,2))</f>
        <v/>
      </c>
      <c r="F11" s="8">
        <f>IF(OR(A11="",NOT(ISNUMBER($B$1))),"",ROUND(IF(ROWS($A$6:A11)=1,$B$1,F10)+E11,2))</f>
        <v/>
      </c>
      <c r="G11" s="12">
        <f>IF(OR(F11="",NOT(ISNUMBER($B$3))),"",IF(F11&lt;$B$3,"Below line",""))</f>
        <v/>
      </c>
    </row>
    <row r="12">
      <c r="A12" s="10">
        <f>IF(ISNUMBER($B$2),$B$2+7*(ROWS($A$6:A12)-1),"")</f>
        <v/>
      </c>
      <c r="B12" s="10">
        <f>IF(A12="","",A12+6)</f>
        <v/>
      </c>
      <c r="C12" s="8">
        <f>IF(A12="","",SUMIFS(Items!$D$5:$D$104,Items!$C$5:$C$104,"In",Items!$A$5:$A$104,"&gt;="&amp;A12,Items!$A$5:$A$104,"&lt;"&amp;A12+7))</f>
        <v/>
      </c>
      <c r="D12" s="8">
        <f>IF(A12="","",SUMIFS(Items!$D$5:$D$104,Items!$C$5:$C$104,"Out",Items!$A$5:$A$104,"&gt;="&amp;A12,Items!$A$5:$A$104,"&lt;"&amp;A12+7))</f>
        <v/>
      </c>
      <c r="E12" s="8">
        <f>IF(A12="","",ROUND(C12-D12,2))</f>
        <v/>
      </c>
      <c r="F12" s="8">
        <f>IF(OR(A12="",NOT(ISNUMBER($B$1))),"",ROUND(IF(ROWS($A$6:A12)=1,$B$1,F11)+E12,2))</f>
        <v/>
      </c>
      <c r="G12" s="12">
        <f>IF(OR(F12="",NOT(ISNUMBER($B$3))),"",IF(F12&lt;$B$3,"Below line",""))</f>
        <v/>
      </c>
    </row>
    <row r="13">
      <c r="A13" s="10">
        <f>IF(ISNUMBER($B$2),$B$2+7*(ROWS($A$6:A13)-1),"")</f>
        <v/>
      </c>
      <c r="B13" s="10">
        <f>IF(A13="","",A13+6)</f>
        <v/>
      </c>
      <c r="C13" s="8">
        <f>IF(A13="","",SUMIFS(Items!$D$5:$D$104,Items!$C$5:$C$104,"In",Items!$A$5:$A$104,"&gt;="&amp;A13,Items!$A$5:$A$104,"&lt;"&amp;A13+7))</f>
        <v/>
      </c>
      <c r="D13" s="8">
        <f>IF(A13="","",SUMIFS(Items!$D$5:$D$104,Items!$C$5:$C$104,"Out",Items!$A$5:$A$104,"&gt;="&amp;A13,Items!$A$5:$A$104,"&lt;"&amp;A13+7))</f>
        <v/>
      </c>
      <c r="E13" s="8">
        <f>IF(A13="","",ROUND(C13-D13,2))</f>
        <v/>
      </c>
      <c r="F13" s="8">
        <f>IF(OR(A13="",NOT(ISNUMBER($B$1))),"",ROUND(IF(ROWS($A$6:A13)=1,$B$1,F12)+E13,2))</f>
        <v/>
      </c>
      <c r="G13" s="12">
        <f>IF(OR(F13="",NOT(ISNUMBER($B$3))),"",IF(F13&lt;$B$3,"Below line",""))</f>
        <v/>
      </c>
    </row>
    <row r="14">
      <c r="A14" s="10">
        <f>IF(ISNUMBER($B$2),$B$2+7*(ROWS($A$6:A14)-1),"")</f>
        <v/>
      </c>
      <c r="B14" s="10">
        <f>IF(A14="","",A14+6)</f>
        <v/>
      </c>
      <c r="C14" s="8">
        <f>IF(A14="","",SUMIFS(Items!$D$5:$D$104,Items!$C$5:$C$104,"In",Items!$A$5:$A$104,"&gt;="&amp;A14,Items!$A$5:$A$104,"&lt;"&amp;A14+7))</f>
        <v/>
      </c>
      <c r="D14" s="8">
        <f>IF(A14="","",SUMIFS(Items!$D$5:$D$104,Items!$C$5:$C$104,"Out",Items!$A$5:$A$104,"&gt;="&amp;A14,Items!$A$5:$A$104,"&lt;"&amp;A14+7))</f>
        <v/>
      </c>
      <c r="E14" s="8">
        <f>IF(A14="","",ROUND(C14-D14,2))</f>
        <v/>
      </c>
      <c r="F14" s="8">
        <f>IF(OR(A14="",NOT(ISNUMBER($B$1))),"",ROUND(IF(ROWS($A$6:A14)=1,$B$1,F13)+E14,2))</f>
        <v/>
      </c>
      <c r="G14" s="12">
        <f>IF(OR(F14="",NOT(ISNUMBER($B$3))),"",IF(F14&lt;$B$3,"Below line",""))</f>
        <v/>
      </c>
    </row>
    <row r="15">
      <c r="A15" s="10">
        <f>IF(ISNUMBER($B$2),$B$2+7*(ROWS($A$6:A15)-1),"")</f>
        <v/>
      </c>
      <c r="B15" s="10">
        <f>IF(A15="","",A15+6)</f>
        <v/>
      </c>
      <c r="C15" s="8">
        <f>IF(A15="","",SUMIFS(Items!$D$5:$D$104,Items!$C$5:$C$104,"In",Items!$A$5:$A$104,"&gt;="&amp;A15,Items!$A$5:$A$104,"&lt;"&amp;A15+7))</f>
        <v/>
      </c>
      <c r="D15" s="8">
        <f>IF(A15="","",SUMIFS(Items!$D$5:$D$104,Items!$C$5:$C$104,"Out",Items!$A$5:$A$104,"&gt;="&amp;A15,Items!$A$5:$A$104,"&lt;"&amp;A15+7))</f>
        <v/>
      </c>
      <c r="E15" s="8">
        <f>IF(A15="","",ROUND(C15-D15,2))</f>
        <v/>
      </c>
      <c r="F15" s="8">
        <f>IF(OR(A15="",NOT(ISNUMBER($B$1))),"",ROUND(IF(ROWS($A$6:A15)=1,$B$1,F14)+E15,2))</f>
        <v/>
      </c>
      <c r="G15" s="12">
        <f>IF(OR(F15="",NOT(ISNUMBER($B$3))),"",IF(F15&lt;$B$3,"Below line",""))</f>
        <v/>
      </c>
    </row>
    <row r="16">
      <c r="A16" s="10">
        <f>IF(ISNUMBER($B$2),$B$2+7*(ROWS($A$6:A16)-1),"")</f>
        <v/>
      </c>
      <c r="B16" s="10">
        <f>IF(A16="","",A16+6)</f>
        <v/>
      </c>
      <c r="C16" s="8">
        <f>IF(A16="","",SUMIFS(Items!$D$5:$D$104,Items!$C$5:$C$104,"In",Items!$A$5:$A$104,"&gt;="&amp;A16,Items!$A$5:$A$104,"&lt;"&amp;A16+7))</f>
        <v/>
      </c>
      <c r="D16" s="8">
        <f>IF(A16="","",SUMIFS(Items!$D$5:$D$104,Items!$C$5:$C$104,"Out",Items!$A$5:$A$104,"&gt;="&amp;A16,Items!$A$5:$A$104,"&lt;"&amp;A16+7))</f>
        <v/>
      </c>
      <c r="E16" s="8">
        <f>IF(A16="","",ROUND(C16-D16,2))</f>
        <v/>
      </c>
      <c r="F16" s="8">
        <f>IF(OR(A16="",NOT(ISNUMBER($B$1))),"",ROUND(IF(ROWS($A$6:A16)=1,$B$1,F15)+E16,2))</f>
        <v/>
      </c>
      <c r="G16" s="12">
        <f>IF(OR(F16="",NOT(ISNUMBER($B$3))),"",IF(F16&lt;$B$3,"Below line",""))</f>
        <v/>
      </c>
    </row>
    <row r="17">
      <c r="A17" s="10">
        <f>IF(ISNUMBER($B$2),$B$2+7*(ROWS($A$6:A17)-1),"")</f>
        <v/>
      </c>
      <c r="B17" s="10">
        <f>IF(A17="","",A17+6)</f>
        <v/>
      </c>
      <c r="C17" s="8">
        <f>IF(A17="","",SUMIFS(Items!$D$5:$D$104,Items!$C$5:$C$104,"In",Items!$A$5:$A$104,"&gt;="&amp;A17,Items!$A$5:$A$104,"&lt;"&amp;A17+7))</f>
        <v/>
      </c>
      <c r="D17" s="8">
        <f>IF(A17="","",SUMIFS(Items!$D$5:$D$104,Items!$C$5:$C$104,"Out",Items!$A$5:$A$104,"&gt;="&amp;A17,Items!$A$5:$A$104,"&lt;"&amp;A17+7))</f>
        <v/>
      </c>
      <c r="E17" s="8">
        <f>IF(A17="","",ROUND(C17-D17,2))</f>
        <v/>
      </c>
      <c r="F17" s="8">
        <f>IF(OR(A17="",NOT(ISNUMBER($B$1))),"",ROUND(IF(ROWS($A$6:A17)=1,$B$1,F16)+E17,2))</f>
        <v/>
      </c>
      <c r="G17" s="12">
        <f>IF(OR(F17="",NOT(ISNUMBER($B$3))),"",IF(F17&lt;$B$3,"Below line",""))</f>
        <v/>
      </c>
    </row>
    <row r="18">
      <c r="A18" s="10">
        <f>IF(ISNUMBER($B$2),$B$2+7*(ROWS($A$6:A18)-1),"")</f>
        <v/>
      </c>
      <c r="B18" s="10">
        <f>IF(A18="","",A18+6)</f>
        <v/>
      </c>
      <c r="C18" s="8">
        <f>IF(A18="","",SUMIFS(Items!$D$5:$D$104,Items!$C$5:$C$104,"In",Items!$A$5:$A$104,"&gt;="&amp;A18,Items!$A$5:$A$104,"&lt;"&amp;A18+7))</f>
        <v/>
      </c>
      <c r="D18" s="8">
        <f>IF(A18="","",SUMIFS(Items!$D$5:$D$104,Items!$C$5:$C$104,"Out",Items!$A$5:$A$104,"&gt;="&amp;A18,Items!$A$5:$A$104,"&lt;"&amp;A18+7))</f>
        <v/>
      </c>
      <c r="E18" s="8">
        <f>IF(A18="","",ROUND(C18-D18,2))</f>
        <v/>
      </c>
      <c r="F18" s="8">
        <f>IF(OR(A18="",NOT(ISNUMBER($B$1))),"",ROUND(IF(ROWS($A$6:A18)=1,$B$1,F17)+E18,2))</f>
        <v/>
      </c>
      <c r="G18" s="12">
        <f>IF(OR(F18="",NOT(ISNUMBER($B$3))),"",IF(F18&lt;$B$3,"Below line",""))</f>
        <v/>
      </c>
    </row>
    <row r="19">
      <c r="A19" s="13" t="inlineStr">
        <is>
          <t>Total</t>
        </is>
      </c>
      <c r="B19" s="12" t="n"/>
      <c r="C19" s="8">
        <f>IF(COUNT(C6:C18)=0,"",ROUND(SUM(C6:C18),2))</f>
        <v/>
      </c>
      <c r="D19" s="8">
        <f>IF(COUNT(D6:D18)=0,"",ROUND(SUM(D6:D18),2))</f>
        <v/>
      </c>
      <c r="E19" s="8">
        <f>IF(COUNT(E6:E18)=0,"",ROUND(SUM(E6:E18),2))</f>
        <v/>
      </c>
      <c r="F19" s="12" t="n"/>
      <c r="G19" s="12" t="n"/>
    </row>
  </sheetData>
  <conditionalFormatting sqref="A6:G18">
    <cfRule type="expression" priority="1" dxfId="0">
      <formula>$G6="Below line"</formula>
    </cfRule>
  </conditionalFormatting>
  <conditionalFormatting sqref="J7">
    <cfRule type="expression" priority="2" dxfId="0">
      <formula>AND($J$7&lt;&gt;"OK",$J$7&lt;&gt;"")</formula>
    </cfRule>
  </conditionalFormatting>
  <dataValidations count="1">
    <dataValidation sqref="B2" showDropDown="0" showInputMessage="0" showErrorMessage="0" allowBlank="0" type="date" operator="greaterThan">
      <formula1>36526</formula1>
    </dataValidation>
  </dataValidation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14" t="inlineStr">
        <is>
          <t>Tidy Tabs: Weekly Cash Flow Forecast with the Lowest Balance</t>
        </is>
      </c>
    </row>
    <row r="2">
      <c r="A2" s="15" t="inlineStr"/>
    </row>
    <row r="3">
      <c r="A3" s="15" t="inlineStr">
        <is>
          <t>1. Items tab: one row per expected payment in A5:D104 (yellow): date, description, Type (In or Out) and Amount. Type the amount as a positive number; the Type column says which way the money goes. The sample is 30 fictional items.</t>
        </is>
      </c>
    </row>
    <row r="4">
      <c r="A4" s="15" t="inlineStr">
        <is>
          <t>2. Forecast tab: type the opening balance in B1, the first Monday in B2 and a low-balance line in B3 (all yellow). The line is a number you choose, not advice. The sample uses $2,400.00, 11/02/2026 and $500.00. If B2 is not a Monday, the weeks still run 7 days from that date.</t>
        </is>
      </c>
    </row>
    <row r="5">
      <c r="A5" s="15" t="inlineStr">
        <is>
          <t>3. Week starts, A6: =IF(ISNUMBER($B$2),$B$2+7*(ROWS($A$6:A6)-1),""). ROWS counts 1, 2, 3 ... down the table, so each row starts 7 days after the one above. Week ends, B6: =A6+6.</t>
        </is>
      </c>
    </row>
    <row r="6">
      <c r="A6" s="15" t="inlineStr">
        <is>
          <t>4. Money in, C6: =SUMIFS(Items!$D$5:$D$104,Items!$C$5:$C$104,"In",Items!$A$5:$A$104,"&gt;="&amp;A6,Items!$A$5:$A$104,"&lt;"&amp;A6+7). It adds amounts typed In whose date is on or after the week start and before the next week start, so every day belongs to exactly one week. Money out, D6, is the same with "Out".</t>
        </is>
      </c>
    </row>
    <row r="7">
      <c r="A7" s="15" t="inlineStr">
        <is>
          <t>5. Net, E6: =ROUND(C6-D6,2). Ending balance, F6: the opening balance (first row) or the row above, plus the week's net. The first row reads B1 directly, so the header text is never used. Flag, G6: Below line when the ending balance is under B3.</t>
        </is>
      </c>
    </row>
    <row r="8">
      <c r="A8" s="15" t="inlineStr">
        <is>
          <t>6. Summary, I1:J7: the lowest ending balance =MIN(F6:F18), the week it begins =INDEX(A6:A18,MATCH(MIN(F6:F18),F6:F18,0)) (the first week if two weeks tie), weeks below the line, the balance after week 13, items outside the 13 weeks, and item rows to fix.</t>
        </is>
      </c>
    </row>
    <row r="9">
      <c r="A9" s="15" t="inlineStr">
        <is>
          <t>7. Items column E (Row check) shows Check date, Check type, Check amount or Outside weeks. Check type means the Type cell is not exactly In or Out (capital letters do not matter, a trailing space does). A negative amount, a text amount and a text date show Check. An item outside the 13 weeks is not in any week.</t>
        </is>
      </c>
    </row>
    <row r="10">
      <c r="A10" s="15" t="inlineStr">
        <is>
          <t>8. J7 shows OK when the ending balance equals the opening balance plus total in minus total out, no item is outside the 13 weeks, no item row needs fixing and nothing is typed below row 104.</t>
        </is>
      </c>
    </row>
    <row r="11">
      <c r="A11" s="15" t="inlineStr">
        <is>
          <t>9. The forecast is only as good as the dates and amounts you type. It gives no financial, tax or lending advice.</t>
        </is>
      </c>
    </row>
    <row r="12">
      <c r="A12" s="15" t="inlineStr"/>
    </row>
    <row r="13">
      <c r="A13" s="15" t="inlineStr">
        <is>
          <t>Dates, items and amounts are fictional. Checked in LibreOffice Calc only; not opened in Excel or Google Sheets.</t>
        </is>
      </c>
    </row>
    <row r="14">
      <c r="A14" s="15"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2026-10-30T07:44:43Z</dcterms:created>
  <dcterms:modified xmlns:dcterms="http://purl.org/dc/terms/" xmlns:xsi="http://www.w3.org/2001/XMLSchema-instance" xsi:type="dcterms:W3CDTF">2026-10-30T07:44:43Z</dcterms:modified>
</cp:coreProperties>
</file>