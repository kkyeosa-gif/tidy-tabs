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&quot;$&quot;#,##0.00"/>
    <numFmt numFmtId="167" formatCode="&quot;$&quot;#,##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166" fontId="0" fillId="3" borderId="0" pivotButton="0" quotePrefix="0" xfId="0"/>
    <xf numFmtId="0" fontId="0" fillId="3" borderId="0" pivotButton="0" quotePrefix="0" xfId="0"/>
    <xf numFmtId="167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1" customWidth="1" min="3" max="3"/>
    <col width="11" customWidth="1" min="4" max="4"/>
    <col width="13" customWidth="1" min="5" max="5"/>
  </cols>
  <sheetData>
    <row r="1" ht="30" customHeight="1">
      <c r="A1" s="1" t="inlineStr">
        <is>
          <t>Purchase date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Unit cost</t>
        </is>
      </c>
      <c r="E1" s="1" t="inlineStr">
        <is>
          <t>Line total</t>
        </is>
      </c>
    </row>
    <row r="2">
      <c r="A2" s="2" t="n">
        <v>46209</v>
      </c>
      <c r="B2" t="inlineStr">
        <is>
          <t>Soy wax (lb)</t>
        </is>
      </c>
      <c r="C2" t="n">
        <v>10</v>
      </c>
      <c r="D2" s="3" t="n">
        <v>4</v>
      </c>
      <c r="E2" s="4">
        <f>C2*D2</f>
        <v/>
      </c>
    </row>
    <row r="3">
      <c r="A3" s="2" t="n">
        <v>46223</v>
      </c>
      <c r="B3" t="inlineStr">
        <is>
          <t>Cotton wicks</t>
        </is>
      </c>
      <c r="C3" t="n">
        <v>200</v>
      </c>
      <c r="D3" s="3" t="n">
        <v>0.12</v>
      </c>
      <c r="E3" s="4">
        <f>C3*D3</f>
        <v/>
      </c>
    </row>
    <row r="4">
      <c r="A4" s="2" t="n">
        <v>46237</v>
      </c>
      <c r="B4" t="inlineStr">
        <is>
          <t>Soy wax (lb)</t>
        </is>
      </c>
      <c r="C4" t="n">
        <v>40</v>
      </c>
      <c r="D4" s="3" t="n">
        <v>3.5</v>
      </c>
      <c r="E4" s="4">
        <f>C4*D4</f>
        <v/>
      </c>
    </row>
    <row r="5">
      <c r="A5" s="2" t="n">
        <v>46246</v>
      </c>
      <c r="B5" t="inlineStr">
        <is>
          <t>Glass jars</t>
        </is>
      </c>
      <c r="C5" t="n">
        <v>48</v>
      </c>
      <c r="D5" s="3" t="n">
        <v>1.85</v>
      </c>
      <c r="E5" s="4">
        <f>C5*D5</f>
        <v/>
      </c>
    </row>
    <row r="6">
      <c r="A6" s="2" t="n">
        <v>46259</v>
      </c>
      <c r="B6" t="inlineStr">
        <is>
          <t>Cotton wicks</t>
        </is>
      </c>
      <c r="C6" t="n">
        <v>500</v>
      </c>
      <c r="D6" s="3" t="n">
        <v>0.09</v>
      </c>
      <c r="E6" s="4">
        <f>C6*D6</f>
        <v/>
      </c>
    </row>
    <row r="7">
      <c r="A7" s="2" t="n">
        <v>46272</v>
      </c>
      <c r="B7" t="inlineStr">
        <is>
          <t>Soy wax (lb)</t>
        </is>
      </c>
      <c r="C7" t="n">
        <v>25</v>
      </c>
      <c r="D7" s="3" t="n">
        <v>3.8</v>
      </c>
      <c r="E7" s="4">
        <f>C7*D7</f>
        <v/>
      </c>
    </row>
    <row r="8">
      <c r="A8" s="2" t="n">
        <v>46280</v>
      </c>
      <c r="B8" t="inlineStr">
        <is>
          <t>Glass jars</t>
        </is>
      </c>
      <c r="C8" t="n">
        <v>96</v>
      </c>
      <c r="D8" s="3" t="n">
        <v>1.6</v>
      </c>
      <c r="E8" s="4">
        <f>C8*D8</f>
        <v/>
      </c>
    </row>
    <row r="9">
      <c r="A9" s="2" t="n">
        <v>46287</v>
      </c>
      <c r="B9" t="inlineStr">
        <is>
          <t>Cotton wicks</t>
        </is>
      </c>
      <c r="C9" t="n">
        <v>300</v>
      </c>
      <c r="D9" s="3" t="n">
        <v>0.1</v>
      </c>
      <c r="E9" s="4">
        <f>C9*D9</f>
        <v/>
      </c>
    </row>
    <row r="10">
      <c r="A10" s="2" t="n">
        <v>46294</v>
      </c>
      <c r="B10" t="inlineStr">
        <is>
          <t>Glass jars</t>
        </is>
      </c>
      <c r="C10" t="n">
        <v>24</v>
      </c>
      <c r="D10" s="3" t="n">
        <v>2.1</v>
      </c>
      <c r="E10" s="4">
        <f>C10*D10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20" customWidth="1" min="4" max="4"/>
    <col width="24" customWidth="1" min="5" max="5"/>
    <col width="15" customWidth="1" min="6" max="6"/>
    <col width="12" customWidth="1" min="7" max="7"/>
  </cols>
  <sheetData>
    <row r="1" ht="30" customHeight="1">
      <c r="A1" s="1" t="inlineStr">
        <is>
          <t>Item</t>
        </is>
      </c>
      <c r="B1" s="1" t="inlineStr">
        <is>
          <t>Total quantity</t>
        </is>
      </c>
      <c r="C1" s="1" t="inlineStr">
        <is>
          <t>Total spent</t>
        </is>
      </c>
      <c r="D1" s="1" t="inlineStr">
        <is>
          <t>Weighted avg (SUMIFS)</t>
        </is>
      </c>
      <c r="E1" s="1" t="inlineStr">
        <is>
          <t>Weighted avg (SUMPRODUCT)</t>
        </is>
      </c>
      <c r="F1" s="1" t="inlineStr">
        <is>
          <t>Simple average</t>
        </is>
      </c>
      <c r="G1" s="1" t="inlineStr">
        <is>
          <t>Difference</t>
        </is>
      </c>
    </row>
    <row r="2">
      <c r="A2" t="inlineStr">
        <is>
          <t>Soy wax (lb)</t>
        </is>
      </c>
      <c r="B2" s="5">
        <f>SUMIFS(Purchases!$C$2:$C$40,Purchases!$B$2:$B$40,A2)</f>
        <v/>
      </c>
      <c r="C2" s="4">
        <f>SUMIFS(Purchases!$E$2:$E$40,Purchases!$B$2:$B$40,A2)</f>
        <v/>
      </c>
      <c r="D2" s="6">
        <f>C2/B2</f>
        <v/>
      </c>
      <c r="E2" s="6">
        <f>SUMPRODUCT((Purchases!$B$2:$B$40=A2)*Purchases!$C$2:$C$40*Purchases!$D$2:$D$40)/B2</f>
        <v/>
      </c>
      <c r="F2" s="6">
        <f>AVERAGEIFS(Purchases!$D$2:$D$40,Purchases!$B$2:$B$40,A2)</f>
        <v/>
      </c>
      <c r="G2" s="6">
        <f>ROUND(D2-F2,4)</f>
        <v/>
      </c>
    </row>
    <row r="3">
      <c r="A3" t="inlineStr">
        <is>
          <t>Cotton wicks</t>
        </is>
      </c>
      <c r="B3" s="5">
        <f>SUMIFS(Purchases!$C$2:$C$40,Purchases!$B$2:$B$40,A3)</f>
        <v/>
      </c>
      <c r="C3" s="4">
        <f>SUMIFS(Purchases!$E$2:$E$40,Purchases!$B$2:$B$40,A3)</f>
        <v/>
      </c>
      <c r="D3" s="6">
        <f>C3/B3</f>
        <v/>
      </c>
      <c r="E3" s="6">
        <f>SUMPRODUCT((Purchases!$B$2:$B$40=A3)*Purchases!$C$2:$C$40*Purchases!$D$2:$D$40)/B3</f>
        <v/>
      </c>
      <c r="F3" s="6">
        <f>AVERAGEIFS(Purchases!$D$2:$D$40,Purchases!$B$2:$B$40,A3)</f>
        <v/>
      </c>
      <c r="G3" s="6">
        <f>ROUND(D3-F3,4)</f>
        <v/>
      </c>
    </row>
    <row r="4">
      <c r="A4" t="inlineStr">
        <is>
          <t>Glass jars</t>
        </is>
      </c>
      <c r="B4" s="5">
        <f>SUMIFS(Purchases!$C$2:$C$40,Purchases!$B$2:$B$40,A4)</f>
        <v/>
      </c>
      <c r="C4" s="4">
        <f>SUMIFS(Purchases!$E$2:$E$40,Purchases!$B$2:$B$40,A4)</f>
        <v/>
      </c>
      <c r="D4" s="6">
        <f>C4/B4</f>
        <v/>
      </c>
      <c r="E4" s="6">
        <f>SUMPRODUCT((Purchases!$B$2:$B$40=A4)*Purchases!$C$2:$C$40*Purchases!$D$2:$D$40)/B4</f>
        <v/>
      </c>
      <c r="F4" s="6">
        <f>AVERAGEIFS(Purchases!$D$2:$D$40,Purchases!$B$2:$B$40,A4)</f>
        <v/>
      </c>
      <c r="G4" s="6">
        <f>ROUND(D4-F4,4)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Tidy Tabs: Weighted Average Cost With SUMPRODUCT</t>
        </is>
      </c>
    </row>
    <row r="2">
      <c r="A2" t="inlineStr"/>
    </row>
    <row r="3">
      <c r="A3" t="inlineStr">
        <is>
          <t>1. Purchases tab: one row per purchase with the date, item, quantity, and unit cost you paid. Column E is quantity times unit cost.</t>
        </is>
      </c>
    </row>
    <row r="4">
      <c r="A4" t="inlineStr">
        <is>
          <t>2. Summary tab, column E: =SUMPRODUCT((Purchases!$B$2:$B$40=A2)*Purchases!$C$2:$C$40*Purchases!$D$2:$D$40)/B2. It multiplies quantity by unit cost for the rows that match the item, adds them up, and divides by the total quantity.</t>
        </is>
      </c>
    </row>
    <row r="5">
      <c r="A5" t="inlineStr">
        <is>
          <t>3. Column D gives the same answer with SUMIFS: total spent divided by total quantity (=C2/B2).</t>
        </is>
      </c>
    </row>
    <row r="6">
      <c r="A6" t="inlineStr">
        <is>
          <t>4. Column F, =AVERAGEIFS(...), is the simple average of the unit costs. It ignores how many units each purchase covered, so it is off whenever the quantities differ.</t>
        </is>
      </c>
    </row>
    <row r="7">
      <c r="A7" t="inlineStr">
        <is>
          <t>5. Example: 10 lb at $4.00 and 40 lb at $3.50 cost $180.00 for 50 lb, so the weighted average is $3.60 per lb. The simple average of $4.00 and $3.50 is $3.75.</t>
        </is>
      </c>
    </row>
    <row r="8">
      <c r="A8" t="inlineStr">
        <is>
          <t>6. The formulas read rows 2 to 40, so you can add purchases without editing them. Type each item name exactly the same way every time.</t>
        </is>
      </c>
    </row>
    <row r="9">
      <c r="A9" t="inlineStr">
        <is>
          <t>7. This is an average unit cost of what you bought. It is not an inventory valuation method or tax advice.</t>
        </is>
      </c>
    </row>
    <row r="10">
      <c r="A10" t="inlineStr"/>
    </row>
    <row r="11">
      <c r="A11" t="inlineStr">
        <is>
          <t>Items, quantities, and prices are fictional. Checked in LibreOffice Calc only; not opened in Excel or Google Sheets.</t>
        </is>
      </c>
    </row>
    <row r="12">
      <c r="A12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2026-10-08T07:27:17Z</dcterms:created>
  <dcterms:modified xmlns:dcterms="http://purl.org/dc/terms/" xmlns:xsi="http://www.w3.org/2001/XMLSchema-instance" xsi:type="dcterms:W3CDTF">2026-10-08T07:27:17Z</dcterms:modified>
</cp:coreProperties>
</file>