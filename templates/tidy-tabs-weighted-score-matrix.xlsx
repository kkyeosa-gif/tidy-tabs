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 sheetId="1" state="visible" r:id="rId1"/>
    <sheet xmlns:r="http://schemas.openxmlformats.org/officeDocument/2006/relationships" name="How to use" sheetId="2" state="visible" r:id="rId2"/>
  </sheets>
  <definedNames>
    <definedName name="_xlnm.Print_Titles" localSheetId="0">'Score'!$1:$1</definedName>
    <definedName name="_xlnm.Print_Area" localSheetId="0">'Score'!$A$1:$J$9</definedName>
  </definedNames>
  <calcPr calcId="124519" fullCalcOnLoad="1"/>
</workbook>
</file>

<file path=xl/styles.xml><?xml version="1.0" encoding="utf-8"?>
<styleSheet xmlns="http://schemas.openxmlformats.org/spreadsheetml/2006/main">
  <numFmts count="1">
    <numFmt numFmtId="164" formatCode="0.00&quot; total&quot;"/>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FFF2CC"/>
      </patternFill>
    </fill>
    <fill>
      <patternFill patternType="solid">
        <fgColor rgb="00EDEDED"/>
      </patternFill>
    </fill>
    <fill>
      <patternFill patternType="solid">
        <fgColor rgb="002E5E4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3" fillId="0" borderId="0" pivotButton="0" quotePrefix="0" xfId="0"/>
    <xf numFmtId="0" fontId="0" fillId="3" borderId="0" applyAlignment="1" pivotButton="0" quotePrefix="0" xfId="0">
      <alignment horizontal="right"/>
    </xf>
    <xf numFmtId="0" fontId="2" fillId="0" borderId="0" pivotButton="0" quotePrefix="0" xfId="0"/>
    <xf numFmtId="2" fontId="0" fillId="3" borderId="0" applyAlignment="1" pivotButton="0" quotePrefix="0" xfId="0">
      <alignment horizontal="right"/>
    </xf>
    <xf numFmtId="2" fontId="0" fillId="2" borderId="0" pivotButton="0" quotePrefix="0" xfId="0"/>
    <xf numFmtId="164" fontId="0" fillId="3" borderId="0" applyAlignment="1" pivotButton="0" quotePrefix="0" xfId="0">
      <alignment horizontal="right"/>
    </xf>
    <xf numFmtId="1" fontId="0" fillId="3" borderId="0" applyAlignment="1" pivotButton="0" quotePrefix="0" xfId="0">
      <alignment horizontal="right"/>
    </xf>
    <xf numFmtId="0" fontId="4" fillId="4" borderId="0" applyAlignment="1" pivotButton="0" quotePrefix="0" xfId="0">
      <alignment vertical="center" wrapText="1"/>
    </xf>
    <xf numFmtId="0" fontId="3" fillId="2" borderId="0" applyAlignment="1" pivotButton="0" quotePrefix="0" xfId="0">
      <alignment vertical="center" wrapText="1"/>
    </xf>
    <xf numFmtId="0" fontId="0" fillId="2" borderId="0" pivotButton="0" quotePrefix="0" xfId="0"/>
    <xf numFmtId="0" fontId="0" fillId="2" borderId="0" applyAlignment="1" pivotButton="0" quotePrefix="0" xfId="0">
      <alignment horizontal="center"/>
    </xf>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9"/>
  <sheetViews>
    <sheetView workbookViewId="0">
      <selection activeCell="A1" sqref="A1"/>
    </sheetView>
  </sheetViews>
  <sheetFormatPr baseColWidth="8" defaultRowHeight="15"/>
  <cols>
    <col width="30" customWidth="1" min="1" max="1"/>
    <col width="11" customWidth="1" min="2" max="2"/>
    <col width="13" customWidth="1" min="3" max="3"/>
    <col width="11" customWidth="1" min="4" max="4"/>
    <col width="11" customWidth="1" min="5" max="5"/>
    <col width="14" customWidth="1" min="6" max="6"/>
    <col width="8" customWidth="1" min="7" max="7"/>
    <col width="3" customWidth="1" min="8" max="8"/>
    <col width="44" customWidth="1" min="9" max="9"/>
    <col width="24" customWidth="1" min="10" max="10"/>
  </cols>
  <sheetData>
    <row r="1">
      <c r="A1" s="1" t="inlineStr">
        <is>
          <t>Weighted score: compare print shops for tote bags</t>
        </is>
      </c>
      <c r="I1" s="2" t="inlineStr">
        <is>
          <t>Highest weighted score</t>
        </is>
      </c>
      <c r="J1" s="3">
        <f>IF(COUNT(F5:F9)=0,"",INDEX(A5:A9,MATCH(MAX(F5:F9),F5:F9,0)))</f>
        <v/>
      </c>
    </row>
    <row r="2">
      <c r="A2" s="4" t="inlineStr">
        <is>
          <t>Weights in B3:E3, scores 1 to 10 in B5:E9. Fictional data.</t>
        </is>
      </c>
      <c r="I2" s="2" t="inlineStr">
        <is>
          <t>Its weighted score</t>
        </is>
      </c>
      <c r="J2" s="5">
        <f>IF(COUNT(F5:F9)=0,"",MAX(F5:F9))</f>
        <v/>
      </c>
    </row>
    <row r="3">
      <c r="A3" s="2" t="inlineStr">
        <is>
          <t>Weight (how much it matters)</t>
        </is>
      </c>
      <c r="B3" s="6" t="n">
        <v>0.4</v>
      </c>
      <c r="C3" s="6" t="n">
        <v>0.2</v>
      </c>
      <c r="D3" s="6" t="n">
        <v>0.3</v>
      </c>
      <c r="E3" s="6" t="n">
        <v>0.1</v>
      </c>
      <c r="F3" s="7">
        <f>IF(COUNT(B3:E3)=0,"",SUM(B3:E3))</f>
        <v/>
      </c>
      <c r="I3" s="2" t="inlineStr">
        <is>
          <t>Options with a score</t>
        </is>
      </c>
      <c r="J3" s="8">
        <f>COUNT(F5:F9)</f>
        <v/>
      </c>
    </row>
    <row r="4" ht="32" customHeight="1">
      <c r="A4" s="9" t="inlineStr">
        <is>
          <t>Option</t>
        </is>
      </c>
      <c r="B4" s="10" t="inlineStr">
        <is>
          <t>Price</t>
        </is>
      </c>
      <c r="C4" s="10" t="inlineStr">
        <is>
          <t>Turnaround</t>
        </is>
      </c>
      <c r="D4" s="10" t="inlineStr">
        <is>
          <t>Quality</t>
        </is>
      </c>
      <c r="E4" s="10" t="inlineStr">
        <is>
          <t>Support</t>
        </is>
      </c>
      <c r="F4" s="9" t="inlineStr">
        <is>
          <t>Weighted score</t>
        </is>
      </c>
      <c r="G4" s="9" t="inlineStr">
        <is>
          <t>Rank</t>
        </is>
      </c>
      <c r="I4" s="2" t="inlineStr">
        <is>
          <t>Options tied for rank 1</t>
        </is>
      </c>
      <c r="J4" s="8">
        <f>IF(COUNT(G5:G9)=0,"",COUNTIF(G5:G9,1))</f>
        <v/>
      </c>
    </row>
    <row r="5">
      <c r="A5" s="11" t="inlineStr">
        <is>
          <t>Harbor Print Co.</t>
        </is>
      </c>
      <c r="B5" s="12" t="n">
        <v>8</v>
      </c>
      <c r="C5" s="12" t="n">
        <v>6</v>
      </c>
      <c r="D5" s="12" t="n">
        <v>9</v>
      </c>
      <c r="E5" s="12" t="n">
        <v>5</v>
      </c>
      <c r="F5" s="5">
        <f>IF(A5="","",IF(OR(COUNT($B$3:$E$3)&lt;4,SUM($B$3:$E$3)&lt;=0,MIN($B$3:$E$3)&lt;0),"Check weights",IF(COUNT(B5:E5)&lt;4,"Check scores",ROUND(SUMPRODUCT($B$3:$E$3,B5:E5)/SUM($B$3:$E$3),10))))</f>
        <v/>
      </c>
      <c r="G5" s="3">
        <f>IF(ISNUMBER(F5),RANK(F5,$F$5:$F$9),"")</f>
        <v/>
      </c>
      <c r="I5" s="2" t="inlineStr">
        <is>
          <t>Check: weights, scores 1 to 10, every option scored</t>
        </is>
      </c>
      <c r="J5" s="3">
        <f>IF(AND(COUNT($B$3:$E$3)=4,SUM($B$3:$E$3)&gt;0,MIN($B$3:$E$3)&gt;=0,COUNT(B5:E9)=COUNTA(B5:E9),COUNTIF(B5:E9,"&lt;1")+COUNTIF(B5:E9,"&gt;10")=0,COUNTA(B5:E9)=4*COUNTA(A5:A9),COUNT(F5:F9)=COUNTA(A5:A9)),"OK","CHECK")</f>
        <v/>
      </c>
    </row>
    <row r="6">
      <c r="A6" s="11" t="inlineStr">
        <is>
          <t>Bluebird Printing</t>
        </is>
      </c>
      <c r="B6" s="12" t="n">
        <v>7</v>
      </c>
      <c r="C6" s="12" t="n">
        <v>9</v>
      </c>
      <c r="D6" s="12" t="n">
        <v>7</v>
      </c>
      <c r="E6" s="12" t="n">
        <v>8</v>
      </c>
      <c r="F6" s="5">
        <f>IF(A6="","",IF(OR(COUNT($B$3:$E$3)&lt;4,SUM($B$3:$E$3)&lt;=0,MIN($B$3:$E$3)&lt;0),"Check weights",IF(COUNT(B6:E6)&lt;4,"Check scores",ROUND(SUMPRODUCT($B$3:$E$3,B6:E6)/SUM($B$3:$E$3),10))))</f>
        <v/>
      </c>
      <c r="G6" s="3">
        <f>IF(ISNUMBER(F6),RANK(F6,$F$5:$F$9),"")</f>
        <v/>
      </c>
    </row>
    <row r="7">
      <c r="A7" s="11" t="inlineStr">
        <is>
          <t>Pine Street Press</t>
        </is>
      </c>
      <c r="B7" s="12" t="n">
        <v>9</v>
      </c>
      <c r="C7" s="12" t="n">
        <v>5</v>
      </c>
      <c r="D7" s="12" t="n">
        <v>6</v>
      </c>
      <c r="E7" s="12" t="n">
        <v>6</v>
      </c>
      <c r="F7" s="5">
        <f>IF(A7="","",IF(OR(COUNT($B$3:$E$3)&lt;4,SUM($B$3:$E$3)&lt;=0,MIN($B$3:$E$3)&lt;0),"Check weights",IF(COUNT(B7:E7)&lt;4,"Check scores",ROUND(SUMPRODUCT($B$3:$E$3,B7:E7)/SUM($B$3:$E$3),10))))</f>
        <v/>
      </c>
      <c r="G7" s="3">
        <f>IF(ISNUMBER(F7),RANK(F7,$F$5:$F$9),"")</f>
        <v/>
      </c>
    </row>
    <row r="8">
      <c r="A8" s="11" t="inlineStr">
        <is>
          <t>Quick Tote Shop</t>
        </is>
      </c>
      <c r="B8" s="12" t="n">
        <v>6</v>
      </c>
      <c r="C8" s="12" t="n">
        <v>10</v>
      </c>
      <c r="D8" s="12" t="n">
        <v>5</v>
      </c>
      <c r="E8" s="12" t="n">
        <v>7</v>
      </c>
      <c r="F8" s="5">
        <f>IF(A8="","",IF(OR(COUNT($B$3:$E$3)&lt;4,SUM($B$3:$E$3)&lt;=0,MIN($B$3:$E$3)&lt;0),"Check weights",IF(COUNT(B8:E8)&lt;4,"Check scores",ROUND(SUMPRODUCT($B$3:$E$3,B8:E8)/SUM($B$3:$E$3),10))))</f>
        <v/>
      </c>
      <c r="G8" s="3">
        <f>IF(ISNUMBER(F8),RANK(F8,$F$5:$F$9),"")</f>
        <v/>
      </c>
    </row>
    <row r="9">
      <c r="A9" s="11" t="inlineStr">
        <is>
          <t>Maple Screen Prints</t>
        </is>
      </c>
      <c r="B9" s="12" t="n">
        <v>7</v>
      </c>
      <c r="C9" s="12" t="n">
        <v>7</v>
      </c>
      <c r="D9" s="12" t="n">
        <v>8</v>
      </c>
      <c r="E9" s="12" t="n">
        <v>8</v>
      </c>
      <c r="F9" s="5">
        <f>IF(A9="","",IF(OR(COUNT($B$3:$E$3)&lt;4,SUM($B$3:$E$3)&lt;=0,MIN($B$3:$E$3)&lt;0),"Check weights",IF(COUNT(B9:E9)&lt;4,"Check scores",ROUND(SUMPRODUCT($B$3:$E$3,B9:E9)/SUM($B$3:$E$3),10))))</f>
        <v/>
      </c>
      <c r="G9" s="3">
        <f>IF(ISNUMBER(F9),RANK(F9,$F$5:$F$9),"")</f>
        <v/>
      </c>
    </row>
  </sheetData>
  <conditionalFormatting sqref="A5:G9">
    <cfRule type="expression" priority="1" dxfId="0">
      <formula>$G5=1</formula>
    </cfRule>
  </conditionalFormatting>
  <conditionalFormatting sqref="F5:F9">
    <cfRule type="expression" priority="2" dxfId="1">
      <formula>AND(ISTEXT(F5),F5&lt;&gt;"")</formula>
    </cfRule>
  </conditionalFormatting>
  <conditionalFormatting sqref="J5">
    <cfRule type="expression" priority="3" dxfId="1">
      <formula>AND(J5&lt;&gt;"OK",J5&lt;&gt;"")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3" t="inlineStr">
        <is>
          <t>Tidy Tabs: Compare Options With a Weighted Score</t>
        </is>
      </c>
    </row>
    <row r="2">
      <c r="A2" s="14" t="inlineStr"/>
    </row>
    <row r="3">
      <c r="A3" s="14" t="inlineStr">
        <is>
          <t>1. Score tab: type your weights for the four criteria in B3:E3 (the sample uses 0.40, 0.20, 0.30, 0.10, which add to 1.00), the options in A5:A9 and a score from 1 to 10 for each criterion in B5:E9. Yellow. Rename the criteria in B4:E4 if you like. The sample is five fictional print shops and made up scores.</t>
        </is>
      </c>
    </row>
    <row r="4">
      <c r="A4" s="14" t="inlineStr">
        <is>
          <t>2. Weighted score, F5: =SUMPRODUCT($B$3:$E$3,B5:E5)/SUM($B$3:$E$3). SUMPRODUCT multiplies each score by its weight and adds the products. Dividing by the sum of the weights keeps the result on the 1 to 10 scale, so weights that add to 100 or to 1 give the same answer. Copy it down to F9. In the file the division is wrapped in ROUND(...,10): computers store 0.4 and 0.3 as tiny approximations, so two options that tie on paper can differ by about 0.000000000000001 and would not rank the same. Rounding to 10 decimals does not change any score you can see.</t>
        </is>
      </c>
    </row>
    <row r="5">
      <c r="A5" s="14" t="inlineStr">
        <is>
          <t>3. Rank, G5: =RANK(F5,$F$5:$F$9). 1 is the highest weighted score. Two options with the same score get the same rank. The rank 1 row is green.</t>
        </is>
      </c>
    </row>
    <row r="6">
      <c r="A6" s="14" t="inlineStr">
        <is>
          <t>4. J1 shows the option with the highest weighted score (the first one listed if two tie) and J4 counts how many are tied for rank 1. The highest score only means the highest number from your own weights and scores. It is not a recommendation.</t>
        </is>
      </c>
    </row>
    <row r="7">
      <c r="A7" s="14" t="inlineStr">
        <is>
          <t>5. If a weight is missing or negative, or all weights are 0, the scores show Check weights. If an option has a blank or text score, its weighted score shows Check scores and it is left out of the ranking.</t>
        </is>
      </c>
    </row>
    <row r="8">
      <c r="A8" s="14" t="inlineStr">
        <is>
          <t>6. J5 shows OK when the four weights are numbers that add to more than 0, every score is a number from 1 to 10, and every named option has all four scores.</t>
        </is>
      </c>
    </row>
    <row r="9">
      <c r="A9" s="14" t="inlineStr">
        <is>
          <t>7. Scores are your own opinions. The sheet does the arithmetic only.</t>
        </is>
      </c>
    </row>
    <row r="10">
      <c r="A10" s="14" t="inlineStr"/>
    </row>
    <row r="11">
      <c r="A11" s="14" t="inlineStr">
        <is>
          <t>Shops and scores are fictional. Checked in LibreOffice Calc only; not opened in Excel or Google Sheets.</t>
        </is>
      </c>
    </row>
    <row r="12">
      <c r="A12" s="14"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2026-10-23T07:41:03Z</dcterms:created>
  <dcterms:modified xmlns:dcterms="http://purl.org/dc/terms/" xmlns:xsi="http://www.w3.org/2001/XMLSchema-instance" xsi:type="dcterms:W3CDTF">2026-10-23T07:41:03Z</dcterms:modified>
</cp:coreProperties>
</file>