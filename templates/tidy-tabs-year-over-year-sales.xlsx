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ders" sheetId="1" state="visible" r:id="rId1"/>
    <sheet xmlns:r="http://schemas.openxmlformats.org/officeDocument/2006/relationships" name="Year over year" sheetId="2" state="visible" r:id="rId2"/>
    <sheet xmlns:r="http://schemas.openxmlformats.org/officeDocument/2006/relationships" name="How to use" sheetId="3" state="visible" r:id="rId3"/>
  </sheets>
  <definedNames>
    <definedName name="_xlnm.Print_Titles" localSheetId="0">'Orders'!$1:$1</definedName>
    <definedName name="_xlnm.Print_Area" localSheetId="0">'Orders'!$A$1:$B$121</definedName>
    <definedName name="_xlnm.Print_Titles" localSheetId="1">'Year over year'!$3:$3</definedName>
    <definedName name="_xlnm.Print_Area" localSheetId="1">'Year over year'!$A$1:$F$26</definedName>
  </definedNames>
  <calcPr calcId="124519" fullCalcOnLoad="1"/>
</workbook>
</file>

<file path=xl/styles.xml><?xml version="1.0" encoding="utf-8"?>
<styleSheet xmlns="http://schemas.openxmlformats.org/spreadsheetml/2006/main">
  <numFmts count="3">
    <numFmt numFmtId="164" formatCode="mm/dd/yyyy"/>
    <numFmt numFmtId="165" formatCode="&quot;$&quot;#,##0.00"/>
    <numFmt numFmtId="166" formatCode="0.0%"/>
  </numFmts>
  <fonts count="5">
    <font>
      <name val="Calibri"/>
      <family val="2"/>
      <color theme="1"/>
      <sz val="11"/>
      <scheme val="minor"/>
    </font>
    <font>
      <b val="1"/>
      <color rgb="00FFFFFF"/>
    </font>
    <font>
      <b val="1"/>
    </font>
    <font>
      <i val="1"/>
    </font>
    <font>
      <b val="1"/>
      <sz val="13"/>
    </font>
  </fonts>
  <fills count="5">
    <fill>
      <patternFill/>
    </fill>
    <fill>
      <patternFill patternType="gray125"/>
    </fill>
    <fill>
      <patternFill patternType="solid">
        <fgColor rgb="002E5E4E"/>
      </patternFill>
    </fill>
    <fill>
      <patternFill patternType="solid">
        <fgColor rgb="00FFF2CC"/>
      </patternFill>
    </fill>
    <fill>
      <patternFill patternType="solid">
        <fgColor rgb="00EDEDED"/>
      </patternFill>
    </fill>
  </fills>
  <borders count="1">
    <border>
      <left/>
      <right/>
      <top/>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wrapText="1"/>
    </xf>
    <xf numFmtId="164" fontId="0" fillId="3" borderId="0" pivotButton="0" quotePrefix="0" xfId="0"/>
    <xf numFmtId="165" fontId="0" fillId="3" borderId="0" pivotButton="0" quotePrefix="0" xfId="0"/>
    <xf numFmtId="0" fontId="2" fillId="0" borderId="0" pivotButton="0" quotePrefix="0" xfId="0"/>
    <xf numFmtId="1" fontId="0" fillId="3" borderId="0" pivotButton="0" quotePrefix="0" xfId="0"/>
    <xf numFmtId="0" fontId="0" fillId="4" borderId="0" pivotButton="0" quotePrefix="0" xfId="0"/>
    <xf numFmtId="164" fontId="0" fillId="4" borderId="0" applyAlignment="1" pivotButton="0" quotePrefix="0" xfId="0">
      <alignment horizontal="right"/>
    </xf>
    <xf numFmtId="1" fontId="0" fillId="4" borderId="0" pivotButton="0" quotePrefix="0" xfId="0"/>
    <xf numFmtId="0" fontId="0" fillId="4" borderId="0" applyAlignment="1" pivotButton="0" quotePrefix="0" xfId="0">
      <alignment horizontal="right"/>
    </xf>
    <xf numFmtId="0" fontId="0" fillId="4" borderId="0" applyAlignment="1" pivotButton="0" quotePrefix="0" xfId="0">
      <alignment horizontal="left"/>
    </xf>
    <xf numFmtId="165" fontId="0" fillId="4" borderId="0" applyAlignment="1" pivotButton="0" quotePrefix="0" xfId="0">
      <alignment horizontal="right"/>
    </xf>
    <xf numFmtId="166" fontId="0" fillId="4" borderId="0" applyAlignment="1" pivotButton="0" quotePrefix="0" xfId="0">
      <alignment horizontal="right"/>
    </xf>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0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s>
  <sheetData>
    <row r="1" ht="24" customHeight="1">
      <c r="A1" s="1" t="inlineStr">
        <is>
          <t>Order date</t>
        </is>
      </c>
      <c r="B1" s="1" t="inlineStr">
        <is>
          <t>Amount</t>
        </is>
      </c>
    </row>
    <row r="2">
      <c r="A2" s="2" t="n">
        <v>45658</v>
      </c>
      <c r="B2" s="3" t="n">
        <v>41.8</v>
      </c>
    </row>
    <row r="3">
      <c r="A3" s="2" t="n">
        <v>45674</v>
      </c>
      <c r="B3" s="3" t="n">
        <v>17.75</v>
      </c>
    </row>
    <row r="4">
      <c r="A4" s="2" t="n">
        <v>45685</v>
      </c>
      <c r="B4" s="3" t="n">
        <v>45.66</v>
      </c>
    </row>
    <row r="5">
      <c r="A5" s="2" t="n">
        <v>45688</v>
      </c>
      <c r="B5" s="3" t="n">
        <v>66.11</v>
      </c>
    </row>
    <row r="6">
      <c r="A6" s="2" t="n">
        <v>45689</v>
      </c>
      <c r="B6" s="3" t="n">
        <v>14</v>
      </c>
    </row>
    <row r="7">
      <c r="A7" s="2" t="n">
        <v>45701</v>
      </c>
      <c r="B7" s="3" t="n">
        <v>17.63</v>
      </c>
    </row>
    <row r="8">
      <c r="A8" s="2" t="n">
        <v>45706</v>
      </c>
      <c r="B8" s="3" t="n">
        <v>21.35</v>
      </c>
    </row>
    <row r="9">
      <c r="A9" s="2" t="n">
        <v>45716</v>
      </c>
      <c r="B9" s="3" t="n">
        <v>23.41</v>
      </c>
    </row>
    <row r="10">
      <c r="A10" s="2" t="n">
        <v>45748</v>
      </c>
      <c r="B10" s="3" t="n">
        <v>9.640000000000001</v>
      </c>
    </row>
    <row r="11">
      <c r="A11" s="2" t="n">
        <v>45753</v>
      </c>
      <c r="B11" s="3" t="n">
        <v>65.68000000000001</v>
      </c>
    </row>
    <row r="12">
      <c r="A12" s="2" t="n">
        <v>45756</v>
      </c>
      <c r="B12" s="3" t="n">
        <v>93.70999999999999</v>
      </c>
    </row>
    <row r="13">
      <c r="A13" s="2" t="n">
        <v>45772</v>
      </c>
      <c r="B13" s="3" t="n">
        <v>70.14</v>
      </c>
    </row>
    <row r="14">
      <c r="A14" s="2" t="n">
        <v>45777</v>
      </c>
      <c r="B14" s="3" t="n">
        <v>73.23</v>
      </c>
    </row>
    <row r="15">
      <c r="A15" s="2" t="n">
        <v>45778</v>
      </c>
      <c r="B15" s="3" t="n">
        <v>59.43</v>
      </c>
    </row>
    <row r="16">
      <c r="A16" s="2" t="n">
        <v>45790</v>
      </c>
      <c r="B16" s="3" t="n">
        <v>20.49</v>
      </c>
    </row>
    <row r="17">
      <c r="A17" s="2" t="n">
        <v>45793</v>
      </c>
      <c r="B17" s="3" t="n">
        <v>90.47</v>
      </c>
    </row>
    <row r="18">
      <c r="A18" s="2" t="n">
        <v>45803</v>
      </c>
      <c r="B18" s="3" t="n">
        <v>12.65</v>
      </c>
    </row>
    <row r="19">
      <c r="A19" s="2" t="n">
        <v>45808</v>
      </c>
      <c r="B19" s="3" t="n">
        <v>93.38</v>
      </c>
    </row>
    <row r="20">
      <c r="A20" s="2" t="n">
        <v>45809</v>
      </c>
      <c r="B20" s="3" t="n">
        <v>59.51</v>
      </c>
    </row>
    <row r="21">
      <c r="A21" s="2" t="n">
        <v>45813</v>
      </c>
      <c r="B21" s="3" t="n">
        <v>60.53</v>
      </c>
    </row>
    <row r="22">
      <c r="A22" s="2" t="n">
        <v>45819</v>
      </c>
      <c r="B22" s="3" t="n">
        <v>26.18</v>
      </c>
    </row>
    <row r="23">
      <c r="A23" s="2" t="n">
        <v>45823</v>
      </c>
      <c r="B23" s="3" t="n">
        <v>72.98</v>
      </c>
    </row>
    <row r="24">
      <c r="A24" s="2" t="n">
        <v>45838</v>
      </c>
      <c r="B24" s="3" t="n">
        <v>70.01000000000001</v>
      </c>
    </row>
    <row r="25">
      <c r="A25" s="2" t="n">
        <v>45839</v>
      </c>
      <c r="B25" s="3" t="n">
        <v>44.05</v>
      </c>
    </row>
    <row r="26">
      <c r="A26" s="2" t="n">
        <v>45844</v>
      </c>
      <c r="B26" s="3" t="n">
        <v>41.3</v>
      </c>
    </row>
    <row r="27">
      <c r="A27" s="2" t="n">
        <v>45860</v>
      </c>
      <c r="B27" s="3" t="n">
        <v>36.89</v>
      </c>
    </row>
    <row r="28">
      <c r="A28" s="2" t="n">
        <v>45869</v>
      </c>
      <c r="B28" s="3" t="n">
        <v>17.97</v>
      </c>
    </row>
    <row r="29">
      <c r="A29" s="2" t="n">
        <v>45870</v>
      </c>
      <c r="B29" s="3" t="n">
        <v>52.33</v>
      </c>
    </row>
    <row r="30">
      <c r="A30" s="2" t="n">
        <v>45884</v>
      </c>
      <c r="B30" s="3" t="n">
        <v>17.85</v>
      </c>
    </row>
    <row r="31">
      <c r="A31" s="2" t="n">
        <v>45892</v>
      </c>
      <c r="B31" s="3" t="n">
        <v>19.61</v>
      </c>
    </row>
    <row r="32">
      <c r="A32" s="2" t="n">
        <v>45897</v>
      </c>
      <c r="B32" s="3" t="n">
        <v>72.63</v>
      </c>
    </row>
    <row r="33">
      <c r="A33" s="2" t="n">
        <v>45900</v>
      </c>
      <c r="B33" s="3" t="n">
        <v>72.44</v>
      </c>
    </row>
    <row r="34">
      <c r="A34" s="2" t="n">
        <v>45901</v>
      </c>
      <c r="B34" s="3" t="n">
        <v>19.63</v>
      </c>
    </row>
    <row r="35">
      <c r="A35" s="2" t="n">
        <v>45905</v>
      </c>
      <c r="B35" s="3" t="n">
        <v>49.71</v>
      </c>
    </row>
    <row r="36">
      <c r="A36" s="2" t="n">
        <v>45905</v>
      </c>
      <c r="B36" s="3" t="n">
        <v>36.77</v>
      </c>
    </row>
    <row r="37">
      <c r="A37" s="2" t="n">
        <v>45906</v>
      </c>
      <c r="B37" s="3" t="n">
        <v>86.17</v>
      </c>
    </row>
    <row r="38">
      <c r="A38" s="2" t="n">
        <v>45917</v>
      </c>
      <c r="B38" s="3" t="n">
        <v>70</v>
      </c>
    </row>
    <row r="39">
      <c r="A39" s="2" t="n">
        <v>45930</v>
      </c>
      <c r="B39" s="3" t="n">
        <v>24.67</v>
      </c>
    </row>
    <row r="40">
      <c r="A40" s="2" t="n">
        <v>45931</v>
      </c>
      <c r="B40" s="3" t="n">
        <v>39.12</v>
      </c>
    </row>
    <row r="41">
      <c r="A41" s="2" t="n">
        <v>45935</v>
      </c>
      <c r="B41" s="3" t="n">
        <v>81</v>
      </c>
    </row>
    <row r="42">
      <c r="A42" s="2" t="n">
        <v>45935</v>
      </c>
      <c r="B42" s="3" t="n">
        <v>75.72</v>
      </c>
    </row>
    <row r="43">
      <c r="A43" s="2" t="n">
        <v>45946</v>
      </c>
      <c r="B43" s="3" t="n">
        <v>19.28</v>
      </c>
    </row>
    <row r="44">
      <c r="A44" s="2" t="n">
        <v>45950</v>
      </c>
      <c r="B44" s="3" t="n">
        <v>70.83</v>
      </c>
    </row>
    <row r="45">
      <c r="A45" s="2" t="n">
        <v>45958</v>
      </c>
      <c r="B45" s="3" t="n">
        <v>93.55</v>
      </c>
    </row>
    <row r="46">
      <c r="A46" s="2" t="n">
        <v>45961</v>
      </c>
      <c r="B46" s="3" t="n">
        <v>62.11</v>
      </c>
    </row>
    <row r="47">
      <c r="A47" s="2" t="n">
        <v>45962</v>
      </c>
      <c r="B47" s="3" t="n">
        <v>16.66</v>
      </c>
    </row>
    <row r="48">
      <c r="A48" s="2" t="n">
        <v>45967</v>
      </c>
      <c r="B48" s="3" t="n">
        <v>75.04000000000001</v>
      </c>
    </row>
    <row r="49">
      <c r="A49" s="2" t="n">
        <v>45974</v>
      </c>
      <c r="B49" s="3" t="n">
        <v>69.87</v>
      </c>
    </row>
    <row r="50">
      <c r="A50" s="2" t="n">
        <v>45981</v>
      </c>
      <c r="B50" s="3" t="n">
        <v>75.44</v>
      </c>
    </row>
    <row r="51">
      <c r="A51" s="2" t="n">
        <v>45986</v>
      </c>
      <c r="B51" s="3" t="n">
        <v>9.029999999999999</v>
      </c>
    </row>
    <row r="52">
      <c r="A52" s="2" t="n">
        <v>45987</v>
      </c>
      <c r="B52" s="3" t="n">
        <v>11.59</v>
      </c>
    </row>
    <row r="53">
      <c r="A53" s="2" t="n">
        <v>45988</v>
      </c>
      <c r="B53" s="3" t="n">
        <v>22.55</v>
      </c>
    </row>
    <row r="54">
      <c r="A54" s="2" t="n">
        <v>45991</v>
      </c>
      <c r="B54" s="3" t="n">
        <v>54.65</v>
      </c>
    </row>
    <row r="55">
      <c r="A55" s="2" t="n">
        <v>45992</v>
      </c>
      <c r="B55" s="3" t="n">
        <v>75.77</v>
      </c>
    </row>
    <row r="56">
      <c r="A56" s="2" t="n">
        <v>46004</v>
      </c>
      <c r="B56" s="3" t="n">
        <v>45.68</v>
      </c>
    </row>
    <row r="57">
      <c r="A57" s="2" t="n">
        <v>46010</v>
      </c>
      <c r="B57" s="3" t="n">
        <v>71.38</v>
      </c>
    </row>
    <row r="58">
      <c r="A58" s="2" t="n">
        <v>46022</v>
      </c>
      <c r="B58" s="3" t="n">
        <v>28.84</v>
      </c>
    </row>
    <row r="59">
      <c r="A59" s="2" t="n">
        <v>46023</v>
      </c>
      <c r="B59" s="3" t="n">
        <v>72.31</v>
      </c>
    </row>
    <row r="60">
      <c r="A60" s="2" t="n">
        <v>46032</v>
      </c>
      <c r="B60" s="3" t="n">
        <v>64.47</v>
      </c>
    </row>
    <row r="61">
      <c r="A61" s="2" t="n">
        <v>46033</v>
      </c>
      <c r="B61" s="3" t="n">
        <v>38.91</v>
      </c>
    </row>
    <row r="62">
      <c r="A62" s="2" t="n">
        <v>46037</v>
      </c>
      <c r="B62" s="3" t="n">
        <v>53.68</v>
      </c>
    </row>
    <row r="63">
      <c r="A63" s="2" t="n">
        <v>46048</v>
      </c>
      <c r="B63" s="3" t="n">
        <v>14.84</v>
      </c>
    </row>
    <row r="64">
      <c r="A64" s="2" t="n">
        <v>46050</v>
      </c>
      <c r="B64" s="3" t="n">
        <v>63.1</v>
      </c>
    </row>
    <row r="65">
      <c r="A65" s="2" t="n">
        <v>46053</v>
      </c>
      <c r="B65" s="3" t="n">
        <v>45.71</v>
      </c>
    </row>
    <row r="66">
      <c r="A66" s="2" t="n">
        <v>46054</v>
      </c>
      <c r="B66" s="3" t="n">
        <v>9.51</v>
      </c>
    </row>
    <row r="67">
      <c r="A67" s="2" t="n">
        <v>46061</v>
      </c>
      <c r="B67" s="3" t="n">
        <v>46.3</v>
      </c>
    </row>
    <row r="68">
      <c r="A68" s="2" t="n">
        <v>46068</v>
      </c>
      <c r="B68" s="3" t="n">
        <v>45.18</v>
      </c>
    </row>
    <row r="69">
      <c r="A69" s="2" t="n">
        <v>46071</v>
      </c>
      <c r="B69" s="3" t="n">
        <v>29.46</v>
      </c>
    </row>
    <row r="70">
      <c r="A70" s="2" t="n">
        <v>46072</v>
      </c>
      <c r="B70" s="3" t="n">
        <v>64.44</v>
      </c>
    </row>
    <row r="71">
      <c r="A71" s="2" t="n">
        <v>46081</v>
      </c>
      <c r="B71" s="3" t="n">
        <v>27.59</v>
      </c>
    </row>
    <row r="72">
      <c r="A72" s="2" t="n">
        <v>46082</v>
      </c>
      <c r="B72" s="3" t="n">
        <v>90.73</v>
      </c>
    </row>
    <row r="73">
      <c r="A73" s="2" t="n">
        <v>46087</v>
      </c>
      <c r="B73" s="3" t="n">
        <v>91.53</v>
      </c>
    </row>
    <row r="74">
      <c r="A74" s="2" t="n">
        <v>46092</v>
      </c>
      <c r="B74" s="3" t="n">
        <v>88.52</v>
      </c>
    </row>
    <row r="75">
      <c r="A75" s="2" t="n">
        <v>46097</v>
      </c>
      <c r="B75" s="3" t="n">
        <v>36.16</v>
      </c>
    </row>
    <row r="76">
      <c r="A76" s="2" t="n">
        <v>46106</v>
      </c>
      <c r="B76" s="3" t="n">
        <v>92.88</v>
      </c>
    </row>
    <row r="77">
      <c r="A77" s="2" t="n">
        <v>46112</v>
      </c>
      <c r="B77" s="3" t="n">
        <v>81.01000000000001</v>
      </c>
    </row>
    <row r="78">
      <c r="A78" s="2" t="n">
        <v>46113</v>
      </c>
      <c r="B78" s="3" t="n">
        <v>16.41</v>
      </c>
    </row>
    <row r="79">
      <c r="A79" s="2" t="n">
        <v>46114</v>
      </c>
      <c r="B79" s="3" t="n">
        <v>70.47</v>
      </c>
    </row>
    <row r="80">
      <c r="A80" s="2" t="n">
        <v>46120</v>
      </c>
      <c r="B80" s="3" t="n">
        <v>91.81</v>
      </c>
    </row>
    <row r="81">
      <c r="A81" s="2" t="n">
        <v>46128</v>
      </c>
      <c r="B81" s="3" t="n">
        <v>36.56</v>
      </c>
    </row>
    <row r="82">
      <c r="A82" s="2" t="n">
        <v>46133</v>
      </c>
      <c r="B82" s="3" t="n">
        <v>30.71</v>
      </c>
    </row>
    <row r="83">
      <c r="A83" s="2" t="n">
        <v>46134</v>
      </c>
      <c r="B83" s="3" t="n">
        <v>18.67</v>
      </c>
    </row>
    <row r="84">
      <c r="A84" s="2" t="n">
        <v>46142</v>
      </c>
      <c r="B84" s="3" t="n">
        <v>29.46</v>
      </c>
    </row>
    <row r="85">
      <c r="A85" s="2" t="n">
        <v>46143</v>
      </c>
      <c r="B85" s="3" t="n">
        <v>88.89</v>
      </c>
    </row>
    <row r="86">
      <c r="A86" s="2" t="n">
        <v>46144</v>
      </c>
      <c r="B86" s="3" t="n">
        <v>55.78</v>
      </c>
    </row>
    <row r="87">
      <c r="A87" s="2" t="n">
        <v>46147</v>
      </c>
      <c r="B87" s="3" t="n">
        <v>31.45</v>
      </c>
    </row>
    <row r="88">
      <c r="A88" s="2" t="n">
        <v>46156</v>
      </c>
      <c r="B88" s="3" t="n">
        <v>65.43000000000001</v>
      </c>
    </row>
    <row r="89">
      <c r="A89" s="2" t="n">
        <v>46162</v>
      </c>
      <c r="B89" s="3" t="n">
        <v>48.25</v>
      </c>
    </row>
    <row r="90">
      <c r="A90" s="2" t="n">
        <v>46166</v>
      </c>
      <c r="B90" s="3" t="n">
        <v>94.55</v>
      </c>
    </row>
    <row r="91">
      <c r="A91" s="2" t="n">
        <v>46172</v>
      </c>
      <c r="B91" s="3" t="n">
        <v>30.85</v>
      </c>
    </row>
    <row r="92">
      <c r="A92" s="2" t="n">
        <v>46173</v>
      </c>
      <c r="B92" s="3" t="n">
        <v>-24</v>
      </c>
    </row>
    <row r="93">
      <c r="A93" s="2" t="n">
        <v>46174</v>
      </c>
      <c r="B93" s="3" t="n">
        <v>45.37</v>
      </c>
    </row>
    <row r="94">
      <c r="A94" s="2" t="n">
        <v>46176</v>
      </c>
      <c r="B94" s="3" t="n">
        <v>25.63</v>
      </c>
    </row>
    <row r="95">
      <c r="A95" s="2" t="n">
        <v>46181</v>
      </c>
      <c r="B95" s="3" t="n">
        <v>28.93</v>
      </c>
    </row>
    <row r="96">
      <c r="A96" s="2" t="n">
        <v>46188</v>
      </c>
      <c r="B96" s="3" t="n">
        <v>40.36</v>
      </c>
    </row>
    <row r="97">
      <c r="A97" s="2" t="n">
        <v>46191</v>
      </c>
      <c r="B97" s="3" t="n">
        <v>62.08</v>
      </c>
    </row>
    <row r="98">
      <c r="A98" s="2" t="n">
        <v>46192</v>
      </c>
      <c r="B98" s="3" t="n">
        <v>15.56</v>
      </c>
    </row>
    <row r="99">
      <c r="A99" s="2" t="n">
        <v>46203</v>
      </c>
      <c r="B99" s="3" t="n">
        <v>57.87</v>
      </c>
    </row>
    <row r="100">
      <c r="A100" s="2" t="n">
        <v>46204</v>
      </c>
      <c r="B100" s="3" t="n">
        <v>61.49</v>
      </c>
    </row>
    <row r="101">
      <c r="A101" s="2" t="n">
        <v>46208</v>
      </c>
      <c r="B101" s="3" t="n">
        <v>65.22</v>
      </c>
    </row>
    <row r="102">
      <c r="A102" s="2" t="n">
        <v>46213</v>
      </c>
      <c r="B102" s="3" t="n">
        <v>29.6</v>
      </c>
    </row>
    <row r="103">
      <c r="A103" s="2" t="n">
        <v>46213</v>
      </c>
      <c r="B103" s="3" t="n">
        <v>94.77</v>
      </c>
    </row>
    <row r="104">
      <c r="A104" s="2" t="n">
        <v>46224</v>
      </c>
      <c r="B104" s="3" t="n">
        <v>17.24</v>
      </c>
    </row>
    <row r="105">
      <c r="A105" s="2" t="n">
        <v>46230</v>
      </c>
      <c r="B105" s="3" t="n">
        <v>48.33</v>
      </c>
    </row>
    <row r="106">
      <c r="A106" s="2" t="n">
        <v>46234</v>
      </c>
      <c r="B106" s="3" t="n">
        <v>59.45</v>
      </c>
    </row>
    <row r="107">
      <c r="A107" s="2" t="n">
        <v>46235</v>
      </c>
      <c r="B107" s="3" t="n">
        <v>38.99</v>
      </c>
    </row>
    <row r="108">
      <c r="A108" s="2" t="n">
        <v>46237</v>
      </c>
      <c r="B108" s="3" t="n">
        <v>80.88</v>
      </c>
    </row>
    <row r="109">
      <c r="A109" s="2" t="n">
        <v>46239</v>
      </c>
      <c r="B109" s="3" t="n">
        <v>30.63</v>
      </c>
    </row>
    <row r="110">
      <c r="A110" s="2" t="n">
        <v>46240</v>
      </c>
      <c r="B110" s="3" t="n">
        <v>85.62</v>
      </c>
    </row>
    <row r="111">
      <c r="A111" s="2" t="n">
        <v>46253</v>
      </c>
      <c r="B111" s="3" t="n">
        <v>30.96</v>
      </c>
    </row>
    <row r="112">
      <c r="A112" s="2" t="n">
        <v>46254</v>
      </c>
      <c r="B112" s="3" t="n">
        <v>70.26000000000001</v>
      </c>
    </row>
    <row r="113">
      <c r="A113" s="2" t="n">
        <v>46258</v>
      </c>
      <c r="B113" s="3" t="n">
        <v>43.53</v>
      </c>
    </row>
    <row r="114">
      <c r="A114" s="2" t="n">
        <v>46265</v>
      </c>
      <c r="B114" s="3" t="n">
        <v>40.85</v>
      </c>
    </row>
    <row r="115">
      <c r="A115" s="2" t="n">
        <v>46266</v>
      </c>
      <c r="B115" s="3" t="n">
        <v>65.63</v>
      </c>
    </row>
    <row r="116">
      <c r="A116" s="2" t="n">
        <v>46272</v>
      </c>
      <c r="B116" s="3" t="n">
        <v>84.43000000000001</v>
      </c>
    </row>
    <row r="117">
      <c r="A117" s="2" t="n">
        <v>46273</v>
      </c>
      <c r="B117" s="3" t="n">
        <v>38.44</v>
      </c>
    </row>
    <row r="118">
      <c r="A118" s="2" t="n">
        <v>46286</v>
      </c>
      <c r="B118" s="3" t="n">
        <v>14.42</v>
      </c>
    </row>
    <row r="119">
      <c r="A119" s="2" t="n">
        <v>46290</v>
      </c>
      <c r="B119" s="3" t="n">
        <v>74.01000000000001</v>
      </c>
    </row>
    <row r="120">
      <c r="A120" s="2" t="n">
        <v>46291</v>
      </c>
      <c r="B120" s="3" t="n">
        <v>56.79</v>
      </c>
    </row>
    <row r="121">
      <c r="A121" s="2" t="n">
        <v>46294</v>
      </c>
      <c r="B121" s="3" t="n">
        <v>20.54</v>
      </c>
    </row>
    <row r="122">
      <c r="A122" s="2" t="n"/>
      <c r="B122" s="3" t="n"/>
    </row>
    <row r="123">
      <c r="A123" s="2" t="n"/>
      <c r="B123" s="3" t="n"/>
    </row>
    <row r="124">
      <c r="A124" s="2" t="n"/>
      <c r="B124" s="3" t="n"/>
    </row>
    <row r="125">
      <c r="A125" s="2" t="n"/>
      <c r="B125" s="3" t="n"/>
    </row>
    <row r="126">
      <c r="A126" s="2" t="n"/>
      <c r="B126" s="3" t="n"/>
    </row>
    <row r="127">
      <c r="A127" s="2" t="n"/>
      <c r="B127" s="3" t="n"/>
    </row>
    <row r="128">
      <c r="A128" s="2" t="n"/>
      <c r="B128" s="3" t="n"/>
    </row>
    <row r="129">
      <c r="A129" s="2" t="n"/>
      <c r="B129" s="3" t="n"/>
    </row>
    <row r="130">
      <c r="A130" s="2" t="n"/>
      <c r="B130" s="3" t="n"/>
    </row>
    <row r="131">
      <c r="A131" s="2" t="n"/>
      <c r="B131" s="3" t="n"/>
    </row>
    <row r="132">
      <c r="A132" s="2" t="n"/>
      <c r="B132" s="3" t="n"/>
    </row>
    <row r="133">
      <c r="A133" s="2" t="n"/>
      <c r="B133" s="3" t="n"/>
    </row>
    <row r="134">
      <c r="A134" s="2" t="n"/>
      <c r="B134" s="3" t="n"/>
    </row>
    <row r="135">
      <c r="A135" s="2" t="n"/>
      <c r="B135" s="3" t="n"/>
    </row>
    <row r="136">
      <c r="A136" s="2" t="n"/>
      <c r="B136" s="3" t="n"/>
    </row>
    <row r="137">
      <c r="A137" s="2" t="n"/>
      <c r="B137" s="3" t="n"/>
    </row>
    <row r="138">
      <c r="A138" s="2" t="n"/>
      <c r="B138" s="3" t="n"/>
    </row>
    <row r="139">
      <c r="A139" s="2" t="n"/>
      <c r="B139" s="3" t="n"/>
    </row>
    <row r="140">
      <c r="A140" s="2" t="n"/>
      <c r="B140" s="3" t="n"/>
    </row>
    <row r="141">
      <c r="A141" s="2" t="n"/>
      <c r="B141" s="3" t="n"/>
    </row>
    <row r="142">
      <c r="A142" s="2" t="n"/>
      <c r="B142" s="3" t="n"/>
    </row>
    <row r="143">
      <c r="A143" s="2" t="n"/>
      <c r="B143" s="3" t="n"/>
    </row>
    <row r="144">
      <c r="A144" s="2" t="n"/>
      <c r="B144" s="3" t="n"/>
    </row>
    <row r="145">
      <c r="A145" s="2" t="n"/>
      <c r="B145" s="3" t="n"/>
    </row>
    <row r="146">
      <c r="A146" s="2" t="n"/>
      <c r="B146" s="3" t="n"/>
    </row>
    <row r="147">
      <c r="A147" s="2" t="n"/>
      <c r="B147" s="3" t="n"/>
    </row>
    <row r="148">
      <c r="A148" s="2" t="n"/>
      <c r="B148" s="3" t="n"/>
    </row>
    <row r="149">
      <c r="A149" s="2" t="n"/>
      <c r="B149" s="3" t="n"/>
    </row>
    <row r="150">
      <c r="A150" s="2" t="n"/>
      <c r="B150" s="3" t="n"/>
    </row>
    <row r="151">
      <c r="A151" s="2" t="n"/>
      <c r="B151" s="3" t="n"/>
    </row>
    <row r="152">
      <c r="A152" s="2" t="n"/>
      <c r="B152" s="3" t="n"/>
    </row>
    <row r="153">
      <c r="A153" s="2" t="n"/>
      <c r="B153" s="3" t="n"/>
    </row>
    <row r="154">
      <c r="A154" s="2" t="n"/>
      <c r="B154" s="3" t="n"/>
    </row>
    <row r="155">
      <c r="A155" s="2" t="n"/>
      <c r="B155" s="3" t="n"/>
    </row>
    <row r="156">
      <c r="A156" s="2" t="n"/>
      <c r="B156" s="3" t="n"/>
    </row>
    <row r="157">
      <c r="A157" s="2" t="n"/>
      <c r="B157" s="3" t="n"/>
    </row>
    <row r="158">
      <c r="A158" s="2" t="n"/>
      <c r="B158" s="3" t="n"/>
    </row>
    <row r="159">
      <c r="A159" s="2" t="n"/>
      <c r="B159" s="3" t="n"/>
    </row>
    <row r="160">
      <c r="A160" s="2" t="n"/>
      <c r="B160" s="3" t="n"/>
    </row>
    <row r="161">
      <c r="A161" s="2" t="n"/>
      <c r="B161" s="3" t="n"/>
    </row>
    <row r="162">
      <c r="A162" s="2" t="n"/>
      <c r="B162" s="3" t="n"/>
    </row>
    <row r="163">
      <c r="A163" s="2" t="n"/>
      <c r="B163" s="3" t="n"/>
    </row>
    <row r="164">
      <c r="A164" s="2" t="n"/>
      <c r="B164" s="3" t="n"/>
    </row>
    <row r="165">
      <c r="A165" s="2" t="n"/>
      <c r="B165" s="3" t="n"/>
    </row>
    <row r="166">
      <c r="A166" s="2" t="n"/>
      <c r="B166" s="3" t="n"/>
    </row>
    <row r="167">
      <c r="A167" s="2" t="n"/>
      <c r="B167" s="3" t="n"/>
    </row>
    <row r="168">
      <c r="A168" s="2" t="n"/>
      <c r="B168" s="3" t="n"/>
    </row>
    <row r="169">
      <c r="A169" s="2" t="n"/>
      <c r="B169" s="3" t="n"/>
    </row>
    <row r="170">
      <c r="A170" s="2" t="n"/>
      <c r="B170" s="3" t="n"/>
    </row>
    <row r="171">
      <c r="A171" s="2" t="n"/>
      <c r="B171" s="3" t="n"/>
    </row>
    <row r="172">
      <c r="A172" s="2" t="n"/>
      <c r="B172" s="3" t="n"/>
    </row>
    <row r="173">
      <c r="A173" s="2" t="n"/>
      <c r="B173" s="3" t="n"/>
    </row>
    <row r="174">
      <c r="A174" s="2" t="n"/>
      <c r="B174" s="3" t="n"/>
    </row>
    <row r="175">
      <c r="A175" s="2" t="n"/>
      <c r="B175" s="3" t="n"/>
    </row>
    <row r="176">
      <c r="A176" s="2" t="n"/>
      <c r="B176" s="3" t="n"/>
    </row>
    <row r="177">
      <c r="A177" s="2" t="n"/>
      <c r="B177" s="3" t="n"/>
    </row>
    <row r="178">
      <c r="A178" s="2" t="n"/>
      <c r="B178" s="3" t="n"/>
    </row>
    <row r="179">
      <c r="A179" s="2" t="n"/>
      <c r="B179" s="3" t="n"/>
    </row>
    <row r="180">
      <c r="A180" s="2" t="n"/>
      <c r="B180" s="3" t="n"/>
    </row>
    <row r="181">
      <c r="A181" s="2" t="n"/>
      <c r="B181" s="3" t="n"/>
    </row>
    <row r="182">
      <c r="A182" s="2" t="n"/>
      <c r="B182" s="3" t="n"/>
    </row>
    <row r="183">
      <c r="A183" s="2" t="n"/>
      <c r="B183" s="3" t="n"/>
    </row>
    <row r="184">
      <c r="A184" s="2" t="n"/>
      <c r="B184" s="3" t="n"/>
    </row>
    <row r="185">
      <c r="A185" s="2" t="n"/>
      <c r="B185" s="3" t="n"/>
    </row>
    <row r="186">
      <c r="A186" s="2" t="n"/>
      <c r="B186" s="3" t="n"/>
    </row>
    <row r="187">
      <c r="A187" s="2" t="n"/>
      <c r="B187" s="3" t="n"/>
    </row>
    <row r="188">
      <c r="A188" s="2" t="n"/>
      <c r="B188" s="3" t="n"/>
    </row>
    <row r="189">
      <c r="A189" s="2" t="n"/>
      <c r="B189" s="3" t="n"/>
    </row>
    <row r="190">
      <c r="A190" s="2" t="n"/>
      <c r="B190" s="3" t="n"/>
    </row>
    <row r="191">
      <c r="A191" s="2" t="n"/>
      <c r="B191" s="3" t="n"/>
    </row>
    <row r="192">
      <c r="A192" s="2" t="n"/>
      <c r="B192" s="3" t="n"/>
    </row>
    <row r="193">
      <c r="A193" s="2" t="n"/>
      <c r="B193" s="3" t="n"/>
    </row>
    <row r="194">
      <c r="A194" s="2" t="n"/>
      <c r="B194" s="3" t="n"/>
    </row>
    <row r="195">
      <c r="A195" s="2" t="n"/>
      <c r="B195" s="3" t="n"/>
    </row>
    <row r="196">
      <c r="A196" s="2" t="n"/>
      <c r="B196" s="3" t="n"/>
    </row>
    <row r="197">
      <c r="A197" s="2" t="n"/>
      <c r="B197" s="3" t="n"/>
    </row>
    <row r="198">
      <c r="A198" s="2" t="n"/>
      <c r="B198" s="3" t="n"/>
    </row>
    <row r="199">
      <c r="A199" s="2" t="n"/>
      <c r="B199" s="3" t="n"/>
    </row>
    <row r="200">
      <c r="A200" s="2" t="n"/>
      <c r="B200" s="3" t="n"/>
    </row>
    <row r="201">
      <c r="A201" s="2" t="n"/>
      <c r="B201" s="3" t="n"/>
    </row>
    <row r="202">
      <c r="A202" s="2" t="n"/>
      <c r="B202" s="3" t="n"/>
    </row>
    <row r="203">
      <c r="A203" s="2" t="n"/>
      <c r="B203" s="3" t="n"/>
    </row>
    <row r="204">
      <c r="A204" s="2" t="n"/>
      <c r="B204" s="3" t="n"/>
    </row>
    <row r="205">
      <c r="A205" s="2" t="n"/>
      <c r="B205" s="3" t="n"/>
    </row>
    <row r="206">
      <c r="A206" s="2" t="n"/>
      <c r="B206" s="3" t="n"/>
    </row>
    <row r="207">
      <c r="A207" s="2" t="n"/>
      <c r="B207" s="3" t="n"/>
    </row>
    <row r="208">
      <c r="A208" s="2" t="n"/>
      <c r="B208" s="3" t="n"/>
    </row>
    <row r="209">
      <c r="A209" s="2" t="n"/>
      <c r="B209" s="3" t="n"/>
    </row>
    <row r="210">
      <c r="A210" s="2" t="n"/>
      <c r="B210" s="3" t="n"/>
    </row>
    <row r="211">
      <c r="A211" s="2" t="n"/>
      <c r="B211" s="3" t="n"/>
    </row>
    <row r="212">
      <c r="A212" s="2" t="n"/>
      <c r="B212" s="3" t="n"/>
    </row>
    <row r="213">
      <c r="A213" s="2" t="n"/>
      <c r="B213" s="3" t="n"/>
    </row>
    <row r="214">
      <c r="A214" s="2" t="n"/>
      <c r="B214" s="3" t="n"/>
    </row>
    <row r="215">
      <c r="A215" s="2" t="n"/>
      <c r="B215" s="3" t="n"/>
    </row>
    <row r="216">
      <c r="A216" s="2" t="n"/>
      <c r="B216" s="3" t="n"/>
    </row>
    <row r="217">
      <c r="A217" s="2" t="n"/>
      <c r="B217" s="3" t="n"/>
    </row>
    <row r="218">
      <c r="A218" s="2" t="n"/>
      <c r="B218" s="3" t="n"/>
    </row>
    <row r="219">
      <c r="A219" s="2" t="n"/>
      <c r="B219" s="3" t="n"/>
    </row>
    <row r="220">
      <c r="A220" s="2" t="n"/>
      <c r="B220" s="3" t="n"/>
    </row>
    <row r="221">
      <c r="A221" s="2" t="n"/>
      <c r="B221" s="3" t="n"/>
    </row>
    <row r="222">
      <c r="A222" s="2" t="n"/>
      <c r="B222" s="3" t="n"/>
    </row>
    <row r="223">
      <c r="A223" s="2" t="n"/>
      <c r="B223" s="3" t="n"/>
    </row>
    <row r="224">
      <c r="A224" s="2" t="n"/>
      <c r="B224" s="3" t="n"/>
    </row>
    <row r="225">
      <c r="A225" s="2" t="n"/>
      <c r="B225" s="3" t="n"/>
    </row>
    <row r="226">
      <c r="A226" s="2" t="n"/>
      <c r="B226" s="3" t="n"/>
    </row>
    <row r="227">
      <c r="A227" s="2" t="n"/>
      <c r="B227" s="3" t="n"/>
    </row>
    <row r="228">
      <c r="A228" s="2" t="n"/>
      <c r="B228" s="3" t="n"/>
    </row>
    <row r="229">
      <c r="A229" s="2" t="n"/>
      <c r="B229" s="3" t="n"/>
    </row>
    <row r="230">
      <c r="A230" s="2" t="n"/>
      <c r="B230" s="3" t="n"/>
    </row>
    <row r="231">
      <c r="A231" s="2" t="n"/>
      <c r="B231" s="3" t="n"/>
    </row>
    <row r="232">
      <c r="A232" s="2" t="n"/>
      <c r="B232" s="3" t="n"/>
    </row>
    <row r="233">
      <c r="A233" s="2" t="n"/>
      <c r="B233" s="3" t="n"/>
    </row>
    <row r="234">
      <c r="A234" s="2" t="n"/>
      <c r="B234" s="3" t="n"/>
    </row>
    <row r="235">
      <c r="A235" s="2" t="n"/>
      <c r="B235" s="3" t="n"/>
    </row>
    <row r="236">
      <c r="A236" s="2" t="n"/>
      <c r="B236" s="3" t="n"/>
    </row>
    <row r="237">
      <c r="A237" s="2" t="n"/>
      <c r="B237" s="3" t="n"/>
    </row>
    <row r="238">
      <c r="A238" s="2" t="n"/>
      <c r="B238" s="3" t="n"/>
    </row>
    <row r="239">
      <c r="A239" s="2" t="n"/>
      <c r="B239" s="3" t="n"/>
    </row>
    <row r="240">
      <c r="A240" s="2" t="n"/>
      <c r="B240" s="3" t="n"/>
    </row>
    <row r="241">
      <c r="A241" s="2" t="n"/>
      <c r="B241" s="3" t="n"/>
    </row>
    <row r="242">
      <c r="A242" s="2" t="n"/>
      <c r="B242" s="3" t="n"/>
    </row>
    <row r="243">
      <c r="A243" s="2" t="n"/>
      <c r="B243" s="3" t="n"/>
    </row>
    <row r="244">
      <c r="A244" s="2" t="n"/>
      <c r="B244" s="3" t="n"/>
    </row>
    <row r="245">
      <c r="A245" s="2" t="n"/>
      <c r="B245" s="3" t="n"/>
    </row>
    <row r="246">
      <c r="A246" s="2" t="n"/>
      <c r="B246" s="3" t="n"/>
    </row>
    <row r="247">
      <c r="A247" s="2" t="n"/>
      <c r="B247" s="3" t="n"/>
    </row>
    <row r="248">
      <c r="A248" s="2" t="n"/>
      <c r="B248" s="3" t="n"/>
    </row>
    <row r="249">
      <c r="A249" s="2" t="n"/>
      <c r="B249" s="3" t="n"/>
    </row>
    <row r="250">
      <c r="A250" s="2" t="n"/>
      <c r="B250" s="3" t="n"/>
    </row>
    <row r="251">
      <c r="A251" s="2" t="n"/>
      <c r="B251" s="3" t="n"/>
    </row>
    <row r="252">
      <c r="A252" s="2" t="n"/>
      <c r="B252" s="3" t="n"/>
    </row>
    <row r="253">
      <c r="A253" s="2" t="n"/>
      <c r="B253" s="3" t="n"/>
    </row>
    <row r="254">
      <c r="A254" s="2" t="n"/>
      <c r="B254" s="3" t="n"/>
    </row>
    <row r="255">
      <c r="A255" s="2" t="n"/>
      <c r="B255" s="3" t="n"/>
    </row>
    <row r="256">
      <c r="A256" s="2" t="n"/>
      <c r="B256" s="3" t="n"/>
    </row>
    <row r="257">
      <c r="A257" s="2" t="n"/>
      <c r="B257" s="3" t="n"/>
    </row>
    <row r="258">
      <c r="A258" s="2" t="n"/>
      <c r="B258" s="3" t="n"/>
    </row>
    <row r="259">
      <c r="A259" s="2" t="n"/>
      <c r="B259" s="3" t="n"/>
    </row>
    <row r="260">
      <c r="A260" s="2" t="n"/>
      <c r="B260" s="3" t="n"/>
    </row>
    <row r="261">
      <c r="A261" s="2" t="n"/>
      <c r="B261" s="3" t="n"/>
    </row>
    <row r="262">
      <c r="A262" s="2" t="n"/>
      <c r="B262" s="3" t="n"/>
    </row>
    <row r="263">
      <c r="A263" s="2" t="n"/>
      <c r="B263" s="3" t="n"/>
    </row>
    <row r="264">
      <c r="A264" s="2" t="n"/>
      <c r="B264" s="3" t="n"/>
    </row>
    <row r="265">
      <c r="A265" s="2" t="n"/>
      <c r="B265" s="3" t="n"/>
    </row>
    <row r="266">
      <c r="A266" s="2" t="n"/>
      <c r="B266" s="3" t="n"/>
    </row>
    <row r="267">
      <c r="A267" s="2" t="n"/>
      <c r="B267" s="3" t="n"/>
    </row>
    <row r="268">
      <c r="A268" s="2" t="n"/>
      <c r="B268" s="3" t="n"/>
    </row>
    <row r="269">
      <c r="A269" s="2" t="n"/>
      <c r="B269" s="3" t="n"/>
    </row>
    <row r="270">
      <c r="A270" s="2" t="n"/>
      <c r="B270" s="3" t="n"/>
    </row>
    <row r="271">
      <c r="A271" s="2" t="n"/>
      <c r="B271" s="3" t="n"/>
    </row>
    <row r="272">
      <c r="A272" s="2" t="n"/>
      <c r="B272" s="3" t="n"/>
    </row>
    <row r="273">
      <c r="A273" s="2" t="n"/>
      <c r="B273" s="3" t="n"/>
    </row>
    <row r="274">
      <c r="A274" s="2" t="n"/>
      <c r="B274" s="3" t="n"/>
    </row>
    <row r="275">
      <c r="A275" s="2" t="n"/>
      <c r="B275" s="3" t="n"/>
    </row>
    <row r="276">
      <c r="A276" s="2" t="n"/>
      <c r="B276" s="3" t="n"/>
    </row>
    <row r="277">
      <c r="A277" s="2" t="n"/>
      <c r="B277" s="3" t="n"/>
    </row>
    <row r="278">
      <c r="A278" s="2" t="n"/>
      <c r="B278" s="3" t="n"/>
    </row>
    <row r="279">
      <c r="A279" s="2" t="n"/>
      <c r="B279" s="3" t="n"/>
    </row>
    <row r="280">
      <c r="A280" s="2" t="n"/>
      <c r="B280" s="3" t="n"/>
    </row>
    <row r="281">
      <c r="A281" s="2" t="n"/>
      <c r="B281" s="3" t="n"/>
    </row>
    <row r="282">
      <c r="A282" s="2" t="n"/>
      <c r="B282" s="3" t="n"/>
    </row>
    <row r="283">
      <c r="A283" s="2" t="n"/>
      <c r="B283" s="3" t="n"/>
    </row>
    <row r="284">
      <c r="A284" s="2" t="n"/>
      <c r="B284" s="3" t="n"/>
    </row>
    <row r="285">
      <c r="A285" s="2" t="n"/>
      <c r="B285" s="3" t="n"/>
    </row>
    <row r="286">
      <c r="A286" s="2" t="n"/>
      <c r="B286" s="3" t="n"/>
    </row>
    <row r="287">
      <c r="A287" s="2" t="n"/>
      <c r="B287" s="3" t="n"/>
    </row>
    <row r="288">
      <c r="A288" s="2" t="n"/>
      <c r="B288" s="3" t="n"/>
    </row>
    <row r="289">
      <c r="A289" s="2" t="n"/>
      <c r="B289" s="3" t="n"/>
    </row>
    <row r="290">
      <c r="A290" s="2" t="n"/>
      <c r="B290" s="3" t="n"/>
    </row>
    <row r="291">
      <c r="A291" s="2" t="n"/>
      <c r="B291" s="3" t="n"/>
    </row>
    <row r="292">
      <c r="A292" s="2" t="n"/>
      <c r="B292" s="3" t="n"/>
    </row>
    <row r="293">
      <c r="A293" s="2" t="n"/>
      <c r="B293" s="3" t="n"/>
    </row>
    <row r="294">
      <c r="A294" s="2" t="n"/>
      <c r="B294" s="3" t="n"/>
    </row>
    <row r="295">
      <c r="A295" s="2" t="n"/>
      <c r="B295" s="3" t="n"/>
    </row>
    <row r="296">
      <c r="A296" s="2" t="n"/>
      <c r="B296" s="3" t="n"/>
    </row>
    <row r="297">
      <c r="A297" s="2" t="n"/>
      <c r="B297" s="3" t="n"/>
    </row>
    <row r="298">
      <c r="A298" s="2" t="n"/>
      <c r="B298" s="3" t="n"/>
    </row>
    <row r="299">
      <c r="A299" s="2" t="n"/>
      <c r="B299" s="3" t="n"/>
    </row>
    <row r="300">
      <c r="A300" s="2" t="n"/>
      <c r="B300" s="3" t="n"/>
    </row>
    <row r="301">
      <c r="A301" s="2" t="n"/>
      <c r="B301" s="3" t="n"/>
    </row>
    <row r="302">
      <c r="A302" s="2" t="n"/>
      <c r="B302" s="3" t="n"/>
    </row>
    <row r="303">
      <c r="A303" s="2" t="n"/>
      <c r="B303" s="3" t="n"/>
    </row>
    <row r="304">
      <c r="A304" s="2" t="n"/>
      <c r="B304" s="3" t="n"/>
    </row>
    <row r="305">
      <c r="A305" s="2" t="n"/>
      <c r="B305" s="3" t="n"/>
    </row>
    <row r="306">
      <c r="A306" s="2" t="n"/>
      <c r="B306" s="3" t="n"/>
    </row>
    <row r="307">
      <c r="A307" s="2" t="n"/>
      <c r="B307" s="3" t="n"/>
    </row>
    <row r="308">
      <c r="A308" s="2" t="n"/>
      <c r="B308" s="3" t="n"/>
    </row>
    <row r="309">
      <c r="A309" s="2" t="n"/>
      <c r="B309" s="3" t="n"/>
    </row>
    <row r="310">
      <c r="A310" s="2" t="n"/>
      <c r="B310" s="3" t="n"/>
    </row>
    <row r="311">
      <c r="A311" s="2" t="n"/>
      <c r="B311" s="3" t="n"/>
    </row>
    <row r="312">
      <c r="A312" s="2" t="n"/>
      <c r="B312" s="3" t="n"/>
    </row>
    <row r="313">
      <c r="A313" s="2" t="n"/>
      <c r="B313" s="3" t="n"/>
    </row>
    <row r="314">
      <c r="A314" s="2" t="n"/>
      <c r="B314" s="3" t="n"/>
    </row>
    <row r="315">
      <c r="A315" s="2" t="n"/>
      <c r="B315" s="3" t="n"/>
    </row>
    <row r="316">
      <c r="A316" s="2" t="n"/>
      <c r="B316" s="3" t="n"/>
    </row>
    <row r="317">
      <c r="A317" s="2" t="n"/>
      <c r="B317" s="3" t="n"/>
    </row>
    <row r="318">
      <c r="A318" s="2" t="n"/>
      <c r="B318" s="3" t="n"/>
    </row>
    <row r="319">
      <c r="A319" s="2" t="n"/>
      <c r="B319" s="3" t="n"/>
    </row>
    <row r="320">
      <c r="A320" s="2" t="n"/>
      <c r="B320" s="3" t="n"/>
    </row>
    <row r="321">
      <c r="A321" s="2" t="n"/>
      <c r="B321" s="3" t="n"/>
    </row>
    <row r="322">
      <c r="A322" s="2" t="n"/>
      <c r="B322" s="3" t="n"/>
    </row>
    <row r="323">
      <c r="A323" s="2" t="n"/>
      <c r="B323" s="3" t="n"/>
    </row>
    <row r="324">
      <c r="A324" s="2" t="n"/>
      <c r="B324" s="3" t="n"/>
    </row>
    <row r="325">
      <c r="A325" s="2" t="n"/>
      <c r="B325" s="3" t="n"/>
    </row>
    <row r="326">
      <c r="A326" s="2" t="n"/>
      <c r="B326" s="3" t="n"/>
    </row>
    <row r="327">
      <c r="A327" s="2" t="n"/>
      <c r="B327" s="3" t="n"/>
    </row>
    <row r="328">
      <c r="A328" s="2" t="n"/>
      <c r="B328" s="3" t="n"/>
    </row>
    <row r="329">
      <c r="A329" s="2" t="n"/>
      <c r="B329" s="3" t="n"/>
    </row>
    <row r="330">
      <c r="A330" s="2" t="n"/>
      <c r="B330" s="3" t="n"/>
    </row>
    <row r="331">
      <c r="A331" s="2" t="n"/>
      <c r="B331" s="3" t="n"/>
    </row>
    <row r="332">
      <c r="A332" s="2" t="n"/>
      <c r="B332" s="3" t="n"/>
    </row>
    <row r="333">
      <c r="A333" s="2" t="n"/>
      <c r="B333" s="3" t="n"/>
    </row>
    <row r="334">
      <c r="A334" s="2" t="n"/>
      <c r="B334" s="3" t="n"/>
    </row>
    <row r="335">
      <c r="A335" s="2" t="n"/>
      <c r="B335" s="3" t="n"/>
    </row>
    <row r="336">
      <c r="A336" s="2" t="n"/>
      <c r="B336" s="3" t="n"/>
    </row>
    <row r="337">
      <c r="A337" s="2" t="n"/>
      <c r="B337" s="3" t="n"/>
    </row>
    <row r="338">
      <c r="A338" s="2" t="n"/>
      <c r="B338" s="3" t="n"/>
    </row>
    <row r="339">
      <c r="A339" s="2" t="n"/>
      <c r="B339" s="3" t="n"/>
    </row>
    <row r="340">
      <c r="A340" s="2" t="n"/>
      <c r="B340" s="3" t="n"/>
    </row>
    <row r="341">
      <c r="A341" s="2" t="n"/>
      <c r="B341" s="3" t="n"/>
    </row>
    <row r="342">
      <c r="A342" s="2" t="n"/>
      <c r="B342" s="3" t="n"/>
    </row>
    <row r="343">
      <c r="A343" s="2" t="n"/>
      <c r="B343" s="3" t="n"/>
    </row>
    <row r="344">
      <c r="A344" s="2" t="n"/>
      <c r="B344" s="3" t="n"/>
    </row>
    <row r="345">
      <c r="A345" s="2" t="n"/>
      <c r="B345" s="3" t="n"/>
    </row>
    <row r="346">
      <c r="A346" s="2" t="n"/>
      <c r="B346" s="3" t="n"/>
    </row>
    <row r="347">
      <c r="A347" s="2" t="n"/>
      <c r="B347" s="3" t="n"/>
    </row>
    <row r="348">
      <c r="A348" s="2" t="n"/>
      <c r="B348" s="3" t="n"/>
    </row>
    <row r="349">
      <c r="A349" s="2" t="n"/>
      <c r="B349" s="3" t="n"/>
    </row>
    <row r="350">
      <c r="A350" s="2" t="n"/>
      <c r="B350" s="3" t="n"/>
    </row>
    <row r="351">
      <c r="A351" s="2" t="n"/>
      <c r="B351" s="3" t="n"/>
    </row>
    <row r="352">
      <c r="A352" s="2" t="n"/>
      <c r="B352" s="3" t="n"/>
    </row>
    <row r="353">
      <c r="A353" s="2" t="n"/>
      <c r="B353" s="3" t="n"/>
    </row>
    <row r="354">
      <c r="A354" s="2" t="n"/>
      <c r="B354" s="3" t="n"/>
    </row>
    <row r="355">
      <c r="A355" s="2" t="n"/>
      <c r="B355" s="3" t="n"/>
    </row>
    <row r="356">
      <c r="A356" s="2" t="n"/>
      <c r="B356" s="3" t="n"/>
    </row>
    <row r="357">
      <c r="A357" s="2" t="n"/>
      <c r="B357" s="3" t="n"/>
    </row>
    <row r="358">
      <c r="A358" s="2" t="n"/>
      <c r="B358" s="3" t="n"/>
    </row>
    <row r="359">
      <c r="A359" s="2" t="n"/>
      <c r="B359" s="3" t="n"/>
    </row>
    <row r="360">
      <c r="A360" s="2" t="n"/>
      <c r="B360" s="3" t="n"/>
    </row>
    <row r="361">
      <c r="A361" s="2" t="n"/>
      <c r="B361" s="3" t="n"/>
    </row>
    <row r="362">
      <c r="A362" s="2" t="n"/>
      <c r="B362" s="3" t="n"/>
    </row>
    <row r="363">
      <c r="A363" s="2" t="n"/>
      <c r="B363" s="3" t="n"/>
    </row>
    <row r="364">
      <c r="A364" s="2" t="n"/>
      <c r="B364" s="3" t="n"/>
    </row>
    <row r="365">
      <c r="A365" s="2" t="n"/>
      <c r="B365" s="3" t="n"/>
    </row>
    <row r="366">
      <c r="A366" s="2" t="n"/>
      <c r="B366" s="3" t="n"/>
    </row>
    <row r="367">
      <c r="A367" s="2" t="n"/>
      <c r="B367" s="3" t="n"/>
    </row>
    <row r="368">
      <c r="A368" s="2" t="n"/>
      <c r="B368" s="3" t="n"/>
    </row>
    <row r="369">
      <c r="A369" s="2" t="n"/>
      <c r="B369" s="3" t="n"/>
    </row>
    <row r="370">
      <c r="A370" s="2" t="n"/>
      <c r="B370" s="3" t="n"/>
    </row>
    <row r="371">
      <c r="A371" s="2" t="n"/>
      <c r="B371" s="3" t="n"/>
    </row>
    <row r="372">
      <c r="A372" s="2" t="n"/>
      <c r="B372" s="3" t="n"/>
    </row>
    <row r="373">
      <c r="A373" s="2" t="n"/>
      <c r="B373" s="3" t="n"/>
    </row>
    <row r="374">
      <c r="A374" s="2" t="n"/>
      <c r="B374" s="3" t="n"/>
    </row>
    <row r="375">
      <c r="A375" s="2" t="n"/>
      <c r="B375" s="3" t="n"/>
    </row>
    <row r="376">
      <c r="A376" s="2" t="n"/>
      <c r="B376" s="3" t="n"/>
    </row>
    <row r="377">
      <c r="A377" s="2" t="n"/>
      <c r="B377" s="3" t="n"/>
    </row>
    <row r="378">
      <c r="A378" s="2" t="n"/>
      <c r="B378" s="3" t="n"/>
    </row>
    <row r="379">
      <c r="A379" s="2" t="n"/>
      <c r="B379" s="3" t="n"/>
    </row>
    <row r="380">
      <c r="A380" s="2" t="n"/>
      <c r="B380" s="3" t="n"/>
    </row>
    <row r="381">
      <c r="A381" s="2" t="n"/>
      <c r="B381" s="3" t="n"/>
    </row>
    <row r="382">
      <c r="A382" s="2" t="n"/>
      <c r="B382" s="3" t="n"/>
    </row>
    <row r="383">
      <c r="A383" s="2" t="n"/>
      <c r="B383" s="3" t="n"/>
    </row>
    <row r="384">
      <c r="A384" s="2" t="n"/>
      <c r="B384" s="3" t="n"/>
    </row>
    <row r="385">
      <c r="A385" s="2" t="n"/>
      <c r="B385" s="3" t="n"/>
    </row>
    <row r="386">
      <c r="A386" s="2" t="n"/>
      <c r="B386" s="3" t="n"/>
    </row>
    <row r="387">
      <c r="A387" s="2" t="n"/>
      <c r="B387" s="3" t="n"/>
    </row>
    <row r="388">
      <c r="A388" s="2" t="n"/>
      <c r="B388" s="3" t="n"/>
    </row>
    <row r="389">
      <c r="A389" s="2" t="n"/>
      <c r="B389" s="3" t="n"/>
    </row>
    <row r="390">
      <c r="A390" s="2" t="n"/>
      <c r="B390" s="3" t="n"/>
    </row>
    <row r="391">
      <c r="A391" s="2" t="n"/>
      <c r="B391" s="3" t="n"/>
    </row>
    <row r="392">
      <c r="A392" s="2" t="n"/>
      <c r="B392" s="3" t="n"/>
    </row>
    <row r="393">
      <c r="A393" s="2" t="n"/>
      <c r="B393" s="3" t="n"/>
    </row>
    <row r="394">
      <c r="A394" s="2" t="n"/>
      <c r="B394" s="3" t="n"/>
    </row>
    <row r="395">
      <c r="A395" s="2" t="n"/>
      <c r="B395" s="3" t="n"/>
    </row>
    <row r="396">
      <c r="A396" s="2" t="n"/>
      <c r="B396" s="3" t="n"/>
    </row>
    <row r="397">
      <c r="A397" s="2" t="n"/>
      <c r="B397" s="3" t="n"/>
    </row>
    <row r="398">
      <c r="A398" s="2" t="n"/>
      <c r="B398" s="3" t="n"/>
    </row>
    <row r="399">
      <c r="A399" s="2" t="n"/>
      <c r="B399" s="3" t="n"/>
    </row>
    <row r="400">
      <c r="A400" s="2" t="n"/>
      <c r="B400" s="3" t="n"/>
    </row>
    <row r="401">
      <c r="A401" s="2" t="n"/>
      <c r="B401" s="3" t="n"/>
    </row>
    <row r="402">
      <c r="A402" s="2" t="n"/>
      <c r="B402" s="3" t="n"/>
    </row>
    <row r="403">
      <c r="A403" s="2" t="n"/>
      <c r="B403" s="3" t="n"/>
    </row>
    <row r="404">
      <c r="A404" s="2" t="n"/>
      <c r="B404" s="3" t="n"/>
    </row>
    <row r="405">
      <c r="A405" s="2" t="n"/>
      <c r="B405" s="3" t="n"/>
    </row>
    <row r="406">
      <c r="A406" s="2" t="n"/>
      <c r="B406" s="3" t="n"/>
    </row>
    <row r="407">
      <c r="A407" s="2" t="n"/>
      <c r="B407" s="3" t="n"/>
    </row>
    <row r="408">
      <c r="A408" s="2" t="n"/>
      <c r="B408" s="3" t="n"/>
    </row>
    <row r="409">
      <c r="A409" s="2" t="n"/>
      <c r="B409" s="3" t="n"/>
    </row>
    <row r="410">
      <c r="A410" s="2" t="n"/>
      <c r="B410" s="3" t="n"/>
    </row>
    <row r="411">
      <c r="A411" s="2" t="n"/>
      <c r="B411" s="3" t="n"/>
    </row>
    <row r="412">
      <c r="A412" s="2" t="n"/>
      <c r="B412" s="3" t="n"/>
    </row>
    <row r="413">
      <c r="A413" s="2" t="n"/>
      <c r="B413" s="3" t="n"/>
    </row>
    <row r="414">
      <c r="A414" s="2" t="n"/>
      <c r="B414" s="3" t="n"/>
    </row>
    <row r="415">
      <c r="A415" s="2" t="n"/>
      <c r="B415" s="3" t="n"/>
    </row>
    <row r="416">
      <c r="A416" s="2" t="n"/>
      <c r="B416" s="3" t="n"/>
    </row>
    <row r="417">
      <c r="A417" s="2" t="n"/>
      <c r="B417" s="3" t="n"/>
    </row>
    <row r="418">
      <c r="A418" s="2" t="n"/>
      <c r="B418" s="3" t="n"/>
    </row>
    <row r="419">
      <c r="A419" s="2" t="n"/>
      <c r="B419" s="3" t="n"/>
    </row>
    <row r="420">
      <c r="A420" s="2" t="n"/>
      <c r="B420" s="3" t="n"/>
    </row>
    <row r="421">
      <c r="A421" s="2" t="n"/>
      <c r="B421" s="3" t="n"/>
    </row>
    <row r="422">
      <c r="A422" s="2" t="n"/>
      <c r="B422" s="3" t="n"/>
    </row>
    <row r="423">
      <c r="A423" s="2" t="n"/>
      <c r="B423" s="3" t="n"/>
    </row>
    <row r="424">
      <c r="A424" s="2" t="n"/>
      <c r="B424" s="3" t="n"/>
    </row>
    <row r="425">
      <c r="A425" s="2" t="n"/>
      <c r="B425" s="3" t="n"/>
    </row>
    <row r="426">
      <c r="A426" s="2" t="n"/>
      <c r="B426" s="3" t="n"/>
    </row>
    <row r="427">
      <c r="A427" s="2" t="n"/>
      <c r="B427" s="3" t="n"/>
    </row>
    <row r="428">
      <c r="A428" s="2" t="n"/>
      <c r="B428" s="3" t="n"/>
    </row>
    <row r="429">
      <c r="A429" s="2" t="n"/>
      <c r="B429" s="3" t="n"/>
    </row>
    <row r="430">
      <c r="A430" s="2" t="n"/>
      <c r="B430" s="3" t="n"/>
    </row>
    <row r="431">
      <c r="A431" s="2" t="n"/>
      <c r="B431" s="3" t="n"/>
    </row>
    <row r="432">
      <c r="A432" s="2" t="n"/>
      <c r="B432" s="3" t="n"/>
    </row>
    <row r="433">
      <c r="A433" s="2" t="n"/>
      <c r="B433" s="3" t="n"/>
    </row>
    <row r="434">
      <c r="A434" s="2" t="n"/>
      <c r="B434" s="3" t="n"/>
    </row>
    <row r="435">
      <c r="A435" s="2" t="n"/>
      <c r="B435" s="3" t="n"/>
    </row>
    <row r="436">
      <c r="A436" s="2" t="n"/>
      <c r="B436" s="3" t="n"/>
    </row>
    <row r="437">
      <c r="A437" s="2" t="n"/>
      <c r="B437" s="3" t="n"/>
    </row>
    <row r="438">
      <c r="A438" s="2" t="n"/>
      <c r="B438" s="3" t="n"/>
    </row>
    <row r="439">
      <c r="A439" s="2" t="n"/>
      <c r="B439" s="3" t="n"/>
    </row>
    <row r="440">
      <c r="A440" s="2" t="n"/>
      <c r="B440" s="3" t="n"/>
    </row>
    <row r="441">
      <c r="A441" s="2" t="n"/>
      <c r="B441" s="3" t="n"/>
    </row>
    <row r="442">
      <c r="A442" s="2" t="n"/>
      <c r="B442" s="3" t="n"/>
    </row>
    <row r="443">
      <c r="A443" s="2" t="n"/>
      <c r="B443" s="3" t="n"/>
    </row>
    <row r="444">
      <c r="A444" s="2" t="n"/>
      <c r="B444" s="3" t="n"/>
    </row>
    <row r="445">
      <c r="A445" s="2" t="n"/>
      <c r="B445" s="3" t="n"/>
    </row>
    <row r="446">
      <c r="A446" s="2" t="n"/>
      <c r="B446" s="3" t="n"/>
    </row>
    <row r="447">
      <c r="A447" s="2" t="n"/>
      <c r="B447" s="3" t="n"/>
    </row>
    <row r="448">
      <c r="A448" s="2" t="n"/>
      <c r="B448" s="3" t="n"/>
    </row>
    <row r="449">
      <c r="A449" s="2" t="n"/>
      <c r="B449" s="3" t="n"/>
    </row>
    <row r="450">
      <c r="A450" s="2" t="n"/>
      <c r="B450" s="3" t="n"/>
    </row>
    <row r="451">
      <c r="A451" s="2" t="n"/>
      <c r="B451" s="3" t="n"/>
    </row>
    <row r="452">
      <c r="A452" s="2" t="n"/>
      <c r="B452" s="3" t="n"/>
    </row>
    <row r="453">
      <c r="A453" s="2" t="n"/>
      <c r="B453" s="3" t="n"/>
    </row>
    <row r="454">
      <c r="A454" s="2" t="n"/>
      <c r="B454" s="3" t="n"/>
    </row>
    <row r="455">
      <c r="A455" s="2" t="n"/>
      <c r="B455" s="3" t="n"/>
    </row>
    <row r="456">
      <c r="A456" s="2" t="n"/>
      <c r="B456" s="3" t="n"/>
    </row>
    <row r="457">
      <c r="A457" s="2" t="n"/>
      <c r="B457" s="3" t="n"/>
    </row>
    <row r="458">
      <c r="A458" s="2" t="n"/>
      <c r="B458" s="3" t="n"/>
    </row>
    <row r="459">
      <c r="A459" s="2" t="n"/>
      <c r="B459" s="3" t="n"/>
    </row>
    <row r="460">
      <c r="A460" s="2" t="n"/>
      <c r="B460" s="3" t="n"/>
    </row>
    <row r="461">
      <c r="A461" s="2" t="n"/>
      <c r="B461" s="3" t="n"/>
    </row>
    <row r="462">
      <c r="A462" s="2" t="n"/>
      <c r="B462" s="3" t="n"/>
    </row>
    <row r="463">
      <c r="A463" s="2" t="n"/>
      <c r="B463" s="3" t="n"/>
    </row>
    <row r="464">
      <c r="A464" s="2" t="n"/>
      <c r="B464" s="3" t="n"/>
    </row>
    <row r="465">
      <c r="A465" s="2" t="n"/>
      <c r="B465" s="3" t="n"/>
    </row>
    <row r="466">
      <c r="A466" s="2" t="n"/>
      <c r="B466" s="3" t="n"/>
    </row>
    <row r="467">
      <c r="A467" s="2" t="n"/>
      <c r="B467" s="3" t="n"/>
    </row>
    <row r="468">
      <c r="A468" s="2" t="n"/>
      <c r="B468" s="3" t="n"/>
    </row>
    <row r="469">
      <c r="A469" s="2" t="n"/>
      <c r="B469" s="3" t="n"/>
    </row>
    <row r="470">
      <c r="A470" s="2" t="n"/>
      <c r="B470" s="3" t="n"/>
    </row>
    <row r="471">
      <c r="A471" s="2" t="n"/>
      <c r="B471" s="3" t="n"/>
    </row>
    <row r="472">
      <c r="A472" s="2" t="n"/>
      <c r="B472" s="3" t="n"/>
    </row>
    <row r="473">
      <c r="A473" s="2" t="n"/>
      <c r="B473" s="3" t="n"/>
    </row>
    <row r="474">
      <c r="A474" s="2" t="n"/>
      <c r="B474" s="3" t="n"/>
    </row>
    <row r="475">
      <c r="A475" s="2" t="n"/>
      <c r="B475" s="3" t="n"/>
    </row>
    <row r="476">
      <c r="A476" s="2" t="n"/>
      <c r="B476" s="3" t="n"/>
    </row>
    <row r="477">
      <c r="A477" s="2" t="n"/>
      <c r="B477" s="3" t="n"/>
    </row>
    <row r="478">
      <c r="A478" s="2" t="n"/>
      <c r="B478" s="3" t="n"/>
    </row>
    <row r="479">
      <c r="A479" s="2" t="n"/>
      <c r="B479" s="3" t="n"/>
    </row>
    <row r="480">
      <c r="A480" s="2" t="n"/>
      <c r="B480" s="3" t="n"/>
    </row>
    <row r="481">
      <c r="A481" s="2" t="n"/>
      <c r="B481" s="3" t="n"/>
    </row>
    <row r="482">
      <c r="A482" s="2" t="n"/>
      <c r="B482" s="3" t="n"/>
    </row>
    <row r="483">
      <c r="A483" s="2" t="n"/>
      <c r="B483" s="3" t="n"/>
    </row>
    <row r="484">
      <c r="A484" s="2" t="n"/>
      <c r="B484" s="3" t="n"/>
    </row>
    <row r="485">
      <c r="A485" s="2" t="n"/>
      <c r="B485" s="3" t="n"/>
    </row>
    <row r="486">
      <c r="A486" s="2" t="n"/>
      <c r="B486" s="3" t="n"/>
    </row>
    <row r="487">
      <c r="A487" s="2" t="n"/>
      <c r="B487" s="3" t="n"/>
    </row>
    <row r="488">
      <c r="A488" s="2" t="n"/>
      <c r="B488" s="3" t="n"/>
    </row>
    <row r="489">
      <c r="A489" s="2" t="n"/>
      <c r="B489" s="3" t="n"/>
    </row>
    <row r="490">
      <c r="A490" s="2" t="n"/>
      <c r="B490" s="3" t="n"/>
    </row>
    <row r="491">
      <c r="A491" s="2" t="n"/>
      <c r="B491" s="3" t="n"/>
    </row>
    <row r="492">
      <c r="A492" s="2" t="n"/>
      <c r="B492" s="3" t="n"/>
    </row>
    <row r="493">
      <c r="A493" s="2" t="n"/>
      <c r="B493" s="3" t="n"/>
    </row>
    <row r="494">
      <c r="A494" s="2" t="n"/>
      <c r="B494" s="3" t="n"/>
    </row>
    <row r="495">
      <c r="A495" s="2" t="n"/>
      <c r="B495" s="3" t="n"/>
    </row>
    <row r="496">
      <c r="A496" s="2" t="n"/>
      <c r="B496" s="3" t="n"/>
    </row>
    <row r="497">
      <c r="A497" s="2" t="n"/>
      <c r="B497" s="3" t="n"/>
    </row>
    <row r="498">
      <c r="A498" s="2" t="n"/>
      <c r="B498" s="3" t="n"/>
    </row>
    <row r="499">
      <c r="A499" s="2" t="n"/>
      <c r="B499" s="3" t="n"/>
    </row>
    <row r="500">
      <c r="A500" s="2" t="n"/>
      <c r="B500" s="3" t="n"/>
    </row>
  </sheetData>
  <pageMargins left="0.75" right="0.75" top="1" bottom="1" header="0.5" footer="0.5"/>
  <pageSetup orientation="portrait" paperSize="1" fitToHeight="0" fitToWidth="1"/>
</worksheet>
</file>

<file path=xl/worksheets/sheet2.xml><?xml version="1.0" encoding="utf-8"?>
<worksheet xmlns="http://schemas.openxmlformats.org/spreadsheetml/2006/main">
  <sheetPr>
    <outlinePr summaryBelow="1" summaryRight="1"/>
    <pageSetUpPr fitToPage="1"/>
  </sheetPr>
  <dimension ref="A1:F26"/>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2" customWidth="1" min="6" max="6"/>
  </cols>
  <sheetData>
    <row r="1">
      <c r="A1" s="4" t="inlineStr">
        <is>
          <t>This year</t>
        </is>
      </c>
      <c r="B1" s="5" t="n">
        <v>2026</v>
      </c>
      <c r="C1" s="6">
        <f>IF(ISNUMBER(B1),IF(AND(B1=INT(B1),B1&gt;=1901,B1&lt;=9998),"OK","Type a whole year, like 2026"),"Type a whole year, like 2026")</f>
        <v/>
      </c>
      <c r="D1" s="4" t="inlineStr">
        <is>
          <t>Latest order</t>
        </is>
      </c>
      <c r="E1" s="7">
        <f>IF(COUNT(Orders!$A:$A)=0,"",MAX(Orders!$A:$A))</f>
        <v/>
      </c>
    </row>
    <row r="2">
      <c r="A2" s="4" t="inlineStr">
        <is>
          <t>Last year</t>
        </is>
      </c>
      <c r="B2" s="8">
        <f>IF(C1="OK",B1-1,"")</f>
        <v/>
      </c>
      <c r="D2" s="4" t="inlineStr">
        <is>
          <t>Check</t>
        </is>
      </c>
      <c r="E2" s="9">
        <f>IF(C1&lt;&gt;"OK","CHECK",IF(C16="",IF(AND(C21=0,ABS(D16-SUMIFS(Orders!$B:$B,Orders!$A:$A,"&gt;="&amp;DATE(B1-1,1,1),Orders!$A:$A,"&lt;"&amp;DATE(B1,1,1)))&lt;0.005,COUNTIFS(Orders!$A:$A,"&gt;="&amp;DATE(B1,1,1),Orders!$A:$A,"&lt;"&amp;DATE(B1+1,1,1))=0),"OK","CHECK"),IF(AND(C21=0,ABS(C16-SUMIFS(Orders!$B:$B,Orders!$A:$A,"&gt;="&amp;DATE(B1,1,1),Orders!$A:$A,"&lt;"&amp;DATE(B1+1,1,1)))&lt;0.005,ABS(D16-SUMIFS(Orders!$B:$B,Orders!$A:$A,"&gt;="&amp;DATE(B1-1,1,1),Orders!$A:$A,"&lt;"&amp;DATE(B1,1,1)))&lt;0.005),"OK","CHECK")))</f>
        <v/>
      </c>
    </row>
    <row r="3" ht="30" customHeight="1">
      <c r="A3" s="1" t="inlineStr">
        <is>
          <t>Month</t>
        </is>
      </c>
      <c r="B3" s="1" t="inlineStr">
        <is>
          <t>Month starts</t>
        </is>
      </c>
      <c r="C3" s="1" t="inlineStr">
        <is>
          <t>This year</t>
        </is>
      </c>
      <c r="D3" s="1" t="inlineStr">
        <is>
          <t>Last year</t>
        </is>
      </c>
      <c r="E3" s="1" t="inlineStr">
        <is>
          <t>Change ($)</t>
        </is>
      </c>
      <c r="F3" s="1" t="inlineStr">
        <is>
          <t>Change (%)</t>
        </is>
      </c>
    </row>
    <row r="4">
      <c r="A4" s="10">
        <f>IF(B4="","",TEXT(B4,"mmmm"))</f>
        <v/>
      </c>
      <c r="B4" s="7">
        <f>IF($C$1&lt;&gt;"OK","",DATE($B$1,ROWS($A$4:A4),1))</f>
        <v/>
      </c>
      <c r="C4" s="11">
        <f>IF(B4="","",IF(NOT(ISNUMBER($E$1)),"",IF(B4&gt;$E$1,"",SUMIFS(Orders!$B:$B,Orders!$A:$A,"&gt;="&amp;B4,Orders!$A:$A,"&lt;"&amp;EDATE(B4,1)))))</f>
        <v/>
      </c>
      <c r="D4" s="11">
        <f>IF(B4="","",SUMIFS(Orders!$B:$B,Orders!$A:$A,"&gt;="&amp;EDATE(B4,-12),Orders!$A:$A,"&lt;"&amp;EDATE(B4,-11)))</f>
        <v/>
      </c>
      <c r="E4" s="11">
        <f>IF(OR(C4="",D4=""),"",ROUND(C4-D4,2))</f>
        <v/>
      </c>
      <c r="F4" s="12">
        <f>IF(OR(C4="",D4=""),"",IF(D4=0,"n/a",C4/D4-1))</f>
        <v/>
      </c>
    </row>
    <row r="5">
      <c r="A5" s="10">
        <f>IF(B5="","",TEXT(B5,"mmmm"))</f>
        <v/>
      </c>
      <c r="B5" s="7">
        <f>IF($C$1&lt;&gt;"OK","",DATE($B$1,ROWS($A$4:A5),1))</f>
        <v/>
      </c>
      <c r="C5" s="11">
        <f>IF(B5="","",IF(NOT(ISNUMBER($E$1)),"",IF(B5&gt;$E$1,"",SUMIFS(Orders!$B:$B,Orders!$A:$A,"&gt;="&amp;B5,Orders!$A:$A,"&lt;"&amp;EDATE(B5,1)))))</f>
        <v/>
      </c>
      <c r="D5" s="11">
        <f>IF(B5="","",SUMIFS(Orders!$B:$B,Orders!$A:$A,"&gt;="&amp;EDATE(B5,-12),Orders!$A:$A,"&lt;"&amp;EDATE(B5,-11)))</f>
        <v/>
      </c>
      <c r="E5" s="11">
        <f>IF(OR(C5="",D5=""),"",ROUND(C5-D5,2))</f>
        <v/>
      </c>
      <c r="F5" s="12">
        <f>IF(OR(C5="",D5=""),"",IF(D5=0,"n/a",C5/D5-1))</f>
        <v/>
      </c>
    </row>
    <row r="6">
      <c r="A6" s="10">
        <f>IF(B6="","",TEXT(B6,"mmmm"))</f>
        <v/>
      </c>
      <c r="B6" s="7">
        <f>IF($C$1&lt;&gt;"OK","",DATE($B$1,ROWS($A$4:A6),1))</f>
        <v/>
      </c>
      <c r="C6" s="11">
        <f>IF(B6="","",IF(NOT(ISNUMBER($E$1)),"",IF(B6&gt;$E$1,"",SUMIFS(Orders!$B:$B,Orders!$A:$A,"&gt;="&amp;B6,Orders!$A:$A,"&lt;"&amp;EDATE(B6,1)))))</f>
        <v/>
      </c>
      <c r="D6" s="11">
        <f>IF(B6="","",SUMIFS(Orders!$B:$B,Orders!$A:$A,"&gt;="&amp;EDATE(B6,-12),Orders!$A:$A,"&lt;"&amp;EDATE(B6,-11)))</f>
        <v/>
      </c>
      <c r="E6" s="11">
        <f>IF(OR(C6="",D6=""),"",ROUND(C6-D6,2))</f>
        <v/>
      </c>
      <c r="F6" s="12">
        <f>IF(OR(C6="",D6=""),"",IF(D6=0,"n/a",C6/D6-1))</f>
        <v/>
      </c>
    </row>
    <row r="7">
      <c r="A7" s="10">
        <f>IF(B7="","",TEXT(B7,"mmmm"))</f>
        <v/>
      </c>
      <c r="B7" s="7">
        <f>IF($C$1&lt;&gt;"OK","",DATE($B$1,ROWS($A$4:A7),1))</f>
        <v/>
      </c>
      <c r="C7" s="11">
        <f>IF(B7="","",IF(NOT(ISNUMBER($E$1)),"",IF(B7&gt;$E$1,"",SUMIFS(Orders!$B:$B,Orders!$A:$A,"&gt;="&amp;B7,Orders!$A:$A,"&lt;"&amp;EDATE(B7,1)))))</f>
        <v/>
      </c>
      <c r="D7" s="11">
        <f>IF(B7="","",SUMIFS(Orders!$B:$B,Orders!$A:$A,"&gt;="&amp;EDATE(B7,-12),Orders!$A:$A,"&lt;"&amp;EDATE(B7,-11)))</f>
        <v/>
      </c>
      <c r="E7" s="11">
        <f>IF(OR(C7="",D7=""),"",ROUND(C7-D7,2))</f>
        <v/>
      </c>
      <c r="F7" s="12">
        <f>IF(OR(C7="",D7=""),"",IF(D7=0,"n/a",C7/D7-1))</f>
        <v/>
      </c>
    </row>
    <row r="8">
      <c r="A8" s="10">
        <f>IF(B8="","",TEXT(B8,"mmmm"))</f>
        <v/>
      </c>
      <c r="B8" s="7">
        <f>IF($C$1&lt;&gt;"OK","",DATE($B$1,ROWS($A$4:A8),1))</f>
        <v/>
      </c>
      <c r="C8" s="11">
        <f>IF(B8="","",IF(NOT(ISNUMBER($E$1)),"",IF(B8&gt;$E$1,"",SUMIFS(Orders!$B:$B,Orders!$A:$A,"&gt;="&amp;B8,Orders!$A:$A,"&lt;"&amp;EDATE(B8,1)))))</f>
        <v/>
      </c>
      <c r="D8" s="11">
        <f>IF(B8="","",SUMIFS(Orders!$B:$B,Orders!$A:$A,"&gt;="&amp;EDATE(B8,-12),Orders!$A:$A,"&lt;"&amp;EDATE(B8,-11)))</f>
        <v/>
      </c>
      <c r="E8" s="11">
        <f>IF(OR(C8="",D8=""),"",ROUND(C8-D8,2))</f>
        <v/>
      </c>
      <c r="F8" s="12">
        <f>IF(OR(C8="",D8=""),"",IF(D8=0,"n/a",C8/D8-1))</f>
        <v/>
      </c>
    </row>
    <row r="9">
      <c r="A9" s="10">
        <f>IF(B9="","",TEXT(B9,"mmmm"))</f>
        <v/>
      </c>
      <c r="B9" s="7">
        <f>IF($C$1&lt;&gt;"OK","",DATE($B$1,ROWS($A$4:A9),1))</f>
        <v/>
      </c>
      <c r="C9" s="11">
        <f>IF(B9="","",IF(NOT(ISNUMBER($E$1)),"",IF(B9&gt;$E$1,"",SUMIFS(Orders!$B:$B,Orders!$A:$A,"&gt;="&amp;B9,Orders!$A:$A,"&lt;"&amp;EDATE(B9,1)))))</f>
        <v/>
      </c>
      <c r="D9" s="11">
        <f>IF(B9="","",SUMIFS(Orders!$B:$B,Orders!$A:$A,"&gt;="&amp;EDATE(B9,-12),Orders!$A:$A,"&lt;"&amp;EDATE(B9,-11)))</f>
        <v/>
      </c>
      <c r="E9" s="11">
        <f>IF(OR(C9="",D9=""),"",ROUND(C9-D9,2))</f>
        <v/>
      </c>
      <c r="F9" s="12">
        <f>IF(OR(C9="",D9=""),"",IF(D9=0,"n/a",C9/D9-1))</f>
        <v/>
      </c>
    </row>
    <row r="10">
      <c r="A10" s="10">
        <f>IF(B10="","",TEXT(B10,"mmmm"))</f>
        <v/>
      </c>
      <c r="B10" s="7">
        <f>IF($C$1&lt;&gt;"OK","",DATE($B$1,ROWS($A$4:A10),1))</f>
        <v/>
      </c>
      <c r="C10" s="11">
        <f>IF(B10="","",IF(NOT(ISNUMBER($E$1)),"",IF(B10&gt;$E$1,"",SUMIFS(Orders!$B:$B,Orders!$A:$A,"&gt;="&amp;B10,Orders!$A:$A,"&lt;"&amp;EDATE(B10,1)))))</f>
        <v/>
      </c>
      <c r="D10" s="11">
        <f>IF(B10="","",SUMIFS(Orders!$B:$B,Orders!$A:$A,"&gt;="&amp;EDATE(B10,-12),Orders!$A:$A,"&lt;"&amp;EDATE(B10,-11)))</f>
        <v/>
      </c>
      <c r="E10" s="11">
        <f>IF(OR(C10="",D10=""),"",ROUND(C10-D10,2))</f>
        <v/>
      </c>
      <c r="F10" s="12">
        <f>IF(OR(C10="",D10=""),"",IF(D10=0,"n/a",C10/D10-1))</f>
        <v/>
      </c>
    </row>
    <row r="11">
      <c r="A11" s="10">
        <f>IF(B11="","",TEXT(B11,"mmmm"))</f>
        <v/>
      </c>
      <c r="B11" s="7">
        <f>IF($C$1&lt;&gt;"OK","",DATE($B$1,ROWS($A$4:A11),1))</f>
        <v/>
      </c>
      <c r="C11" s="11">
        <f>IF(B11="","",IF(NOT(ISNUMBER($E$1)),"",IF(B11&gt;$E$1,"",SUMIFS(Orders!$B:$B,Orders!$A:$A,"&gt;="&amp;B11,Orders!$A:$A,"&lt;"&amp;EDATE(B11,1)))))</f>
        <v/>
      </c>
      <c r="D11" s="11">
        <f>IF(B11="","",SUMIFS(Orders!$B:$B,Orders!$A:$A,"&gt;="&amp;EDATE(B11,-12),Orders!$A:$A,"&lt;"&amp;EDATE(B11,-11)))</f>
        <v/>
      </c>
      <c r="E11" s="11">
        <f>IF(OR(C11="",D11=""),"",ROUND(C11-D11,2))</f>
        <v/>
      </c>
      <c r="F11" s="12">
        <f>IF(OR(C11="",D11=""),"",IF(D11=0,"n/a",C11/D11-1))</f>
        <v/>
      </c>
    </row>
    <row r="12">
      <c r="A12" s="10">
        <f>IF(B12="","",TEXT(B12,"mmmm"))</f>
        <v/>
      </c>
      <c r="B12" s="7">
        <f>IF($C$1&lt;&gt;"OK","",DATE($B$1,ROWS($A$4:A12),1))</f>
        <v/>
      </c>
      <c r="C12" s="11">
        <f>IF(B12="","",IF(NOT(ISNUMBER($E$1)),"",IF(B12&gt;$E$1,"",SUMIFS(Orders!$B:$B,Orders!$A:$A,"&gt;="&amp;B12,Orders!$A:$A,"&lt;"&amp;EDATE(B12,1)))))</f>
        <v/>
      </c>
      <c r="D12" s="11">
        <f>IF(B12="","",SUMIFS(Orders!$B:$B,Orders!$A:$A,"&gt;="&amp;EDATE(B12,-12),Orders!$A:$A,"&lt;"&amp;EDATE(B12,-11)))</f>
        <v/>
      </c>
      <c r="E12" s="11">
        <f>IF(OR(C12="",D12=""),"",ROUND(C12-D12,2))</f>
        <v/>
      </c>
      <c r="F12" s="12">
        <f>IF(OR(C12="",D12=""),"",IF(D12=0,"n/a",C12/D12-1))</f>
        <v/>
      </c>
    </row>
    <row r="13">
      <c r="A13" s="10">
        <f>IF(B13="","",TEXT(B13,"mmmm"))</f>
        <v/>
      </c>
      <c r="B13" s="7">
        <f>IF($C$1&lt;&gt;"OK","",DATE($B$1,ROWS($A$4:A13),1))</f>
        <v/>
      </c>
      <c r="C13" s="11">
        <f>IF(B13="","",IF(NOT(ISNUMBER($E$1)),"",IF(B13&gt;$E$1,"",SUMIFS(Orders!$B:$B,Orders!$A:$A,"&gt;="&amp;B13,Orders!$A:$A,"&lt;"&amp;EDATE(B13,1)))))</f>
        <v/>
      </c>
      <c r="D13" s="11">
        <f>IF(B13="","",SUMIFS(Orders!$B:$B,Orders!$A:$A,"&gt;="&amp;EDATE(B13,-12),Orders!$A:$A,"&lt;"&amp;EDATE(B13,-11)))</f>
        <v/>
      </c>
      <c r="E13" s="11">
        <f>IF(OR(C13="",D13=""),"",ROUND(C13-D13,2))</f>
        <v/>
      </c>
      <c r="F13" s="12">
        <f>IF(OR(C13="",D13=""),"",IF(D13=0,"n/a",C13/D13-1))</f>
        <v/>
      </c>
    </row>
    <row r="14">
      <c r="A14" s="10">
        <f>IF(B14="","",TEXT(B14,"mmmm"))</f>
        <v/>
      </c>
      <c r="B14" s="7">
        <f>IF($C$1&lt;&gt;"OK","",DATE($B$1,ROWS($A$4:A14),1))</f>
        <v/>
      </c>
      <c r="C14" s="11">
        <f>IF(B14="","",IF(NOT(ISNUMBER($E$1)),"",IF(B14&gt;$E$1,"",SUMIFS(Orders!$B:$B,Orders!$A:$A,"&gt;="&amp;B14,Orders!$A:$A,"&lt;"&amp;EDATE(B14,1)))))</f>
        <v/>
      </c>
      <c r="D14" s="11">
        <f>IF(B14="","",SUMIFS(Orders!$B:$B,Orders!$A:$A,"&gt;="&amp;EDATE(B14,-12),Orders!$A:$A,"&lt;"&amp;EDATE(B14,-11)))</f>
        <v/>
      </c>
      <c r="E14" s="11">
        <f>IF(OR(C14="",D14=""),"",ROUND(C14-D14,2))</f>
        <v/>
      </c>
      <c r="F14" s="12">
        <f>IF(OR(C14="",D14=""),"",IF(D14=0,"n/a",C14/D14-1))</f>
        <v/>
      </c>
    </row>
    <row r="15">
      <c r="A15" s="10">
        <f>IF(B15="","",TEXT(B15,"mmmm"))</f>
        <v/>
      </c>
      <c r="B15" s="7">
        <f>IF($C$1&lt;&gt;"OK","",DATE($B$1,ROWS($A$4:A15),1))</f>
        <v/>
      </c>
      <c r="C15" s="11">
        <f>IF(B15="","",IF(NOT(ISNUMBER($E$1)),"",IF(B15&gt;$E$1,"",SUMIFS(Orders!$B:$B,Orders!$A:$A,"&gt;="&amp;B15,Orders!$A:$A,"&lt;"&amp;EDATE(B15,1)))))</f>
        <v/>
      </c>
      <c r="D15" s="11">
        <f>IF(B15="","",SUMIFS(Orders!$B:$B,Orders!$A:$A,"&gt;="&amp;EDATE(B15,-12),Orders!$A:$A,"&lt;"&amp;EDATE(B15,-11)))</f>
        <v/>
      </c>
      <c r="E15" s="11">
        <f>IF(OR(C15="",D15=""),"",ROUND(C15-D15,2))</f>
        <v/>
      </c>
      <c r="F15" s="12">
        <f>IF(OR(C15="",D15=""),"",IF(D15=0,"n/a",C15/D15-1))</f>
        <v/>
      </c>
    </row>
    <row r="16">
      <c r="A16" s="4" t="inlineStr">
        <is>
          <t>Total</t>
        </is>
      </c>
      <c r="C16" s="11">
        <f>IF(OR($C$1&lt;&gt;"OK",COUNT(C4:C15)=0),"",SUM(C4:C15))</f>
        <v/>
      </c>
      <c r="D16" s="11">
        <f>IF($C$1&lt;&gt;"OK","",SUM(D4:D15))</f>
        <v/>
      </c>
      <c r="E16" s="11">
        <f>IF(OR(C16="",D16=""),"",ROUND(C16-D16,2))</f>
        <v/>
      </c>
      <c r="F16" s="12">
        <f>IF(OR(C16="",D16=""),"",IF(D16=0,"n/a",C16/D16-1))</f>
        <v/>
      </c>
    </row>
    <row r="17">
      <c r="A17" s="4" t="inlineStr">
        <is>
          <t>Last year, same months only</t>
        </is>
      </c>
      <c r="C17" s="11" t="n"/>
      <c r="D17" s="11">
        <f>IF(C16="","",SUMPRODUCT(--ISNUMBER(C4:C15),D4:D15))</f>
        <v/>
      </c>
      <c r="E17" s="11">
        <f>IF(OR(C16="",D17=""),"",ROUND(C16-D17,2))</f>
        <v/>
      </c>
      <c r="F17" s="12">
        <f>IF(OR(C16="",D17=""),"",IF(D17=0,"n/a",C16/D17-1))</f>
        <v/>
      </c>
    </row>
    <row r="19">
      <c r="A19" s="4" t="inlineStr">
        <is>
          <t>Best month (biggest $ gain)</t>
        </is>
      </c>
      <c r="C19" s="9">
        <f>IF(COUNT(E4:E15)=0,"n/a",IF(MAX(E4:E15)&lt;=0,"No month is up",INDEX(A4:A15,MATCH(MAX(E4:E15),E4:E15,0))))</f>
        <v/>
      </c>
    </row>
    <row r="20">
      <c r="A20" s="4" t="inlineStr">
        <is>
          <t>Weakest month (biggest $ drop)</t>
        </is>
      </c>
      <c r="C20" s="9">
        <f>IF(COUNT(E4:E15)=0,"n/a",IF(MIN(E4:E15)&gt;=0,"No month is down",INDEX(A4:A15,MATCH(MIN(E4:E15),E4:E15,0))))</f>
        <v/>
      </c>
    </row>
    <row r="21">
      <c r="A21" s="4" t="inlineStr">
        <is>
          <t>Orders without a real date</t>
        </is>
      </c>
      <c r="C21" s="9">
        <f>SUMPRODUCT(--(Orders!$B$2:$B$1000&lt;&gt;""),--NOT(ISNUMBER(Orders!$A$2:$A$1000)))</f>
        <v/>
      </c>
    </row>
    <row r="22">
      <c r="A22" s="4" t="inlineStr">
        <is>
          <t>Orders in other years</t>
        </is>
      </c>
      <c r="C22" s="9">
        <f>IF(C1&lt;&gt;"OK",0,COUNT(Orders!$A$2:$A$1000)-COUNTIFS(Orders!$A$2:$A$1000,"&gt;="&amp;DATE(B1-1,1,1),Orders!$A$2:$A$1000,"&lt;"&amp;DATE(B1+1,1,1)))</f>
        <v/>
      </c>
    </row>
    <row r="24">
      <c r="A24" s="13" t="inlineStr">
        <is>
          <t>A blank this-year cell means the month starts after the latest order.</t>
        </is>
      </c>
    </row>
    <row r="25">
      <c r="A25" s="13" t="inlineStr">
        <is>
          <t>Nothing is recorded yet. It is not a month of zero sales.</t>
        </is>
      </c>
    </row>
    <row r="26">
      <c r="A26" s="13" t="inlineStr">
        <is>
          <t>The latest month shown may be partial. With no month shown, totals stay blank.</t>
        </is>
      </c>
    </row>
  </sheetData>
  <conditionalFormatting sqref="E2">
    <cfRule type="expression" priority="1" dxfId="0">
      <formula>$E$2&lt;&gt;"OK"</formula>
    </cfRule>
  </conditionalFormatting>
  <conditionalFormatting sqref="C1">
    <cfRule type="expression" priority="2" dxfId="0">
      <formula>$C$1&lt;&gt;"OK"</formula>
    </cfRule>
  </conditionalFormatting>
  <conditionalFormatting sqref="F4:F15">
    <cfRule type="expression" priority="3" dxfId="0">
      <formula>ISNUMBER(F4)*(F4&lt;0)</formula>
    </cfRule>
    <cfRule type="expression" priority="4" dxfId="1">
      <formula>F4="n/a"</formula>
    </cfRule>
  </conditionalFormatting>
  <dataValidations count="1">
    <dataValidation sqref="B1" showDropDown="0" showInputMessage="0" showErrorMessage="0" allowBlank="0" type="whole" operator="between">
      <formula1>1901</formula1>
      <formula2>9998</formula2>
    </dataValidation>
  </dataValidations>
  <pageMargins left="0.75" right="0.75" top="1" bottom="1" header="0.5" footer="0.5"/>
  <pageSetup orientation="landscape" paperSize="1" fitToHeight="0" fitToWidth="1"/>
</worksheet>
</file>

<file path=xl/worksheets/sheet3.xml><?xml version="1.0" encoding="utf-8"?>
<worksheet xmlns="http://schemas.openxmlformats.org/spreadsheetml/2006/main">
  <sheetPr>
    <outlinePr summaryBelow="1" summaryRight="1"/>
    <pageSetUpPr fitToPage="1"/>
  </sheetPr>
  <dimension ref="A1:A14"/>
  <sheetViews>
    <sheetView workbookViewId="0">
      <selection activeCell="A1" sqref="A1"/>
    </sheetView>
  </sheetViews>
  <sheetFormatPr baseColWidth="8" defaultRowHeight="15"/>
  <cols>
    <col width="100" customWidth="1" min="1" max="1"/>
  </cols>
  <sheetData>
    <row r="1">
      <c r="A1" s="14" t="inlineStr">
        <is>
          <t>Tidy Tabs: Compare This Year's Sales to Last Year, Month by Month</t>
        </is>
      </c>
    </row>
    <row r="2">
      <c r="A2" s="15" t="inlineStr"/>
    </row>
    <row r="3">
      <c r="A3" s="15" t="inlineStr">
        <is>
          <t>1. Orders tab: type the order date and amount in A2:B500 (yellow). The sample is 120 fictional orders from an online shop, from 01/01/2025 to 09/29/2026. A refund is a negative amount. The formulas read whole columns A and B, so orders added below are counted.</t>
        </is>
      </c>
    </row>
    <row r="4">
      <c r="A4" s="15" t="inlineStr">
        <is>
          <t>2. Year over year tab: type the year to look at in B1 (yellow, 2026). B2 is the year before. C1 shows OK when B1 is a whole year.</t>
        </is>
      </c>
    </row>
    <row r="5">
      <c r="A5" s="15" t="inlineStr">
        <is>
          <t>3. Month starts, B4: =DATE($B$1,ROWS($A$4:A4),1). ROWS counts 1, 2, 3 ... down the table, so each row is the next month.</t>
        </is>
      </c>
    </row>
    <row r="6">
      <c r="A6" s="15" t="inlineStr">
        <is>
          <t>4. This year, C4: =SUMIFS(Orders!$B:$B,Orders!$A:$A,"&gt;="&amp;B4,Orders!$A:$A,"&lt;"&amp;EDATE(B4,1)). It adds amounts dated on or after the first of the month and before the first of the next month, so the first and last day of the month are both included. A month that starts after the latest order date (E1) is left blank.</t>
        </is>
      </c>
    </row>
    <row r="7">
      <c r="A7" s="15" t="inlineStr">
        <is>
          <t>5. Last year, D4: the same SUMIFS with EDATE(B4,-12) and EDATE(B4,-11), the same month one year earlier. Change ($), E4: =ROUND(C4-D4,2). Change (%), F4: =IF(D4=0,"n/a",C4/D4-1), so a month with no sales last year shows n/a, not #DIV/0!.</t>
        </is>
      </c>
    </row>
    <row r="8">
      <c r="A8" s="15" t="inlineStr">
        <is>
          <t>6. Totals, row 16. Row 17 compares this year with last year over only the months shown in this year, which is the fair comparison when this year is not over.</t>
        </is>
      </c>
    </row>
    <row r="9">
      <c r="A9" s="15" t="inlineStr">
        <is>
          <t>7. Best month, C19: =INDEX(A4:A15,MATCH(MAX(E4:E15),E4:E15,0)), the month with the biggest dollar gain; the weakest month is the same with MIN. A tie gives the first month.</t>
        </is>
      </c>
    </row>
    <row r="10">
      <c r="A10" s="15" t="inlineStr">
        <is>
          <t>8. E2 shows OK when the year is valid, no order has a missing or text date, and both yearly totals equal a SUMIFS over the full calendar year. C22 counts orders from other years (not an error).</t>
        </is>
      </c>
    </row>
    <row r="11">
      <c r="A11" s="15" t="inlineStr">
        <is>
          <t>9. A percent change on a month with a small or negative base can look extreme. The sheet shows the numbers; it does not judge them.</t>
        </is>
      </c>
    </row>
    <row r="12">
      <c r="A12" s="15" t="inlineStr"/>
    </row>
    <row r="13">
      <c r="A13" s="15" t="inlineStr">
        <is>
          <t>Orders and amounts are fictional. Checked in LibreOffice Calc only; not opened in Excel or Google Sheets.</t>
        </is>
      </c>
    </row>
    <row r="14">
      <c r="A14" s="15"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2026-10-29T07:41:14Z</dcterms:created>
  <dcterms:modified xmlns:dcterms="http://purl.org/dc/terms/" xmlns:xsi="http://www.w3.org/2001/XMLSchema-instance" xsi:type="dcterms:W3CDTF">2026-10-29T07:41:14Z</dcterms:modified>
</cp:coreProperties>
</file>