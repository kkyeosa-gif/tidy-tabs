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ext date demo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C0000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34" customWidth="1" min="5" max="5"/>
    <col width="14" customWidth="1" min="6" max="6"/>
  </cols>
  <sheetData>
    <row r="1" ht="30" customHeight="1">
      <c r="A1" s="1" t="inlineStr">
        <is>
          <t>Sale date</t>
        </is>
      </c>
      <c r="B1" s="1" t="inlineStr">
        <is>
          <t>Customer</t>
        </is>
      </c>
      <c r="C1" s="1" t="inlineStr">
        <is>
          <t>Amount</t>
        </is>
      </c>
      <c r="E1" s="2" t="inlineStr">
        <is>
          <t>Report date (type a date)</t>
        </is>
      </c>
      <c r="F1" s="3" t="n">
        <v>46265</v>
      </c>
    </row>
    <row r="2">
      <c r="A2" s="4" t="n">
        <v>46034</v>
      </c>
      <c r="B2" t="inlineStr">
        <is>
          <t>Harbor Coffee</t>
        </is>
      </c>
      <c r="C2" s="5" t="n">
        <v>1250</v>
      </c>
      <c r="E2" s="2" t="inlineStr">
        <is>
          <t>Year-to-date sales</t>
        </is>
      </c>
      <c r="F2" s="6">
        <f>SUMIFS(C2:C500,A2:A500,"&gt;="&amp;DATE(YEAR(F1),1,1),A2:A500,"&lt;="&amp;F1)</f>
        <v/>
      </c>
    </row>
    <row r="3">
      <c r="A3" s="4" t="n">
        <v>46050</v>
      </c>
      <c r="B3" t="inlineStr">
        <is>
          <t>Maple Street Bakery</t>
        </is>
      </c>
      <c r="C3" s="5" t="n">
        <v>480</v>
      </c>
      <c r="E3" s="2" t="inlineStr">
        <is>
          <t>Month-to-date sales</t>
        </is>
      </c>
      <c r="F3" s="6">
        <f>SUMIFS(C2:C500,A2:A500,"&gt;="&amp;DATE(YEAR(F1),MONTH(F1),1),A2:A500,"&lt;="&amp;F1)</f>
        <v/>
      </c>
    </row>
    <row r="4">
      <c r="A4" s="4" t="n">
        <v>46063</v>
      </c>
      <c r="B4" t="inlineStr">
        <is>
          <t>Oak &amp; Ember Candles</t>
        </is>
      </c>
      <c r="C4" s="5" t="n">
        <v>920.5</v>
      </c>
      <c r="E4" s="2" t="inlineStr">
        <is>
          <t>Whole report month (EOMONTH)</t>
        </is>
      </c>
      <c r="F4" s="6">
        <f>SUMIFS(C2:C500,A2:A500,"&gt;="&amp;DATE(YEAR(F1),MONTH(F1),1),A2:A500,"&lt;="&amp;EOMONTH(F1,0))</f>
        <v/>
      </c>
    </row>
    <row r="5">
      <c r="A5" s="4" t="n">
        <v>46077</v>
      </c>
      <c r="B5" t="inlineStr">
        <is>
          <t>Harbor Coffee</t>
        </is>
      </c>
      <c r="C5" s="5" t="n">
        <v>1100</v>
      </c>
      <c r="E5" s="2" t="inlineStr">
        <is>
          <t>Start of year</t>
        </is>
      </c>
      <c r="F5" s="7">
        <f>DATE(YEAR(F1),1,1)</f>
        <v/>
      </c>
    </row>
    <row r="6">
      <c r="A6" s="4" t="n">
        <v>46119</v>
      </c>
      <c r="B6" t="inlineStr">
        <is>
          <t>Maple Street Bakery</t>
        </is>
      </c>
      <c r="C6" s="5" t="n">
        <v>640</v>
      </c>
      <c r="E6" s="2" t="inlineStr">
        <is>
          <t>Start of month</t>
        </is>
      </c>
      <c r="F6" s="7">
        <f>DATE(YEAR(F1),MONTH(F1),1)</f>
        <v/>
      </c>
    </row>
    <row r="7">
      <c r="A7" s="4" t="n">
        <v>46161</v>
      </c>
      <c r="B7" t="inlineStr">
        <is>
          <t>Harbor Coffee</t>
        </is>
      </c>
      <c r="C7" s="5" t="n">
        <v>1380.75</v>
      </c>
      <c r="E7" s="2" t="inlineStr">
        <is>
          <t>Month end</t>
        </is>
      </c>
      <c r="F7" s="7">
        <f>EOMONTH(F1,0)</f>
        <v/>
      </c>
    </row>
    <row r="8">
      <c r="A8" s="4" t="n">
        <v>46196</v>
      </c>
      <c r="B8" t="inlineStr">
        <is>
          <t>Oak &amp; Ember Candles</t>
        </is>
      </c>
      <c r="C8" s="5" t="n">
        <v>705</v>
      </c>
      <c r="E8" s="2" t="inlineStr">
        <is>
          <t>Rows with a real date (check)</t>
        </is>
      </c>
      <c r="F8" s="8">
        <f>COUNT(A2:A500)</f>
        <v/>
      </c>
    </row>
    <row r="9">
      <c r="A9" s="4" t="n">
        <v>46211</v>
      </c>
      <c r="B9" t="inlineStr">
        <is>
          <t>Lakeview Florist</t>
        </is>
      </c>
      <c r="C9" s="5" t="n">
        <v>450</v>
      </c>
      <c r="E9" s="2" t="inlineStr">
        <is>
          <t>Rows with an amount (check)</t>
        </is>
      </c>
      <c r="F9" s="8">
        <f>COUNT(C2:C500)</f>
        <v/>
      </c>
    </row>
    <row r="10">
      <c r="A10" s="4" t="n">
        <v>46233</v>
      </c>
      <c r="B10" t="inlineStr">
        <is>
          <t>Harbor Coffee</t>
        </is>
      </c>
      <c r="C10" s="5" t="n">
        <v>1015</v>
      </c>
    </row>
    <row r="11">
      <c r="A11" s="4" t="n">
        <v>46238</v>
      </c>
      <c r="B11" t="inlineStr">
        <is>
          <t>Maple Street Bakery</t>
        </is>
      </c>
      <c r="C11" s="5" t="n">
        <v>520.5</v>
      </c>
    </row>
    <row r="12">
      <c r="A12" s="4" t="n">
        <v>46252</v>
      </c>
      <c r="B12" t="inlineStr">
        <is>
          <t>Oak &amp; Ember Candles</t>
        </is>
      </c>
      <c r="C12" s="5" t="n">
        <v>860</v>
      </c>
    </row>
    <row r="13">
      <c r="A13" s="4" t="n">
        <v>46265</v>
      </c>
      <c r="B13" t="inlineStr">
        <is>
          <t>Lakeview Florist</t>
        </is>
      </c>
      <c r="C13" s="5" t="n">
        <v>275</v>
      </c>
    </row>
    <row r="14">
      <c r="A14" s="4" t="n">
        <v>46277</v>
      </c>
      <c r="B14" t="inlineStr">
        <is>
          <t>Harbor Coffee</t>
        </is>
      </c>
      <c r="C14" s="5" t="n">
        <v>1190</v>
      </c>
    </row>
    <row r="15">
      <c r="A15" s="4" t="n">
        <v>46298</v>
      </c>
      <c r="B15" t="inlineStr">
        <is>
          <t>Lakeview Florist</t>
        </is>
      </c>
      <c r="C15" s="5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34" customWidth="1" min="5" max="5"/>
    <col width="14" customWidth="1" min="6" max="6"/>
  </cols>
  <sheetData>
    <row r="1" ht="30" customHeight="1">
      <c r="A1" s="1" t="inlineStr">
        <is>
          <t>Sale date</t>
        </is>
      </c>
      <c r="B1" s="1" t="inlineStr">
        <is>
          <t>Customer</t>
        </is>
      </c>
      <c r="C1" s="1" t="inlineStr">
        <is>
          <t>Amount</t>
        </is>
      </c>
      <c r="E1" s="2" t="inlineStr">
        <is>
          <t>Report date (type a date)</t>
        </is>
      </c>
      <c r="F1" s="3" t="n">
        <v>46265</v>
      </c>
    </row>
    <row r="2">
      <c r="A2" s="4" t="n">
        <v>46034</v>
      </c>
      <c r="B2" t="inlineStr">
        <is>
          <t>Harbor Coffee</t>
        </is>
      </c>
      <c r="C2" s="5" t="n">
        <v>1250</v>
      </c>
      <c r="E2" s="2" t="inlineStr">
        <is>
          <t>Year-to-date sales</t>
        </is>
      </c>
      <c r="F2" s="6">
        <f>SUMIFS(C2:C500,A2:A500,"&gt;="&amp;DATE(YEAR(F1),1,1),A2:A500,"&lt;="&amp;F1)</f>
        <v/>
      </c>
    </row>
    <row r="3">
      <c r="A3" s="4" t="n">
        <v>46050</v>
      </c>
      <c r="B3" t="inlineStr">
        <is>
          <t>Maple Street Bakery</t>
        </is>
      </c>
      <c r="C3" s="5" t="n">
        <v>480</v>
      </c>
      <c r="E3" s="2" t="inlineStr">
        <is>
          <t>Month-to-date sales</t>
        </is>
      </c>
      <c r="F3" s="6">
        <f>SUMIFS(C2:C500,A2:A500,"&gt;="&amp;DATE(YEAR(F1),MONTH(F1),1),A2:A500,"&lt;="&amp;F1)</f>
        <v/>
      </c>
    </row>
    <row r="4">
      <c r="A4" s="4" t="n">
        <v>46063</v>
      </c>
      <c r="B4" t="inlineStr">
        <is>
          <t>Oak &amp; Ember Candles</t>
        </is>
      </c>
      <c r="C4" s="5" t="n">
        <v>920.5</v>
      </c>
      <c r="E4" s="2" t="inlineStr">
        <is>
          <t>Whole report month (EOMONTH)</t>
        </is>
      </c>
      <c r="F4" s="6">
        <f>SUMIFS(C2:C500,A2:A500,"&gt;="&amp;DATE(YEAR(F1),MONTH(F1),1),A2:A500,"&lt;="&amp;EOMONTH(F1,0))</f>
        <v/>
      </c>
    </row>
    <row r="5">
      <c r="A5" s="4" t="n">
        <v>46077</v>
      </c>
      <c r="B5" t="inlineStr">
        <is>
          <t>Harbor Coffee</t>
        </is>
      </c>
      <c r="C5" s="5" t="n">
        <v>1100</v>
      </c>
      <c r="E5" s="2" t="inlineStr">
        <is>
          <t>Start of year</t>
        </is>
      </c>
      <c r="F5" s="7">
        <f>DATE(YEAR(F1),1,1)</f>
        <v/>
      </c>
    </row>
    <row r="6">
      <c r="A6" s="4" t="n">
        <v>46119</v>
      </c>
      <c r="B6" t="inlineStr">
        <is>
          <t>Maple Street Bakery</t>
        </is>
      </c>
      <c r="C6" s="5" t="n">
        <v>640</v>
      </c>
      <c r="E6" s="2" t="inlineStr">
        <is>
          <t>Start of month</t>
        </is>
      </c>
      <c r="F6" s="7">
        <f>DATE(YEAR(F1),MONTH(F1),1)</f>
        <v/>
      </c>
    </row>
    <row r="7">
      <c r="A7" s="4" t="n">
        <v>46161</v>
      </c>
      <c r="B7" t="inlineStr">
        <is>
          <t>Harbor Coffee</t>
        </is>
      </c>
      <c r="C7" s="5" t="n">
        <v>1380.75</v>
      </c>
      <c r="E7" s="2" t="inlineStr">
        <is>
          <t>Month end</t>
        </is>
      </c>
      <c r="F7" s="7">
        <f>EOMONTH(F1,0)</f>
        <v/>
      </c>
    </row>
    <row r="8">
      <c r="A8" s="4" t="n">
        <v>46196</v>
      </c>
      <c r="B8" t="inlineStr">
        <is>
          <t>Oak &amp; Ember Candles</t>
        </is>
      </c>
      <c r="C8" s="5" t="n">
        <v>705</v>
      </c>
      <c r="E8" s="2" t="inlineStr">
        <is>
          <t>Rows with a real date (check)</t>
        </is>
      </c>
      <c r="F8" s="8">
        <f>COUNT(A2:A500)</f>
        <v/>
      </c>
    </row>
    <row r="9">
      <c r="A9" s="4" t="n">
        <v>46211</v>
      </c>
      <c r="B9" t="inlineStr">
        <is>
          <t>Lakeview Florist</t>
        </is>
      </c>
      <c r="C9" s="5" t="n">
        <v>450</v>
      </c>
      <c r="E9" s="2" t="inlineStr">
        <is>
          <t>Rows with an amount (check)</t>
        </is>
      </c>
      <c r="F9" s="8">
        <f>COUNT(C2:C500)</f>
        <v/>
      </c>
    </row>
    <row r="10">
      <c r="A10" s="4" t="n">
        <v>46233</v>
      </c>
      <c r="B10" t="inlineStr">
        <is>
          <t>Harbor Coffee</t>
        </is>
      </c>
      <c r="C10" s="5" t="n">
        <v>1015</v>
      </c>
    </row>
    <row r="11">
      <c r="A11" s="4" t="n">
        <v>46238</v>
      </c>
      <c r="B11" t="inlineStr">
        <is>
          <t>Maple Street Bakery</t>
        </is>
      </c>
      <c r="C11" s="5" t="n">
        <v>520.5</v>
      </c>
      <c r="E11" s="9" t="inlineStr">
        <is>
          <t>Row 12 (08/18/2026) is stored as text on purpose.</t>
        </is>
      </c>
    </row>
    <row r="12">
      <c r="A12" s="10" t="inlineStr">
        <is>
          <t>08/18/2026</t>
        </is>
      </c>
      <c r="B12" t="inlineStr">
        <is>
          <t>Oak &amp; Ember Candles</t>
        </is>
      </c>
      <c r="C12" s="5" t="n">
        <v>860</v>
      </c>
    </row>
    <row r="13">
      <c r="A13" s="4" t="n">
        <v>46265</v>
      </c>
      <c r="B13" t="inlineStr">
        <is>
          <t>Lakeview Florist</t>
        </is>
      </c>
      <c r="C13" s="5" t="n">
        <v>275</v>
      </c>
    </row>
    <row r="14">
      <c r="A14" s="4" t="n">
        <v>46277</v>
      </c>
      <c r="B14" t="inlineStr">
        <is>
          <t>Harbor Coffee</t>
        </is>
      </c>
      <c r="C14" s="5" t="n">
        <v>1190</v>
      </c>
    </row>
    <row r="15">
      <c r="A15" s="4" t="n">
        <v>46298</v>
      </c>
      <c r="B15" t="inlineStr">
        <is>
          <t>Lakeview Florist</t>
        </is>
      </c>
      <c r="C15" s="5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Year-to-Date Sales Total</t>
        </is>
      </c>
    </row>
    <row r="2">
      <c r="A2" t="inlineStr"/>
    </row>
    <row r="3">
      <c r="A3" t="inlineStr">
        <is>
          <t>1. Sales tab: one row per sale. Type the Sale date (a real date), Customer, and Amount.</t>
        </is>
      </c>
    </row>
    <row r="4">
      <c r="A4" t="inlineStr">
        <is>
          <t>2. F1 is the Report date. Type the date you want totals through. The sample uses 08/31/2026 so the numbers stay put; you can type =TODAY() instead for a live total.</t>
        </is>
      </c>
    </row>
    <row r="5">
      <c r="A5" t="inlineStr">
        <is>
          <t>3. Year-to-date (F2) = SUMIFS(C2:C500, A2:A500, "&gt;="&amp;DATE(YEAR(F1),1,1), A2:A500, "&lt;="&amp;F1). It adds amounts dated January 1 of the report year through the report date.</t>
        </is>
      </c>
    </row>
    <row r="6">
      <c r="A6" t="inlineStr">
        <is>
          <t>4. Month-to-date (F3) is the same with DATE(YEAR(F1),MONTH(F1),1) as the start. F4 uses EOMONTH(F1,0) as the end to total the whole month.</t>
        </is>
      </c>
    </row>
    <row r="7">
      <c r="A7" t="inlineStr">
        <is>
          <t>5. Change F1 and watch F2 to F4 move. Sales after the report date, like the 09/12/2026 and 10/03/2026 rows, are left out.</t>
        </is>
      </c>
    </row>
    <row r="8">
      <c r="A8" t="inlineStr">
        <is>
          <t>6. Text date demo tab: the same data, but the 08/18/2026 date is stored as text. SUMIFS skips it; compare the totals with the Sales tab. F8 and F9 count real dates and amounts, so a gap means a text date.</t>
        </is>
      </c>
    </row>
    <row r="9">
      <c r="A9" t="inlineStr">
        <is>
          <t>7. Add rows under the last sale. The formulas read down to row 500.</t>
        </is>
      </c>
    </row>
    <row r="10">
      <c r="A10" t="inlineStr"/>
    </row>
    <row r="11">
      <c r="A11" t="inlineStr">
        <is>
          <t>Customers and amounts are fictional.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2026-10-07T07:27:11Z</dcterms:created>
  <dcterms:modified xmlns:dcterms="http://purl.org/dc/terms/" xmlns:xsi="http://www.w3.org/2001/XMLSchema-instance" xsi:type="dcterms:W3CDTF">2026-10-07T07:27:11Z</dcterms:modified>
</cp:coreProperties>
</file>