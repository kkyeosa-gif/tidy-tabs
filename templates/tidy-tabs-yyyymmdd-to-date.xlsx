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vert" sheetId="1" state="visible" r:id="rId1"/>
    <sheet xmlns:r="http://schemas.openxmlformats.org/officeDocument/2006/relationships" name="By month" sheetId="2" state="visible" r:id="rId2"/>
    <sheet xmlns:r="http://schemas.openxmlformats.org/officeDocument/2006/relationships" name="How to use" sheetId="3" state="visible" r:id="rId3"/>
  </sheets>
  <definedNames>
    <definedName name="_xlnm.Print_Titles" localSheetId="0">'Convert'!$1:$1</definedName>
    <definedName name="_xlnm.Print_Area" localSheetId="0">'Convert'!$A$1:$I$21</definedName>
    <definedName name="_xlnm.Print_Titles" localSheetId="1">'By month'!$1:$1</definedName>
    <definedName name="_xlnm.Print_Area" localSheetId="1">'By month'!$A$1:$H$15</definedName>
  </definedNames>
  <calcPr calcId="124519" fullCalcOnLoad="1"/>
</workbook>
</file>

<file path=xl/styles.xml><?xml version="1.0" encoding="utf-8"?>
<styleSheet xmlns="http://schemas.openxmlformats.org/spreadsheetml/2006/main">
  <numFmts count="2">
    <numFmt numFmtId="164" formatCode="mm/dd/yyyy"/>
    <numFmt numFmtId="165" formatCode="mm/dd/yyyy h:mm AM/PM"/>
  </numFmts>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0" borderId="0" pivotButton="0" quotePrefix="0" xfId="0"/>
    <xf numFmtId="1" fontId="0" fillId="4" borderId="0" applyAlignment="1" pivotButton="0" quotePrefix="0" xfId="0">
      <alignment horizontal="right"/>
    </xf>
    <xf numFmtId="1" fontId="0" fillId="3" borderId="0" pivotButton="0" quotePrefix="0" xfId="0"/>
    <xf numFmtId="49" fontId="0" fillId="3" borderId="0" pivotButton="0" quotePrefix="0" xfId="0"/>
    <xf numFmtId="164" fontId="0" fillId="4" borderId="0" pivotButton="0" quotePrefix="0" xfId="0"/>
    <xf numFmtId="165" fontId="0" fillId="4" borderId="0" pivotButton="0" quotePrefix="0" xfId="0"/>
    <xf numFmtId="0" fontId="0" fillId="4" borderId="0" pivotButton="0" quotePrefix="0" xfId="0"/>
    <xf numFmtId="0" fontId="0" fillId="4" borderId="0" applyAlignment="1" pivotButton="0" quotePrefix="0" xfId="0">
      <alignment horizontal="right"/>
    </xf>
    <xf numFmtId="0" fontId="2" fillId="4"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10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6" customWidth="1" min="3" max="3"/>
    <col width="15" customWidth="1" min="4" max="4"/>
    <col width="15" customWidth="1" min="5" max="5"/>
    <col width="22" customWidth="1" min="6" max="6"/>
    <col width="12" customWidth="1" min="7" max="7"/>
    <col width="12" customWidth="1" min="8" max="8"/>
    <col width="12" customWidth="1" min="9" max="9"/>
    <col width="3" customWidth="1" min="10" max="10"/>
    <col width="40" customWidth="1" min="11" max="11"/>
    <col width="14" customWidth="1" min="12" max="12"/>
  </cols>
  <sheetData>
    <row r="1" ht="46" customHeight="1">
      <c r="A1" s="1" t="inlineStr">
        <is>
          <t>Number (like 20261021)</t>
        </is>
      </c>
      <c r="B1" s="1" t="inlineStr">
        <is>
          <t>Text (like "20261021")</t>
        </is>
      </c>
      <c r="C1" s="1" t="inlineStr">
        <is>
          <t>ISO text (like 2026-10-21T14:35:00)</t>
        </is>
      </c>
      <c r="D1" s="1" t="inlineStr">
        <is>
          <t>Date from number</t>
        </is>
      </c>
      <c r="E1" s="1" t="inlineStr">
        <is>
          <t>Date from text</t>
        </is>
      </c>
      <c r="F1" s="1" t="inlineStr">
        <is>
          <t>Date and time from ISO text</t>
        </is>
      </c>
      <c r="G1" s="1" t="inlineStr">
        <is>
          <t>Check number</t>
        </is>
      </c>
      <c r="H1" s="1" t="inlineStr">
        <is>
          <t>Check text</t>
        </is>
      </c>
      <c r="I1" s="1" t="inlineStr">
        <is>
          <t>Check ISO</t>
        </is>
      </c>
      <c r="K1" s="2" t="inlineStr">
        <is>
          <t>Values typed (all three columns)</t>
        </is>
      </c>
      <c r="L1" s="3">
        <f>COUNTA(A2:C101)</f>
        <v/>
      </c>
    </row>
    <row r="2">
      <c r="A2" s="4" t="n">
        <v>20261021</v>
      </c>
      <c r="B2" s="5" t="inlineStr">
        <is>
          <t>20261021</t>
        </is>
      </c>
      <c r="C2" s="5" t="inlineStr">
        <is>
          <t>2026-10-21T14:35:00</t>
        </is>
      </c>
      <c r="D2" s="6">
        <f>IF(A2="","",IF(ISNUMBER(A2),IFERROR(DATE(INT(A2/10000),MOD(INT(A2/100),100),MOD(A2,100)),"Check date"),"Check date"))</f>
        <v/>
      </c>
      <c r="E2" s="6">
        <f>IF(TRIM(B2)="","",IFERROR(DATE(LEFT(B2,4),MID(B2,5,2),RIGHT(B2,2)),"Check date"))</f>
        <v/>
      </c>
      <c r="F2" s="7">
        <f>IF(TRIM(C2)="","",IFERROR(DATE(LEFT(C2,4),MID(C2,6,2),MID(C2,9,2))+TIME(MID(C2,12,2),MID(C2,15,2),0),"Check date"))</f>
        <v/>
      </c>
      <c r="G2" s="8">
        <f>IF(A2="","",IF(ISNUMBER(D2),IF(TEXT(D2,"yyyymmdd")=A2&amp;"","OK","Check date"),"Check date"))</f>
        <v/>
      </c>
      <c r="H2" s="8">
        <f>IF(TRIM(B2)="","",IF(ISNUMBER(E2),IF(TEXT(E2,"yyyymmdd")=B2&amp;"","OK","Check date"),"Check date"))</f>
        <v/>
      </c>
      <c r="I2" s="8">
        <f>IF(TRIM(C2)="","",IF(ISNUMBER(F2),IF(TEXT(F2,"yyyy-mm-dd")&amp;"T"&amp;TEXT(F2,"hh:mm")=LEFT(C2,16),"OK","Check date"),"Check date"))</f>
        <v/>
      </c>
      <c r="K2" s="2" t="inlineStr">
        <is>
          <t>Converted without a flag</t>
        </is>
      </c>
      <c r="L2" s="3">
        <f>COUNTIF(G2:I101,"OK")</f>
        <v/>
      </c>
    </row>
    <row r="3">
      <c r="A3" s="4" t="n">
        <v>20260105</v>
      </c>
      <c r="B3" s="5" t="inlineStr">
        <is>
          <t>20260914</t>
        </is>
      </c>
      <c r="C3" s="5" t="inlineStr">
        <is>
          <t>2026-10-21T09:05:00</t>
        </is>
      </c>
      <c r="D3" s="6">
        <f>IF(A3="","",IF(ISNUMBER(A3),IFERROR(DATE(INT(A3/10000),MOD(INT(A3/100),100),MOD(A3,100)),"Check date"),"Check date"))</f>
        <v/>
      </c>
      <c r="E3" s="6">
        <f>IF(TRIM(B3)="","",IFERROR(DATE(LEFT(B3,4),MID(B3,5,2),RIGHT(B3,2)),"Check date"))</f>
        <v/>
      </c>
      <c r="F3" s="7">
        <f>IF(TRIM(C3)="","",IFERROR(DATE(LEFT(C3,4),MID(C3,6,2),MID(C3,9,2))+TIME(MID(C3,12,2),MID(C3,15,2),0),"Check date"))</f>
        <v/>
      </c>
      <c r="G3" s="8">
        <f>IF(A3="","",IF(ISNUMBER(D3),IF(TEXT(D3,"yyyymmdd")=A3&amp;"","OK","Check date"),"Check date"))</f>
        <v/>
      </c>
      <c r="H3" s="8">
        <f>IF(TRIM(B3)="","",IF(ISNUMBER(E3),IF(TEXT(E3,"yyyymmdd")=B3&amp;"","OK","Check date"),"Check date"))</f>
        <v/>
      </c>
      <c r="I3" s="8">
        <f>IF(TRIM(C3)="","",IF(ISNUMBER(F3),IF(TEXT(F3,"yyyy-mm-dd")&amp;"T"&amp;TEXT(F3,"hh:mm")=LEFT(C3,16),"OK","Check date"),"Check date"))</f>
        <v/>
      </c>
      <c r="K3" s="2" t="inlineStr">
        <is>
          <t>Flagged Check date</t>
        </is>
      </c>
      <c r="L3" s="3">
        <f>COUNTIF(G2:I101,"Check date")</f>
        <v/>
      </c>
    </row>
    <row r="4">
      <c r="A4" s="4" t="n">
        <v>20260228</v>
      </c>
      <c r="B4" s="5" t="inlineStr">
        <is>
          <t>20260802</t>
        </is>
      </c>
      <c r="C4" s="5" t="inlineStr">
        <is>
          <t>2026-09-30T23:59:00</t>
        </is>
      </c>
      <c r="D4" s="6">
        <f>IF(A4="","",IF(ISNUMBER(A4),IFERROR(DATE(INT(A4/10000),MOD(INT(A4/100),100),MOD(A4,100)),"Check date"),"Check date"))</f>
        <v/>
      </c>
      <c r="E4" s="6">
        <f>IF(TRIM(B4)="","",IFERROR(DATE(LEFT(B4,4),MID(B4,5,2),RIGHT(B4,2)),"Check date"))</f>
        <v/>
      </c>
      <c r="F4" s="7">
        <f>IF(TRIM(C4)="","",IFERROR(DATE(LEFT(C4,4),MID(C4,6,2),MID(C4,9,2))+TIME(MID(C4,12,2),MID(C4,15,2),0),"Check date"))</f>
        <v/>
      </c>
      <c r="G4" s="8">
        <f>IF(A4="","",IF(ISNUMBER(D4),IF(TEXT(D4,"yyyymmdd")=A4&amp;"","OK","Check date"),"Check date"))</f>
        <v/>
      </c>
      <c r="H4" s="8">
        <f>IF(TRIM(B4)="","",IF(ISNUMBER(E4),IF(TEXT(E4,"yyyymmdd")=B4&amp;"","OK","Check date"),"Check date"))</f>
        <v/>
      </c>
      <c r="I4" s="8">
        <f>IF(TRIM(C4)="","",IF(ISNUMBER(F4),IF(TEXT(F4,"yyyy-mm-dd")&amp;"T"&amp;TEXT(F4,"hh:mm")=LEFT(C4,16),"OK","Check date"),"Check date"))</f>
        <v/>
      </c>
      <c r="K4" s="2" t="inlineStr">
        <is>
          <t>Check: every value converted and verified</t>
        </is>
      </c>
      <c r="L4" s="9">
        <f>IF(AND(L3=0,L2=L1),"OK","CHECK")</f>
        <v/>
      </c>
    </row>
    <row r="5">
      <c r="A5" s="4" t="n">
        <v>20240229</v>
      </c>
      <c r="B5" s="5" t="inlineStr">
        <is>
          <t>20260630</t>
        </is>
      </c>
      <c r="C5" s="5" t="inlineStr">
        <is>
          <t>2026-09-01T00:00:00</t>
        </is>
      </c>
      <c r="D5" s="6">
        <f>IF(A5="","",IF(ISNUMBER(A5),IFERROR(DATE(INT(A5/10000),MOD(INT(A5/100),100),MOD(A5,100)),"Check date"),"Check date"))</f>
        <v/>
      </c>
      <c r="E5" s="6">
        <f>IF(TRIM(B5)="","",IFERROR(DATE(LEFT(B5,4),MID(B5,5,2),RIGHT(B5,2)),"Check date"))</f>
        <v/>
      </c>
      <c r="F5" s="7">
        <f>IF(TRIM(C5)="","",IFERROR(DATE(LEFT(C5,4),MID(C5,6,2),MID(C5,9,2))+TIME(MID(C5,12,2),MID(C5,15,2),0),"Check date"))</f>
        <v/>
      </c>
      <c r="G5" s="8">
        <f>IF(A5="","",IF(ISNUMBER(D5),IF(TEXT(D5,"yyyymmdd")=A5&amp;"","OK","Check date"),"Check date"))</f>
        <v/>
      </c>
      <c r="H5" s="8">
        <f>IF(TRIM(B5)="","",IF(ISNUMBER(E5),IF(TEXT(E5,"yyyymmdd")=B5&amp;"","OK","Check date"),"Check date"))</f>
        <v/>
      </c>
      <c r="I5" s="8">
        <f>IF(TRIM(C5)="","",IF(ISNUMBER(F5),IF(TEXT(F5,"yyyy-mm-dd")&amp;"T"&amp;TEXT(F5,"hh:mm")=LEFT(C5,16),"OK","Check date"),"Check date"))</f>
        <v/>
      </c>
    </row>
    <row r="6">
      <c r="A6" s="4" t="n">
        <v>20261231</v>
      </c>
      <c r="B6" s="5" t="inlineStr">
        <is>
          <t>20261001</t>
        </is>
      </c>
      <c r="C6" s="5" t="inlineStr">
        <is>
          <t>2026-08-15T12:00:00</t>
        </is>
      </c>
      <c r="D6" s="6">
        <f>IF(A6="","",IF(ISNUMBER(A6),IFERROR(DATE(INT(A6/10000),MOD(INT(A6/100),100),MOD(A6,100)),"Check date"),"Check date"))</f>
        <v/>
      </c>
      <c r="E6" s="6">
        <f>IF(TRIM(B6)="","",IFERROR(DATE(LEFT(B6,4),MID(B6,5,2),RIGHT(B6,2)),"Check date"))</f>
        <v/>
      </c>
      <c r="F6" s="7">
        <f>IF(TRIM(C6)="","",IFERROR(DATE(LEFT(C6,4),MID(C6,6,2),MID(C6,9,2))+TIME(MID(C6,12,2),MID(C6,15,2),0),"Check date"))</f>
        <v/>
      </c>
      <c r="G6" s="8">
        <f>IF(A6="","",IF(ISNUMBER(D6),IF(TEXT(D6,"yyyymmdd")=A6&amp;"","OK","Check date"),"Check date"))</f>
        <v/>
      </c>
      <c r="H6" s="8">
        <f>IF(TRIM(B6)="","",IF(ISNUMBER(E6),IF(TEXT(E6,"yyyymmdd")=B6&amp;"","OK","Check date"),"Check date"))</f>
        <v/>
      </c>
      <c r="I6" s="8">
        <f>IF(TRIM(C6)="","",IF(ISNUMBER(F6),IF(TEXT(F6,"yyyy-mm-dd")&amp;"T"&amp;TEXT(F6,"hh:mm")=LEFT(C6,16),"OK","Check date"),"Check date"))</f>
        <v/>
      </c>
    </row>
    <row r="7">
      <c r="A7" s="4" t="n">
        <v>20260101</v>
      </c>
      <c r="B7" s="5" t="inlineStr">
        <is>
          <t>20260520</t>
        </is>
      </c>
      <c r="C7" s="5" t="inlineStr">
        <is>
          <t>2026-07-04T08:30:00</t>
        </is>
      </c>
      <c r="D7" s="6">
        <f>IF(A7="","",IF(ISNUMBER(A7),IFERROR(DATE(INT(A7/10000),MOD(INT(A7/100),100),MOD(A7,100)),"Check date"),"Check date"))</f>
        <v/>
      </c>
      <c r="E7" s="6">
        <f>IF(TRIM(B7)="","",IFERROR(DATE(LEFT(B7,4),MID(B7,5,2),RIGHT(B7,2)),"Check date"))</f>
        <v/>
      </c>
      <c r="F7" s="7">
        <f>IF(TRIM(C7)="","",IFERROR(DATE(LEFT(C7,4),MID(C7,6,2),MID(C7,9,2))+TIME(MID(C7,12,2),MID(C7,15,2),0),"Check date"))</f>
        <v/>
      </c>
      <c r="G7" s="8">
        <f>IF(A7="","",IF(ISNUMBER(D7),IF(TEXT(D7,"yyyymmdd")=A7&amp;"","OK","Check date"),"Check date"))</f>
        <v/>
      </c>
      <c r="H7" s="8">
        <f>IF(TRIM(B7)="","",IF(ISNUMBER(E7),IF(TEXT(E7,"yyyymmdd")=B7&amp;"","OK","Check date"),"Check date"))</f>
        <v/>
      </c>
      <c r="I7" s="8">
        <f>IF(TRIM(C7)="","",IF(ISNUMBER(F7),IF(TEXT(F7,"yyyy-mm-dd")&amp;"T"&amp;TEXT(F7,"hh:mm")=LEFT(C7,16),"OK","Check date"),"Check date"))</f>
        <v/>
      </c>
    </row>
    <row r="8">
      <c r="A8" s="4" t="n">
        <v>20260704</v>
      </c>
      <c r="B8" s="5" t="inlineStr">
        <is>
          <t>20260411</t>
        </is>
      </c>
      <c r="C8" s="5" t="inlineStr">
        <is>
          <t>2026-06-12T17:45:00</t>
        </is>
      </c>
      <c r="D8" s="6">
        <f>IF(A8="","",IF(ISNUMBER(A8),IFERROR(DATE(INT(A8/10000),MOD(INT(A8/100),100),MOD(A8,100)),"Check date"),"Check date"))</f>
        <v/>
      </c>
      <c r="E8" s="6">
        <f>IF(TRIM(B8)="","",IFERROR(DATE(LEFT(B8,4),MID(B8,5,2),RIGHT(B8,2)),"Check date"))</f>
        <v/>
      </c>
      <c r="F8" s="7">
        <f>IF(TRIM(C8)="","",IFERROR(DATE(LEFT(C8,4),MID(C8,6,2),MID(C8,9,2))+TIME(MID(C8,12,2),MID(C8,15,2),0),"Check date"))</f>
        <v/>
      </c>
      <c r="G8" s="8">
        <f>IF(A8="","",IF(ISNUMBER(D8),IF(TEXT(D8,"yyyymmdd")=A8&amp;"","OK","Check date"),"Check date"))</f>
        <v/>
      </c>
      <c r="H8" s="8">
        <f>IF(TRIM(B8)="","",IF(ISNUMBER(E8),IF(TEXT(E8,"yyyymmdd")=B8&amp;"","OK","Check date"),"Check date"))</f>
        <v/>
      </c>
      <c r="I8" s="8">
        <f>IF(TRIM(C8)="","",IF(ISNUMBER(F8),IF(TEXT(F8,"yyyy-mm-dd")&amp;"T"&amp;TEXT(F8,"hh:mm")=LEFT(C8,16),"OK","Check date"),"Check date"))</f>
        <v/>
      </c>
    </row>
    <row r="9">
      <c r="A9" s="4" t="n">
        <v>20260930</v>
      </c>
      <c r="B9" s="5" t="inlineStr">
        <is>
          <t>20260207</t>
        </is>
      </c>
      <c r="C9" s="5" t="inlineStr">
        <is>
          <t>2026-05-20T10:10:00</t>
        </is>
      </c>
      <c r="D9" s="6">
        <f>IF(A9="","",IF(ISNUMBER(A9),IFERROR(DATE(INT(A9/10000),MOD(INT(A9/100),100),MOD(A9,100)),"Check date"),"Check date"))</f>
        <v/>
      </c>
      <c r="E9" s="6">
        <f>IF(TRIM(B9)="","",IFERROR(DATE(LEFT(B9,4),MID(B9,5,2),RIGHT(B9,2)),"Check date"))</f>
        <v/>
      </c>
      <c r="F9" s="7">
        <f>IF(TRIM(C9)="","",IFERROR(DATE(LEFT(C9,4),MID(C9,6,2),MID(C9,9,2))+TIME(MID(C9,12,2),MID(C9,15,2),0),"Check date"))</f>
        <v/>
      </c>
      <c r="G9" s="8">
        <f>IF(A9="","",IF(ISNUMBER(D9),IF(TEXT(D9,"yyyymmdd")=A9&amp;"","OK","Check date"),"Check date"))</f>
        <v/>
      </c>
      <c r="H9" s="8">
        <f>IF(TRIM(B9)="","",IF(ISNUMBER(E9),IF(TEXT(E9,"yyyymmdd")=B9&amp;"","OK","Check date"),"Check date"))</f>
        <v/>
      </c>
      <c r="I9" s="8">
        <f>IF(TRIM(C9)="","",IF(ISNUMBER(F9),IF(TEXT(F9,"yyyy-mm-dd")&amp;"T"&amp;TEXT(F9,"hh:mm")=LEFT(C9,16),"OK","Check date"),"Check date"))</f>
        <v/>
      </c>
    </row>
    <row r="10">
      <c r="A10" s="4" t="n">
        <v>20261115</v>
      </c>
      <c r="B10" s="5" t="inlineStr">
        <is>
          <t>20260119</t>
        </is>
      </c>
      <c r="C10" s="5" t="inlineStr">
        <is>
          <t>2026-04-02T13:20:00</t>
        </is>
      </c>
      <c r="D10" s="6">
        <f>IF(A10="","",IF(ISNUMBER(A10),IFERROR(DATE(INT(A10/10000),MOD(INT(A10/100),100),MOD(A10,100)),"Check date"),"Check date"))</f>
        <v/>
      </c>
      <c r="E10" s="6">
        <f>IF(TRIM(B10)="","",IFERROR(DATE(LEFT(B10,4),MID(B10,5,2),RIGHT(B10,2)),"Check date"))</f>
        <v/>
      </c>
      <c r="F10" s="7">
        <f>IF(TRIM(C10)="","",IFERROR(DATE(LEFT(C10,4),MID(C10,6,2),MID(C10,9,2))+TIME(MID(C10,12,2),MID(C10,15,2),0),"Check date"))</f>
        <v/>
      </c>
      <c r="G10" s="8">
        <f>IF(A10="","",IF(ISNUMBER(D10),IF(TEXT(D10,"yyyymmdd")=A10&amp;"","OK","Check date"),"Check date"))</f>
        <v/>
      </c>
      <c r="H10" s="8">
        <f>IF(TRIM(B10)="","",IF(ISNUMBER(E10),IF(TEXT(E10,"yyyymmdd")=B10&amp;"","OK","Check date"),"Check date"))</f>
        <v/>
      </c>
      <c r="I10" s="8">
        <f>IF(TRIM(C10)="","",IF(ISNUMBER(F10),IF(TEXT(F10,"yyyy-mm-dd")&amp;"T"&amp;TEXT(F10,"hh:mm")=LEFT(C10,16),"OK","Check date"),"Check date"))</f>
        <v/>
      </c>
    </row>
    <row r="11">
      <c r="A11" s="4" t="n">
        <v>20260315</v>
      </c>
      <c r="B11" s="5" t="inlineStr">
        <is>
          <t>20261225</t>
        </is>
      </c>
      <c r="C11" s="5" t="inlineStr">
        <is>
          <t>2026-03-18T06:55:00</t>
        </is>
      </c>
      <c r="D11" s="6">
        <f>IF(A11="","",IF(ISNUMBER(A11),IFERROR(DATE(INT(A11/10000),MOD(INT(A11/100),100),MOD(A11,100)),"Check date"),"Check date"))</f>
        <v/>
      </c>
      <c r="E11" s="6">
        <f>IF(TRIM(B11)="","",IFERROR(DATE(LEFT(B11,4),MID(B11,5,2),RIGHT(B11,2)),"Check date"))</f>
        <v/>
      </c>
      <c r="F11" s="7">
        <f>IF(TRIM(C11)="","",IFERROR(DATE(LEFT(C11,4),MID(C11,6,2),MID(C11,9,2))+TIME(MID(C11,12,2),MID(C11,15,2),0),"Check date"))</f>
        <v/>
      </c>
      <c r="G11" s="8">
        <f>IF(A11="","",IF(ISNUMBER(D11),IF(TEXT(D11,"yyyymmdd")=A11&amp;"","OK","Check date"),"Check date"))</f>
        <v/>
      </c>
      <c r="H11" s="8">
        <f>IF(TRIM(B11)="","",IF(ISNUMBER(E11),IF(TEXT(E11,"yyyymmdd")=B11&amp;"","OK","Check date"),"Check date"))</f>
        <v/>
      </c>
      <c r="I11" s="8">
        <f>IF(TRIM(C11)="","",IF(ISNUMBER(F11),IF(TEXT(F11,"yyyy-mm-dd")&amp;"T"&amp;TEXT(F11,"hh:mm")=LEFT(C11,16),"OK","Check date"),"Check date"))</f>
        <v/>
      </c>
    </row>
    <row r="12">
      <c r="A12" s="4" t="n">
        <v>20260820</v>
      </c>
      <c r="B12" s="5" t="inlineStr">
        <is>
          <t>20260703</t>
        </is>
      </c>
      <c r="C12" s="5" t="inlineStr">
        <is>
          <t>2026-02-14T11:11:00</t>
        </is>
      </c>
      <c r="D12" s="6">
        <f>IF(A12="","",IF(ISNUMBER(A12),IFERROR(DATE(INT(A12/10000),MOD(INT(A12/100),100),MOD(A12,100)),"Check date"),"Check date"))</f>
        <v/>
      </c>
      <c r="E12" s="6">
        <f>IF(TRIM(B12)="","",IFERROR(DATE(LEFT(B12,4),MID(B12,5,2),RIGHT(B12,2)),"Check date"))</f>
        <v/>
      </c>
      <c r="F12" s="7">
        <f>IF(TRIM(C12)="","",IFERROR(DATE(LEFT(C12,4),MID(C12,6,2),MID(C12,9,2))+TIME(MID(C12,12,2),MID(C12,15,2),0),"Check date"))</f>
        <v/>
      </c>
      <c r="G12" s="8">
        <f>IF(A12="","",IF(ISNUMBER(D12),IF(TEXT(D12,"yyyymmdd")=A12&amp;"","OK","Check date"),"Check date"))</f>
        <v/>
      </c>
      <c r="H12" s="8">
        <f>IF(TRIM(B12)="","",IF(ISNUMBER(E12),IF(TEXT(E12,"yyyymmdd")=B12&amp;"","OK","Check date"),"Check date"))</f>
        <v/>
      </c>
      <c r="I12" s="8">
        <f>IF(TRIM(C12)="","",IF(ISNUMBER(F12),IF(TEXT(F12,"yyyy-mm-dd")&amp;"T"&amp;TEXT(F12,"hh:mm")=LEFT(C12,16),"OK","Check date"),"Check date"))</f>
        <v/>
      </c>
    </row>
    <row r="13">
      <c r="A13" s="4" t="n">
        <v>20260612</v>
      </c>
      <c r="B13" s="5" t="inlineStr">
        <is>
          <t>20260825</t>
        </is>
      </c>
      <c r="C13" s="5" t="inlineStr">
        <is>
          <t>2026-01-09T15:40:00</t>
        </is>
      </c>
      <c r="D13" s="6">
        <f>IF(A13="","",IF(ISNUMBER(A13),IFERROR(DATE(INT(A13/10000),MOD(INT(A13/100),100),MOD(A13,100)),"Check date"),"Check date"))</f>
        <v/>
      </c>
      <c r="E13" s="6">
        <f>IF(TRIM(B13)="","",IFERROR(DATE(LEFT(B13,4),MID(B13,5,2),RIGHT(B13,2)),"Check date"))</f>
        <v/>
      </c>
      <c r="F13" s="7">
        <f>IF(TRIM(C13)="","",IFERROR(DATE(LEFT(C13,4),MID(C13,6,2),MID(C13,9,2))+TIME(MID(C13,12,2),MID(C13,15,2),0),"Check date"))</f>
        <v/>
      </c>
      <c r="G13" s="8">
        <f>IF(A13="","",IF(ISNUMBER(D13),IF(TEXT(D13,"yyyymmdd")=A13&amp;"","OK","Check date"),"Check date"))</f>
        <v/>
      </c>
      <c r="H13" s="8">
        <f>IF(TRIM(B13)="","",IF(ISNUMBER(E13),IF(TEXT(E13,"yyyymmdd")=B13&amp;"","OK","Check date"),"Check date"))</f>
        <v/>
      </c>
      <c r="I13" s="8">
        <f>IF(TRIM(C13)="","",IF(ISNUMBER(F13),IF(TEXT(F13,"yyyy-mm-dd")&amp;"T"&amp;TEXT(F13,"hh:mm")=LEFT(C13,16),"OK","Check date"),"Check date"))</f>
        <v/>
      </c>
    </row>
    <row r="14">
      <c r="A14" s="4" t="n">
        <v>20260301</v>
      </c>
      <c r="B14" s="5" t="inlineStr">
        <is>
          <t>20261110</t>
        </is>
      </c>
      <c r="C14" s="5" t="inlineStr">
        <is>
          <t>2026-11-05T20:15:00</t>
        </is>
      </c>
      <c r="D14" s="6">
        <f>IF(A14="","",IF(ISNUMBER(A14),IFERROR(DATE(INT(A14/10000),MOD(INT(A14/100),100),MOD(A14,100)),"Check date"),"Check date"))</f>
        <v/>
      </c>
      <c r="E14" s="6">
        <f>IF(TRIM(B14)="","",IFERROR(DATE(LEFT(B14,4),MID(B14,5,2),RIGHT(B14,2)),"Check date"))</f>
        <v/>
      </c>
      <c r="F14" s="7">
        <f>IF(TRIM(C14)="","",IFERROR(DATE(LEFT(C14,4),MID(C14,6,2),MID(C14,9,2))+TIME(MID(C14,12,2),MID(C14,15,2),0),"Check date"))</f>
        <v/>
      </c>
      <c r="G14" s="8">
        <f>IF(A14="","",IF(ISNUMBER(D14),IF(TEXT(D14,"yyyymmdd")=A14&amp;"","OK","Check date"),"Check date"))</f>
        <v/>
      </c>
      <c r="H14" s="8">
        <f>IF(TRIM(B14)="","",IF(ISNUMBER(E14),IF(TEXT(E14,"yyyymmdd")=B14&amp;"","OK","Check date"),"Check date"))</f>
        <v/>
      </c>
      <c r="I14" s="8">
        <f>IF(TRIM(C14)="","",IF(ISNUMBER(F14),IF(TEXT(F14,"yyyy-mm-dd")&amp;"T"&amp;TEXT(F14,"hh:mm")=LEFT(C14,16),"OK","Check date"),"Check date"))</f>
        <v/>
      </c>
    </row>
    <row r="15">
      <c r="A15" s="4" t="n">
        <v>20260418</v>
      </c>
      <c r="B15" s="5" t="inlineStr">
        <is>
          <t>20260216</t>
        </is>
      </c>
      <c r="C15" s="5" t="inlineStr">
        <is>
          <t>2026-12-24T09:00:00</t>
        </is>
      </c>
      <c r="D15" s="6">
        <f>IF(A15="","",IF(ISNUMBER(A15),IFERROR(DATE(INT(A15/10000),MOD(INT(A15/100),100),MOD(A15,100)),"Check date"),"Check date"))</f>
        <v/>
      </c>
      <c r="E15" s="6">
        <f>IF(TRIM(B15)="","",IFERROR(DATE(LEFT(B15,4),MID(B15,5,2),RIGHT(B15,2)),"Check date"))</f>
        <v/>
      </c>
      <c r="F15" s="7">
        <f>IF(TRIM(C15)="","",IFERROR(DATE(LEFT(C15,4),MID(C15,6,2),MID(C15,9,2))+TIME(MID(C15,12,2),MID(C15,15,2),0),"Check date"))</f>
        <v/>
      </c>
      <c r="G15" s="8">
        <f>IF(A15="","",IF(ISNUMBER(D15),IF(TEXT(D15,"yyyymmdd")=A15&amp;"","OK","Check date"),"Check date"))</f>
        <v/>
      </c>
      <c r="H15" s="8">
        <f>IF(TRIM(B15)="","",IF(ISNUMBER(E15),IF(TEXT(E15,"yyyymmdd")=B15&amp;"","OK","Check date"),"Check date"))</f>
        <v/>
      </c>
      <c r="I15" s="8">
        <f>IF(TRIM(C15)="","",IF(ISNUMBER(F15),IF(TEXT(F15,"yyyy-mm-dd")&amp;"T"&amp;TEXT(F15,"hh:mm")=LEFT(C15,16),"OK","Check date"),"Check date"))</f>
        <v/>
      </c>
    </row>
    <row r="16">
      <c r="A16" s="4" t="n">
        <v>20260909</v>
      </c>
      <c r="B16" s="5" t="inlineStr">
        <is>
          <t>20260928</t>
        </is>
      </c>
      <c r="C16" s="5" t="inlineStr">
        <is>
          <t>2026-10-03T16:25:00</t>
        </is>
      </c>
      <c r="D16" s="6">
        <f>IF(A16="","",IF(ISNUMBER(A16),IFERROR(DATE(INT(A16/10000),MOD(INT(A16/100),100),MOD(A16,100)),"Check date"),"Check date"))</f>
        <v/>
      </c>
      <c r="E16" s="6">
        <f>IF(TRIM(B16)="","",IFERROR(DATE(LEFT(B16,4),MID(B16,5,2),RIGHT(B16,2)),"Check date"))</f>
        <v/>
      </c>
      <c r="F16" s="7">
        <f>IF(TRIM(C16)="","",IFERROR(DATE(LEFT(C16,4),MID(C16,6,2),MID(C16,9,2))+TIME(MID(C16,12,2),MID(C16,15,2),0),"Check date"))</f>
        <v/>
      </c>
      <c r="G16" s="8">
        <f>IF(A16="","",IF(ISNUMBER(D16),IF(TEXT(D16,"yyyymmdd")=A16&amp;"","OK","Check date"),"Check date"))</f>
        <v/>
      </c>
      <c r="H16" s="8">
        <f>IF(TRIM(B16)="","",IF(ISNUMBER(E16),IF(TEXT(E16,"yyyymmdd")=B16&amp;"","OK","Check date"),"Check date"))</f>
        <v/>
      </c>
      <c r="I16" s="8">
        <f>IF(TRIM(C16)="","",IF(ISNUMBER(F16),IF(TEXT(F16,"yyyy-mm-dd")&amp;"T"&amp;TEXT(F16,"hh:mm")=LEFT(C16,16),"OK","Check date"),"Check date"))</f>
        <v/>
      </c>
    </row>
    <row r="17">
      <c r="A17" s="4" t="n">
        <v>20261003</v>
      </c>
      <c r="B17" s="5" t="inlineStr">
        <is>
          <t>20261019</t>
        </is>
      </c>
      <c r="C17" s="5" t="inlineStr">
        <is>
          <t>2026-09-19T07:45:00</t>
        </is>
      </c>
      <c r="D17" s="6">
        <f>IF(A17="","",IF(ISNUMBER(A17),IFERROR(DATE(INT(A17/10000),MOD(INT(A17/100),100),MOD(A17,100)),"Check date"),"Check date"))</f>
        <v/>
      </c>
      <c r="E17" s="6">
        <f>IF(TRIM(B17)="","",IFERROR(DATE(LEFT(B17,4),MID(B17,5,2),RIGHT(B17,2)),"Check date"))</f>
        <v/>
      </c>
      <c r="F17" s="7">
        <f>IF(TRIM(C17)="","",IFERROR(DATE(LEFT(C17,4),MID(C17,6,2),MID(C17,9,2))+TIME(MID(C17,12,2),MID(C17,15,2),0),"Check date"))</f>
        <v/>
      </c>
      <c r="G17" s="8">
        <f>IF(A17="","",IF(ISNUMBER(D17),IF(TEXT(D17,"yyyymmdd")=A17&amp;"","OK","Check date"),"Check date"))</f>
        <v/>
      </c>
      <c r="H17" s="8">
        <f>IF(TRIM(B17)="","",IF(ISNUMBER(E17),IF(TEXT(E17,"yyyymmdd")=B17&amp;"","OK","Check date"),"Check date"))</f>
        <v/>
      </c>
      <c r="I17" s="8">
        <f>IF(TRIM(C17)="","",IF(ISNUMBER(F17),IF(TEXT(F17,"yyyy-mm-dd")&amp;"T"&amp;TEXT(F17,"hh:mm")=LEFT(C17,16),"OK","Check date"),"Check date"))</f>
        <v/>
      </c>
    </row>
    <row r="18">
      <c r="A18" s="4" t="n">
        <v>20260722</v>
      </c>
      <c r="B18" s="5" t="inlineStr">
        <is>
          <t>20260331</t>
        </is>
      </c>
      <c r="C18" s="5" t="inlineStr">
        <is>
          <t>2026-08-08T18:30:00</t>
        </is>
      </c>
      <c r="D18" s="6">
        <f>IF(A18="","",IF(ISNUMBER(A18),IFERROR(DATE(INT(A18/10000),MOD(INT(A18/100),100),MOD(A18,100)),"Check date"),"Check date"))</f>
        <v/>
      </c>
      <c r="E18" s="6">
        <f>IF(TRIM(B18)="","",IFERROR(DATE(LEFT(B18,4),MID(B18,5,2),RIGHT(B18,2)),"Check date"))</f>
        <v/>
      </c>
      <c r="F18" s="7">
        <f>IF(TRIM(C18)="","",IFERROR(DATE(LEFT(C18,4),MID(C18,6,2),MID(C18,9,2))+TIME(MID(C18,12,2),MID(C18,15,2),0),"Check date"))</f>
        <v/>
      </c>
      <c r="G18" s="8">
        <f>IF(A18="","",IF(ISNUMBER(D18),IF(TEXT(D18,"yyyymmdd")=A18&amp;"","OK","Check date"),"Check date"))</f>
        <v/>
      </c>
      <c r="H18" s="8">
        <f>IF(TRIM(B18)="","",IF(ISNUMBER(E18),IF(TEXT(E18,"yyyymmdd")=B18&amp;"","OK","Check date"),"Check date"))</f>
        <v/>
      </c>
      <c r="I18" s="8">
        <f>IF(TRIM(C18)="","",IF(ISNUMBER(F18),IF(TEXT(F18,"yyyy-mm-dd")&amp;"T"&amp;TEXT(F18,"hh:mm")=LEFT(C18,16),"OK","Check date"),"Check date"))</f>
        <v/>
      </c>
    </row>
    <row r="19">
      <c r="A19" s="4" t="n">
        <v>20260514</v>
      </c>
      <c r="B19" s="5" t="inlineStr">
        <is>
          <t>20260607</t>
        </is>
      </c>
      <c r="C19" s="5" t="inlineStr">
        <is>
          <t>2026-07-21T12:12:00</t>
        </is>
      </c>
      <c r="D19" s="6">
        <f>IF(A19="","",IF(ISNUMBER(A19),IFERROR(DATE(INT(A19/10000),MOD(INT(A19/100),100),MOD(A19,100)),"Check date"),"Check date"))</f>
        <v/>
      </c>
      <c r="E19" s="6">
        <f>IF(TRIM(B19)="","",IFERROR(DATE(LEFT(B19,4),MID(B19,5,2),RIGHT(B19,2)),"Check date"))</f>
        <v/>
      </c>
      <c r="F19" s="7">
        <f>IF(TRIM(C19)="","",IFERROR(DATE(LEFT(C19,4),MID(C19,6,2),MID(C19,9,2))+TIME(MID(C19,12,2),MID(C19,15,2),0),"Check date"))</f>
        <v/>
      </c>
      <c r="G19" s="8">
        <f>IF(A19="","",IF(ISNUMBER(D19),IF(TEXT(D19,"yyyymmdd")=A19&amp;"","OK","Check date"),"Check date"))</f>
        <v/>
      </c>
      <c r="H19" s="8">
        <f>IF(TRIM(B19)="","",IF(ISNUMBER(E19),IF(TEXT(E19,"yyyymmdd")=B19&amp;"","OK","Check date"),"Check date"))</f>
        <v/>
      </c>
      <c r="I19" s="8">
        <f>IF(TRIM(C19)="","",IF(ISNUMBER(F19),IF(TEXT(F19,"yyyy-mm-dd")&amp;"T"&amp;TEXT(F19,"hh:mm")=LEFT(C19,16),"OK","Check date"),"Check date"))</f>
        <v/>
      </c>
    </row>
    <row r="20">
      <c r="A20" s="4" t="n">
        <v>20260126</v>
      </c>
      <c r="B20" s="5" t="inlineStr">
        <is>
          <t>20260122</t>
        </is>
      </c>
      <c r="C20" s="5" t="inlineStr">
        <is>
          <t>2026-06-06T21:05:00</t>
        </is>
      </c>
      <c r="D20" s="6">
        <f>IF(A20="","",IF(ISNUMBER(A20),IFERROR(DATE(INT(A20/10000),MOD(INT(A20/100),100),MOD(A20,100)),"Check date"),"Check date"))</f>
        <v/>
      </c>
      <c r="E20" s="6">
        <f>IF(TRIM(B20)="","",IFERROR(DATE(LEFT(B20,4),MID(B20,5,2),RIGHT(B20,2)),"Check date"))</f>
        <v/>
      </c>
      <c r="F20" s="7">
        <f>IF(TRIM(C20)="","",IFERROR(DATE(LEFT(C20,4),MID(C20,6,2),MID(C20,9,2))+TIME(MID(C20,12,2),MID(C20,15,2),0),"Check date"))</f>
        <v/>
      </c>
      <c r="G20" s="8">
        <f>IF(A20="","",IF(ISNUMBER(D20),IF(TEXT(D20,"yyyymmdd")=A20&amp;"","OK","Check date"),"Check date"))</f>
        <v/>
      </c>
      <c r="H20" s="8">
        <f>IF(TRIM(B20)="","",IF(ISNUMBER(E20),IF(TEXT(E20,"yyyymmdd")=B20&amp;"","OK","Check date"),"Check date"))</f>
        <v/>
      </c>
      <c r="I20" s="8">
        <f>IF(TRIM(C20)="","",IF(ISNUMBER(F20),IF(TEXT(F20,"yyyy-mm-dd")&amp;"T"&amp;TEXT(F20,"hh:mm")=LEFT(C20,16),"OK","Check date"),"Check date"))</f>
        <v/>
      </c>
    </row>
    <row r="21">
      <c r="A21" s="4" t="n">
        <v>20261208</v>
      </c>
      <c r="B21" s="5" t="inlineStr">
        <is>
          <t>20261130</t>
        </is>
      </c>
      <c r="C21" s="5" t="inlineStr">
        <is>
          <t>2026-05-30T05:50:00</t>
        </is>
      </c>
      <c r="D21" s="6">
        <f>IF(A21="","",IF(ISNUMBER(A21),IFERROR(DATE(INT(A21/10000),MOD(INT(A21/100),100),MOD(A21,100)),"Check date"),"Check date"))</f>
        <v/>
      </c>
      <c r="E21" s="6">
        <f>IF(TRIM(B21)="","",IFERROR(DATE(LEFT(B21,4),MID(B21,5,2),RIGHT(B21,2)),"Check date"))</f>
        <v/>
      </c>
      <c r="F21" s="7">
        <f>IF(TRIM(C21)="","",IFERROR(DATE(LEFT(C21,4),MID(C21,6,2),MID(C21,9,2))+TIME(MID(C21,12,2),MID(C21,15,2),0),"Check date"))</f>
        <v/>
      </c>
      <c r="G21" s="8">
        <f>IF(A21="","",IF(ISNUMBER(D21),IF(TEXT(D21,"yyyymmdd")=A21&amp;"","OK","Check date"),"Check date"))</f>
        <v/>
      </c>
      <c r="H21" s="8">
        <f>IF(TRIM(B21)="","",IF(ISNUMBER(E21),IF(TEXT(E21,"yyyymmdd")=B21&amp;"","OK","Check date"),"Check date"))</f>
        <v/>
      </c>
      <c r="I21" s="8">
        <f>IF(TRIM(C21)="","",IF(ISNUMBER(F21),IF(TEXT(F21,"yyyy-mm-dd")&amp;"T"&amp;TEXT(F21,"hh:mm")=LEFT(C21,16),"OK","Check date"),"Check date"))</f>
        <v/>
      </c>
    </row>
    <row r="22">
      <c r="A22" s="4" t="n"/>
      <c r="B22" s="5" t="n"/>
      <c r="C22" s="5" t="n"/>
      <c r="D22" s="6">
        <f>IF(A22="","",IF(ISNUMBER(A22),IFERROR(DATE(INT(A22/10000),MOD(INT(A22/100),100),MOD(A22,100)),"Check date"),"Check date"))</f>
        <v/>
      </c>
      <c r="E22" s="6">
        <f>IF(TRIM(B22)="","",IFERROR(DATE(LEFT(B22,4),MID(B22,5,2),RIGHT(B22,2)),"Check date"))</f>
        <v/>
      </c>
      <c r="F22" s="7">
        <f>IF(TRIM(C22)="","",IFERROR(DATE(LEFT(C22,4),MID(C22,6,2),MID(C22,9,2))+TIME(MID(C22,12,2),MID(C22,15,2),0),"Check date"))</f>
        <v/>
      </c>
      <c r="G22" s="8">
        <f>IF(A22="","",IF(ISNUMBER(D22),IF(TEXT(D22,"yyyymmdd")=A22&amp;"","OK","Check date"),"Check date"))</f>
        <v/>
      </c>
      <c r="H22" s="8">
        <f>IF(TRIM(B22)="","",IF(ISNUMBER(E22),IF(TEXT(E22,"yyyymmdd")=B22&amp;"","OK","Check date"),"Check date"))</f>
        <v/>
      </c>
      <c r="I22" s="8">
        <f>IF(TRIM(C22)="","",IF(ISNUMBER(F22),IF(TEXT(F22,"yyyy-mm-dd")&amp;"T"&amp;TEXT(F22,"hh:mm")=LEFT(C22,16),"OK","Check date"),"Check date"))</f>
        <v/>
      </c>
    </row>
    <row r="23">
      <c r="A23" s="4" t="n"/>
      <c r="B23" s="5" t="n"/>
      <c r="C23" s="5" t="n"/>
      <c r="D23" s="6">
        <f>IF(A23="","",IF(ISNUMBER(A23),IFERROR(DATE(INT(A23/10000),MOD(INT(A23/100),100),MOD(A23,100)),"Check date"),"Check date"))</f>
        <v/>
      </c>
      <c r="E23" s="6">
        <f>IF(TRIM(B23)="","",IFERROR(DATE(LEFT(B23,4),MID(B23,5,2),RIGHT(B23,2)),"Check date"))</f>
        <v/>
      </c>
      <c r="F23" s="7">
        <f>IF(TRIM(C23)="","",IFERROR(DATE(LEFT(C23,4),MID(C23,6,2),MID(C23,9,2))+TIME(MID(C23,12,2),MID(C23,15,2),0),"Check date"))</f>
        <v/>
      </c>
      <c r="G23" s="8">
        <f>IF(A23="","",IF(ISNUMBER(D23),IF(TEXT(D23,"yyyymmdd")=A23&amp;"","OK","Check date"),"Check date"))</f>
        <v/>
      </c>
      <c r="H23" s="8">
        <f>IF(TRIM(B23)="","",IF(ISNUMBER(E23),IF(TEXT(E23,"yyyymmdd")=B23&amp;"","OK","Check date"),"Check date"))</f>
        <v/>
      </c>
      <c r="I23" s="8">
        <f>IF(TRIM(C23)="","",IF(ISNUMBER(F23),IF(TEXT(F23,"yyyy-mm-dd")&amp;"T"&amp;TEXT(F23,"hh:mm")=LEFT(C23,16),"OK","Check date"),"Check date"))</f>
        <v/>
      </c>
    </row>
    <row r="24">
      <c r="A24" s="4" t="n"/>
      <c r="B24" s="5" t="n"/>
      <c r="C24" s="5" t="n"/>
      <c r="D24" s="6">
        <f>IF(A24="","",IF(ISNUMBER(A24),IFERROR(DATE(INT(A24/10000),MOD(INT(A24/100),100),MOD(A24,100)),"Check date"),"Check date"))</f>
        <v/>
      </c>
      <c r="E24" s="6">
        <f>IF(TRIM(B24)="","",IFERROR(DATE(LEFT(B24,4),MID(B24,5,2),RIGHT(B24,2)),"Check date"))</f>
        <v/>
      </c>
      <c r="F24" s="7">
        <f>IF(TRIM(C24)="","",IFERROR(DATE(LEFT(C24,4),MID(C24,6,2),MID(C24,9,2))+TIME(MID(C24,12,2),MID(C24,15,2),0),"Check date"))</f>
        <v/>
      </c>
      <c r="G24" s="8">
        <f>IF(A24="","",IF(ISNUMBER(D24),IF(TEXT(D24,"yyyymmdd")=A24&amp;"","OK","Check date"),"Check date"))</f>
        <v/>
      </c>
      <c r="H24" s="8">
        <f>IF(TRIM(B24)="","",IF(ISNUMBER(E24),IF(TEXT(E24,"yyyymmdd")=B24&amp;"","OK","Check date"),"Check date"))</f>
        <v/>
      </c>
      <c r="I24" s="8">
        <f>IF(TRIM(C24)="","",IF(ISNUMBER(F24),IF(TEXT(F24,"yyyy-mm-dd")&amp;"T"&amp;TEXT(F24,"hh:mm")=LEFT(C24,16),"OK","Check date"),"Check date"))</f>
        <v/>
      </c>
    </row>
    <row r="25">
      <c r="A25" s="4" t="n"/>
      <c r="B25" s="5" t="n"/>
      <c r="C25" s="5" t="n"/>
      <c r="D25" s="6">
        <f>IF(A25="","",IF(ISNUMBER(A25),IFERROR(DATE(INT(A25/10000),MOD(INT(A25/100),100),MOD(A25,100)),"Check date"),"Check date"))</f>
        <v/>
      </c>
      <c r="E25" s="6">
        <f>IF(TRIM(B25)="","",IFERROR(DATE(LEFT(B25,4),MID(B25,5,2),RIGHT(B25,2)),"Check date"))</f>
        <v/>
      </c>
      <c r="F25" s="7">
        <f>IF(TRIM(C25)="","",IFERROR(DATE(LEFT(C25,4),MID(C25,6,2),MID(C25,9,2))+TIME(MID(C25,12,2),MID(C25,15,2),0),"Check date"))</f>
        <v/>
      </c>
      <c r="G25" s="8">
        <f>IF(A25="","",IF(ISNUMBER(D25),IF(TEXT(D25,"yyyymmdd")=A25&amp;"","OK","Check date"),"Check date"))</f>
        <v/>
      </c>
      <c r="H25" s="8">
        <f>IF(TRIM(B25)="","",IF(ISNUMBER(E25),IF(TEXT(E25,"yyyymmdd")=B25&amp;"","OK","Check date"),"Check date"))</f>
        <v/>
      </c>
      <c r="I25" s="8">
        <f>IF(TRIM(C25)="","",IF(ISNUMBER(F25),IF(TEXT(F25,"yyyy-mm-dd")&amp;"T"&amp;TEXT(F25,"hh:mm")=LEFT(C25,16),"OK","Check date"),"Check date"))</f>
        <v/>
      </c>
    </row>
    <row r="26">
      <c r="A26" s="4" t="n"/>
      <c r="B26" s="5" t="n"/>
      <c r="C26" s="5" t="n"/>
      <c r="D26" s="6">
        <f>IF(A26="","",IF(ISNUMBER(A26),IFERROR(DATE(INT(A26/10000),MOD(INT(A26/100),100),MOD(A26,100)),"Check date"),"Check date"))</f>
        <v/>
      </c>
      <c r="E26" s="6">
        <f>IF(TRIM(B26)="","",IFERROR(DATE(LEFT(B26,4),MID(B26,5,2),RIGHT(B26,2)),"Check date"))</f>
        <v/>
      </c>
      <c r="F26" s="7">
        <f>IF(TRIM(C26)="","",IFERROR(DATE(LEFT(C26,4),MID(C26,6,2),MID(C26,9,2))+TIME(MID(C26,12,2),MID(C26,15,2),0),"Check date"))</f>
        <v/>
      </c>
      <c r="G26" s="8">
        <f>IF(A26="","",IF(ISNUMBER(D26),IF(TEXT(D26,"yyyymmdd")=A26&amp;"","OK","Check date"),"Check date"))</f>
        <v/>
      </c>
      <c r="H26" s="8">
        <f>IF(TRIM(B26)="","",IF(ISNUMBER(E26),IF(TEXT(E26,"yyyymmdd")=B26&amp;"","OK","Check date"),"Check date"))</f>
        <v/>
      </c>
      <c r="I26" s="8">
        <f>IF(TRIM(C26)="","",IF(ISNUMBER(F26),IF(TEXT(F26,"yyyy-mm-dd")&amp;"T"&amp;TEXT(F26,"hh:mm")=LEFT(C26,16),"OK","Check date"),"Check date"))</f>
        <v/>
      </c>
    </row>
    <row r="27">
      <c r="A27" s="4" t="n"/>
      <c r="B27" s="5" t="n"/>
      <c r="C27" s="5" t="n"/>
      <c r="D27" s="6">
        <f>IF(A27="","",IF(ISNUMBER(A27),IFERROR(DATE(INT(A27/10000),MOD(INT(A27/100),100),MOD(A27,100)),"Check date"),"Check date"))</f>
        <v/>
      </c>
      <c r="E27" s="6">
        <f>IF(TRIM(B27)="","",IFERROR(DATE(LEFT(B27,4),MID(B27,5,2),RIGHT(B27,2)),"Check date"))</f>
        <v/>
      </c>
      <c r="F27" s="7">
        <f>IF(TRIM(C27)="","",IFERROR(DATE(LEFT(C27,4),MID(C27,6,2),MID(C27,9,2))+TIME(MID(C27,12,2),MID(C27,15,2),0),"Check date"))</f>
        <v/>
      </c>
      <c r="G27" s="8">
        <f>IF(A27="","",IF(ISNUMBER(D27),IF(TEXT(D27,"yyyymmdd")=A27&amp;"","OK","Check date"),"Check date"))</f>
        <v/>
      </c>
      <c r="H27" s="8">
        <f>IF(TRIM(B27)="","",IF(ISNUMBER(E27),IF(TEXT(E27,"yyyymmdd")=B27&amp;"","OK","Check date"),"Check date"))</f>
        <v/>
      </c>
      <c r="I27" s="8">
        <f>IF(TRIM(C27)="","",IF(ISNUMBER(F27),IF(TEXT(F27,"yyyy-mm-dd")&amp;"T"&amp;TEXT(F27,"hh:mm")=LEFT(C27,16),"OK","Check date"),"Check date"))</f>
        <v/>
      </c>
    </row>
    <row r="28">
      <c r="A28" s="4" t="n"/>
      <c r="B28" s="5" t="n"/>
      <c r="C28" s="5" t="n"/>
      <c r="D28" s="6">
        <f>IF(A28="","",IF(ISNUMBER(A28),IFERROR(DATE(INT(A28/10000),MOD(INT(A28/100),100),MOD(A28,100)),"Check date"),"Check date"))</f>
        <v/>
      </c>
      <c r="E28" s="6">
        <f>IF(TRIM(B28)="","",IFERROR(DATE(LEFT(B28,4),MID(B28,5,2),RIGHT(B28,2)),"Check date"))</f>
        <v/>
      </c>
      <c r="F28" s="7">
        <f>IF(TRIM(C28)="","",IFERROR(DATE(LEFT(C28,4),MID(C28,6,2),MID(C28,9,2))+TIME(MID(C28,12,2),MID(C28,15,2),0),"Check date"))</f>
        <v/>
      </c>
      <c r="G28" s="8">
        <f>IF(A28="","",IF(ISNUMBER(D28),IF(TEXT(D28,"yyyymmdd")=A28&amp;"","OK","Check date"),"Check date"))</f>
        <v/>
      </c>
      <c r="H28" s="8">
        <f>IF(TRIM(B28)="","",IF(ISNUMBER(E28),IF(TEXT(E28,"yyyymmdd")=B28&amp;"","OK","Check date"),"Check date"))</f>
        <v/>
      </c>
      <c r="I28" s="8">
        <f>IF(TRIM(C28)="","",IF(ISNUMBER(F28),IF(TEXT(F28,"yyyy-mm-dd")&amp;"T"&amp;TEXT(F28,"hh:mm")=LEFT(C28,16),"OK","Check date"),"Check date"))</f>
        <v/>
      </c>
    </row>
    <row r="29">
      <c r="A29" s="4" t="n"/>
      <c r="B29" s="5" t="n"/>
      <c r="C29" s="5" t="n"/>
      <c r="D29" s="6">
        <f>IF(A29="","",IF(ISNUMBER(A29),IFERROR(DATE(INT(A29/10000),MOD(INT(A29/100),100),MOD(A29,100)),"Check date"),"Check date"))</f>
        <v/>
      </c>
      <c r="E29" s="6">
        <f>IF(TRIM(B29)="","",IFERROR(DATE(LEFT(B29,4),MID(B29,5,2),RIGHT(B29,2)),"Check date"))</f>
        <v/>
      </c>
      <c r="F29" s="7">
        <f>IF(TRIM(C29)="","",IFERROR(DATE(LEFT(C29,4),MID(C29,6,2),MID(C29,9,2))+TIME(MID(C29,12,2),MID(C29,15,2),0),"Check date"))</f>
        <v/>
      </c>
      <c r="G29" s="8">
        <f>IF(A29="","",IF(ISNUMBER(D29),IF(TEXT(D29,"yyyymmdd")=A29&amp;"","OK","Check date"),"Check date"))</f>
        <v/>
      </c>
      <c r="H29" s="8">
        <f>IF(TRIM(B29)="","",IF(ISNUMBER(E29),IF(TEXT(E29,"yyyymmdd")=B29&amp;"","OK","Check date"),"Check date"))</f>
        <v/>
      </c>
      <c r="I29" s="8">
        <f>IF(TRIM(C29)="","",IF(ISNUMBER(F29),IF(TEXT(F29,"yyyy-mm-dd")&amp;"T"&amp;TEXT(F29,"hh:mm")=LEFT(C29,16),"OK","Check date"),"Check date"))</f>
        <v/>
      </c>
    </row>
    <row r="30">
      <c r="A30" s="4" t="n"/>
      <c r="B30" s="5" t="n"/>
      <c r="C30" s="5" t="n"/>
      <c r="D30" s="6">
        <f>IF(A30="","",IF(ISNUMBER(A30),IFERROR(DATE(INT(A30/10000),MOD(INT(A30/100),100),MOD(A30,100)),"Check date"),"Check date"))</f>
        <v/>
      </c>
      <c r="E30" s="6">
        <f>IF(TRIM(B30)="","",IFERROR(DATE(LEFT(B30,4),MID(B30,5,2),RIGHT(B30,2)),"Check date"))</f>
        <v/>
      </c>
      <c r="F30" s="7">
        <f>IF(TRIM(C30)="","",IFERROR(DATE(LEFT(C30,4),MID(C30,6,2),MID(C30,9,2))+TIME(MID(C30,12,2),MID(C30,15,2),0),"Check date"))</f>
        <v/>
      </c>
      <c r="G30" s="8">
        <f>IF(A30="","",IF(ISNUMBER(D30),IF(TEXT(D30,"yyyymmdd")=A30&amp;"","OK","Check date"),"Check date"))</f>
        <v/>
      </c>
      <c r="H30" s="8">
        <f>IF(TRIM(B30)="","",IF(ISNUMBER(E30),IF(TEXT(E30,"yyyymmdd")=B30&amp;"","OK","Check date"),"Check date"))</f>
        <v/>
      </c>
      <c r="I30" s="8">
        <f>IF(TRIM(C30)="","",IF(ISNUMBER(F30),IF(TEXT(F30,"yyyy-mm-dd")&amp;"T"&amp;TEXT(F30,"hh:mm")=LEFT(C30,16),"OK","Check date"),"Check date"))</f>
        <v/>
      </c>
    </row>
    <row r="31">
      <c r="A31" s="4" t="n"/>
      <c r="B31" s="5" t="n"/>
      <c r="C31" s="5" t="n"/>
      <c r="D31" s="6">
        <f>IF(A31="","",IF(ISNUMBER(A31),IFERROR(DATE(INT(A31/10000),MOD(INT(A31/100),100),MOD(A31,100)),"Check date"),"Check date"))</f>
        <v/>
      </c>
      <c r="E31" s="6">
        <f>IF(TRIM(B31)="","",IFERROR(DATE(LEFT(B31,4),MID(B31,5,2),RIGHT(B31,2)),"Check date"))</f>
        <v/>
      </c>
      <c r="F31" s="7">
        <f>IF(TRIM(C31)="","",IFERROR(DATE(LEFT(C31,4),MID(C31,6,2),MID(C31,9,2))+TIME(MID(C31,12,2),MID(C31,15,2),0),"Check date"))</f>
        <v/>
      </c>
      <c r="G31" s="8">
        <f>IF(A31="","",IF(ISNUMBER(D31),IF(TEXT(D31,"yyyymmdd")=A31&amp;"","OK","Check date"),"Check date"))</f>
        <v/>
      </c>
      <c r="H31" s="8">
        <f>IF(TRIM(B31)="","",IF(ISNUMBER(E31),IF(TEXT(E31,"yyyymmdd")=B31&amp;"","OK","Check date"),"Check date"))</f>
        <v/>
      </c>
      <c r="I31" s="8">
        <f>IF(TRIM(C31)="","",IF(ISNUMBER(F31),IF(TEXT(F31,"yyyy-mm-dd")&amp;"T"&amp;TEXT(F31,"hh:mm")=LEFT(C31,16),"OK","Check date"),"Check date"))</f>
        <v/>
      </c>
    </row>
    <row r="32">
      <c r="A32" s="4" t="n"/>
      <c r="B32" s="5" t="n"/>
      <c r="C32" s="5" t="n"/>
      <c r="D32" s="6">
        <f>IF(A32="","",IF(ISNUMBER(A32),IFERROR(DATE(INT(A32/10000),MOD(INT(A32/100),100),MOD(A32,100)),"Check date"),"Check date"))</f>
        <v/>
      </c>
      <c r="E32" s="6">
        <f>IF(TRIM(B32)="","",IFERROR(DATE(LEFT(B32,4),MID(B32,5,2),RIGHT(B32,2)),"Check date"))</f>
        <v/>
      </c>
      <c r="F32" s="7">
        <f>IF(TRIM(C32)="","",IFERROR(DATE(LEFT(C32,4),MID(C32,6,2),MID(C32,9,2))+TIME(MID(C32,12,2),MID(C32,15,2),0),"Check date"))</f>
        <v/>
      </c>
      <c r="G32" s="8">
        <f>IF(A32="","",IF(ISNUMBER(D32),IF(TEXT(D32,"yyyymmdd")=A32&amp;"","OK","Check date"),"Check date"))</f>
        <v/>
      </c>
      <c r="H32" s="8">
        <f>IF(TRIM(B32)="","",IF(ISNUMBER(E32),IF(TEXT(E32,"yyyymmdd")=B32&amp;"","OK","Check date"),"Check date"))</f>
        <v/>
      </c>
      <c r="I32" s="8">
        <f>IF(TRIM(C32)="","",IF(ISNUMBER(F32),IF(TEXT(F32,"yyyy-mm-dd")&amp;"T"&amp;TEXT(F32,"hh:mm")=LEFT(C32,16),"OK","Check date"),"Check date"))</f>
        <v/>
      </c>
    </row>
    <row r="33">
      <c r="A33" s="4" t="n"/>
      <c r="B33" s="5" t="n"/>
      <c r="C33" s="5" t="n"/>
      <c r="D33" s="6">
        <f>IF(A33="","",IF(ISNUMBER(A33),IFERROR(DATE(INT(A33/10000),MOD(INT(A33/100),100),MOD(A33,100)),"Check date"),"Check date"))</f>
        <v/>
      </c>
      <c r="E33" s="6">
        <f>IF(TRIM(B33)="","",IFERROR(DATE(LEFT(B33,4),MID(B33,5,2),RIGHT(B33,2)),"Check date"))</f>
        <v/>
      </c>
      <c r="F33" s="7">
        <f>IF(TRIM(C33)="","",IFERROR(DATE(LEFT(C33,4),MID(C33,6,2),MID(C33,9,2))+TIME(MID(C33,12,2),MID(C33,15,2),0),"Check date"))</f>
        <v/>
      </c>
      <c r="G33" s="8">
        <f>IF(A33="","",IF(ISNUMBER(D33),IF(TEXT(D33,"yyyymmdd")=A33&amp;"","OK","Check date"),"Check date"))</f>
        <v/>
      </c>
      <c r="H33" s="8">
        <f>IF(TRIM(B33)="","",IF(ISNUMBER(E33),IF(TEXT(E33,"yyyymmdd")=B33&amp;"","OK","Check date"),"Check date"))</f>
        <v/>
      </c>
      <c r="I33" s="8">
        <f>IF(TRIM(C33)="","",IF(ISNUMBER(F33),IF(TEXT(F33,"yyyy-mm-dd")&amp;"T"&amp;TEXT(F33,"hh:mm")=LEFT(C33,16),"OK","Check date"),"Check date"))</f>
        <v/>
      </c>
    </row>
    <row r="34">
      <c r="A34" s="4" t="n"/>
      <c r="B34" s="5" t="n"/>
      <c r="C34" s="5" t="n"/>
      <c r="D34" s="6">
        <f>IF(A34="","",IF(ISNUMBER(A34),IFERROR(DATE(INT(A34/10000),MOD(INT(A34/100),100),MOD(A34,100)),"Check date"),"Check date"))</f>
        <v/>
      </c>
      <c r="E34" s="6">
        <f>IF(TRIM(B34)="","",IFERROR(DATE(LEFT(B34,4),MID(B34,5,2),RIGHT(B34,2)),"Check date"))</f>
        <v/>
      </c>
      <c r="F34" s="7">
        <f>IF(TRIM(C34)="","",IFERROR(DATE(LEFT(C34,4),MID(C34,6,2),MID(C34,9,2))+TIME(MID(C34,12,2),MID(C34,15,2),0),"Check date"))</f>
        <v/>
      </c>
      <c r="G34" s="8">
        <f>IF(A34="","",IF(ISNUMBER(D34),IF(TEXT(D34,"yyyymmdd")=A34&amp;"","OK","Check date"),"Check date"))</f>
        <v/>
      </c>
      <c r="H34" s="8">
        <f>IF(TRIM(B34)="","",IF(ISNUMBER(E34),IF(TEXT(E34,"yyyymmdd")=B34&amp;"","OK","Check date"),"Check date"))</f>
        <v/>
      </c>
      <c r="I34" s="8">
        <f>IF(TRIM(C34)="","",IF(ISNUMBER(F34),IF(TEXT(F34,"yyyy-mm-dd")&amp;"T"&amp;TEXT(F34,"hh:mm")=LEFT(C34,16),"OK","Check date"),"Check date"))</f>
        <v/>
      </c>
    </row>
    <row r="35">
      <c r="A35" s="4" t="n"/>
      <c r="B35" s="5" t="n"/>
      <c r="C35" s="5" t="n"/>
      <c r="D35" s="6">
        <f>IF(A35="","",IF(ISNUMBER(A35),IFERROR(DATE(INT(A35/10000),MOD(INT(A35/100),100),MOD(A35,100)),"Check date"),"Check date"))</f>
        <v/>
      </c>
      <c r="E35" s="6">
        <f>IF(TRIM(B35)="","",IFERROR(DATE(LEFT(B35,4),MID(B35,5,2),RIGHT(B35,2)),"Check date"))</f>
        <v/>
      </c>
      <c r="F35" s="7">
        <f>IF(TRIM(C35)="","",IFERROR(DATE(LEFT(C35,4),MID(C35,6,2),MID(C35,9,2))+TIME(MID(C35,12,2),MID(C35,15,2),0),"Check date"))</f>
        <v/>
      </c>
      <c r="G35" s="8">
        <f>IF(A35="","",IF(ISNUMBER(D35),IF(TEXT(D35,"yyyymmdd")=A35&amp;"","OK","Check date"),"Check date"))</f>
        <v/>
      </c>
      <c r="H35" s="8">
        <f>IF(TRIM(B35)="","",IF(ISNUMBER(E35),IF(TEXT(E35,"yyyymmdd")=B35&amp;"","OK","Check date"),"Check date"))</f>
        <v/>
      </c>
      <c r="I35" s="8">
        <f>IF(TRIM(C35)="","",IF(ISNUMBER(F35),IF(TEXT(F35,"yyyy-mm-dd")&amp;"T"&amp;TEXT(F35,"hh:mm")=LEFT(C35,16),"OK","Check date"),"Check date"))</f>
        <v/>
      </c>
    </row>
    <row r="36">
      <c r="A36" s="4" t="n"/>
      <c r="B36" s="5" t="n"/>
      <c r="C36" s="5" t="n"/>
      <c r="D36" s="6">
        <f>IF(A36="","",IF(ISNUMBER(A36),IFERROR(DATE(INT(A36/10000),MOD(INT(A36/100),100),MOD(A36,100)),"Check date"),"Check date"))</f>
        <v/>
      </c>
      <c r="E36" s="6">
        <f>IF(TRIM(B36)="","",IFERROR(DATE(LEFT(B36,4),MID(B36,5,2),RIGHT(B36,2)),"Check date"))</f>
        <v/>
      </c>
      <c r="F36" s="7">
        <f>IF(TRIM(C36)="","",IFERROR(DATE(LEFT(C36,4),MID(C36,6,2),MID(C36,9,2))+TIME(MID(C36,12,2),MID(C36,15,2),0),"Check date"))</f>
        <v/>
      </c>
      <c r="G36" s="8">
        <f>IF(A36="","",IF(ISNUMBER(D36),IF(TEXT(D36,"yyyymmdd")=A36&amp;"","OK","Check date"),"Check date"))</f>
        <v/>
      </c>
      <c r="H36" s="8">
        <f>IF(TRIM(B36)="","",IF(ISNUMBER(E36),IF(TEXT(E36,"yyyymmdd")=B36&amp;"","OK","Check date"),"Check date"))</f>
        <v/>
      </c>
      <c r="I36" s="8">
        <f>IF(TRIM(C36)="","",IF(ISNUMBER(F36),IF(TEXT(F36,"yyyy-mm-dd")&amp;"T"&amp;TEXT(F36,"hh:mm")=LEFT(C36,16),"OK","Check date"),"Check date"))</f>
        <v/>
      </c>
    </row>
    <row r="37">
      <c r="A37" s="4" t="n"/>
      <c r="B37" s="5" t="n"/>
      <c r="C37" s="5" t="n"/>
      <c r="D37" s="6">
        <f>IF(A37="","",IF(ISNUMBER(A37),IFERROR(DATE(INT(A37/10000),MOD(INT(A37/100),100),MOD(A37,100)),"Check date"),"Check date"))</f>
        <v/>
      </c>
      <c r="E37" s="6">
        <f>IF(TRIM(B37)="","",IFERROR(DATE(LEFT(B37,4),MID(B37,5,2),RIGHT(B37,2)),"Check date"))</f>
        <v/>
      </c>
      <c r="F37" s="7">
        <f>IF(TRIM(C37)="","",IFERROR(DATE(LEFT(C37,4),MID(C37,6,2),MID(C37,9,2))+TIME(MID(C37,12,2),MID(C37,15,2),0),"Check date"))</f>
        <v/>
      </c>
      <c r="G37" s="8">
        <f>IF(A37="","",IF(ISNUMBER(D37),IF(TEXT(D37,"yyyymmdd")=A37&amp;"","OK","Check date"),"Check date"))</f>
        <v/>
      </c>
      <c r="H37" s="8">
        <f>IF(TRIM(B37)="","",IF(ISNUMBER(E37),IF(TEXT(E37,"yyyymmdd")=B37&amp;"","OK","Check date"),"Check date"))</f>
        <v/>
      </c>
      <c r="I37" s="8">
        <f>IF(TRIM(C37)="","",IF(ISNUMBER(F37),IF(TEXT(F37,"yyyy-mm-dd")&amp;"T"&amp;TEXT(F37,"hh:mm")=LEFT(C37,16),"OK","Check date"),"Check date"))</f>
        <v/>
      </c>
    </row>
    <row r="38">
      <c r="A38" s="4" t="n"/>
      <c r="B38" s="5" t="n"/>
      <c r="C38" s="5" t="n"/>
      <c r="D38" s="6">
        <f>IF(A38="","",IF(ISNUMBER(A38),IFERROR(DATE(INT(A38/10000),MOD(INT(A38/100),100),MOD(A38,100)),"Check date"),"Check date"))</f>
        <v/>
      </c>
      <c r="E38" s="6">
        <f>IF(TRIM(B38)="","",IFERROR(DATE(LEFT(B38,4),MID(B38,5,2),RIGHT(B38,2)),"Check date"))</f>
        <v/>
      </c>
      <c r="F38" s="7">
        <f>IF(TRIM(C38)="","",IFERROR(DATE(LEFT(C38,4),MID(C38,6,2),MID(C38,9,2))+TIME(MID(C38,12,2),MID(C38,15,2),0),"Check date"))</f>
        <v/>
      </c>
      <c r="G38" s="8">
        <f>IF(A38="","",IF(ISNUMBER(D38),IF(TEXT(D38,"yyyymmdd")=A38&amp;"","OK","Check date"),"Check date"))</f>
        <v/>
      </c>
      <c r="H38" s="8">
        <f>IF(TRIM(B38)="","",IF(ISNUMBER(E38),IF(TEXT(E38,"yyyymmdd")=B38&amp;"","OK","Check date"),"Check date"))</f>
        <v/>
      </c>
      <c r="I38" s="8">
        <f>IF(TRIM(C38)="","",IF(ISNUMBER(F38),IF(TEXT(F38,"yyyy-mm-dd")&amp;"T"&amp;TEXT(F38,"hh:mm")=LEFT(C38,16),"OK","Check date"),"Check date"))</f>
        <v/>
      </c>
    </row>
    <row r="39">
      <c r="A39" s="4" t="n"/>
      <c r="B39" s="5" t="n"/>
      <c r="C39" s="5" t="n"/>
      <c r="D39" s="6">
        <f>IF(A39="","",IF(ISNUMBER(A39),IFERROR(DATE(INT(A39/10000),MOD(INT(A39/100),100),MOD(A39,100)),"Check date"),"Check date"))</f>
        <v/>
      </c>
      <c r="E39" s="6">
        <f>IF(TRIM(B39)="","",IFERROR(DATE(LEFT(B39,4),MID(B39,5,2),RIGHT(B39,2)),"Check date"))</f>
        <v/>
      </c>
      <c r="F39" s="7">
        <f>IF(TRIM(C39)="","",IFERROR(DATE(LEFT(C39,4),MID(C39,6,2),MID(C39,9,2))+TIME(MID(C39,12,2),MID(C39,15,2),0),"Check date"))</f>
        <v/>
      </c>
      <c r="G39" s="8">
        <f>IF(A39="","",IF(ISNUMBER(D39),IF(TEXT(D39,"yyyymmdd")=A39&amp;"","OK","Check date"),"Check date"))</f>
        <v/>
      </c>
      <c r="H39" s="8">
        <f>IF(TRIM(B39)="","",IF(ISNUMBER(E39),IF(TEXT(E39,"yyyymmdd")=B39&amp;"","OK","Check date"),"Check date"))</f>
        <v/>
      </c>
      <c r="I39" s="8">
        <f>IF(TRIM(C39)="","",IF(ISNUMBER(F39),IF(TEXT(F39,"yyyy-mm-dd")&amp;"T"&amp;TEXT(F39,"hh:mm")=LEFT(C39,16),"OK","Check date"),"Check date"))</f>
        <v/>
      </c>
    </row>
    <row r="40">
      <c r="A40" s="4" t="n"/>
      <c r="B40" s="5" t="n"/>
      <c r="C40" s="5" t="n"/>
      <c r="D40" s="6">
        <f>IF(A40="","",IF(ISNUMBER(A40),IFERROR(DATE(INT(A40/10000),MOD(INT(A40/100),100),MOD(A40,100)),"Check date"),"Check date"))</f>
        <v/>
      </c>
      <c r="E40" s="6">
        <f>IF(TRIM(B40)="","",IFERROR(DATE(LEFT(B40,4),MID(B40,5,2),RIGHT(B40,2)),"Check date"))</f>
        <v/>
      </c>
      <c r="F40" s="7">
        <f>IF(TRIM(C40)="","",IFERROR(DATE(LEFT(C40,4),MID(C40,6,2),MID(C40,9,2))+TIME(MID(C40,12,2),MID(C40,15,2),0),"Check date"))</f>
        <v/>
      </c>
      <c r="G40" s="8">
        <f>IF(A40="","",IF(ISNUMBER(D40),IF(TEXT(D40,"yyyymmdd")=A40&amp;"","OK","Check date"),"Check date"))</f>
        <v/>
      </c>
      <c r="H40" s="8">
        <f>IF(TRIM(B40)="","",IF(ISNUMBER(E40),IF(TEXT(E40,"yyyymmdd")=B40&amp;"","OK","Check date"),"Check date"))</f>
        <v/>
      </c>
      <c r="I40" s="8">
        <f>IF(TRIM(C40)="","",IF(ISNUMBER(F40),IF(TEXT(F40,"yyyy-mm-dd")&amp;"T"&amp;TEXT(F40,"hh:mm")=LEFT(C40,16),"OK","Check date"),"Check date"))</f>
        <v/>
      </c>
    </row>
    <row r="41">
      <c r="A41" s="4" t="n"/>
      <c r="B41" s="5" t="n"/>
      <c r="C41" s="5" t="n"/>
      <c r="D41" s="6">
        <f>IF(A41="","",IF(ISNUMBER(A41),IFERROR(DATE(INT(A41/10000),MOD(INT(A41/100),100),MOD(A41,100)),"Check date"),"Check date"))</f>
        <v/>
      </c>
      <c r="E41" s="6">
        <f>IF(TRIM(B41)="","",IFERROR(DATE(LEFT(B41,4),MID(B41,5,2),RIGHT(B41,2)),"Check date"))</f>
        <v/>
      </c>
      <c r="F41" s="7">
        <f>IF(TRIM(C41)="","",IFERROR(DATE(LEFT(C41,4),MID(C41,6,2),MID(C41,9,2))+TIME(MID(C41,12,2),MID(C41,15,2),0),"Check date"))</f>
        <v/>
      </c>
      <c r="G41" s="8">
        <f>IF(A41="","",IF(ISNUMBER(D41),IF(TEXT(D41,"yyyymmdd")=A41&amp;"","OK","Check date"),"Check date"))</f>
        <v/>
      </c>
      <c r="H41" s="8">
        <f>IF(TRIM(B41)="","",IF(ISNUMBER(E41),IF(TEXT(E41,"yyyymmdd")=B41&amp;"","OK","Check date"),"Check date"))</f>
        <v/>
      </c>
      <c r="I41" s="8">
        <f>IF(TRIM(C41)="","",IF(ISNUMBER(F41),IF(TEXT(F41,"yyyy-mm-dd")&amp;"T"&amp;TEXT(F41,"hh:mm")=LEFT(C41,16),"OK","Check date"),"Check date"))</f>
        <v/>
      </c>
    </row>
    <row r="42">
      <c r="A42" s="4" t="n"/>
      <c r="B42" s="5" t="n"/>
      <c r="C42" s="5" t="n"/>
      <c r="D42" s="6">
        <f>IF(A42="","",IF(ISNUMBER(A42),IFERROR(DATE(INT(A42/10000),MOD(INT(A42/100),100),MOD(A42,100)),"Check date"),"Check date"))</f>
        <v/>
      </c>
      <c r="E42" s="6">
        <f>IF(TRIM(B42)="","",IFERROR(DATE(LEFT(B42,4),MID(B42,5,2),RIGHT(B42,2)),"Check date"))</f>
        <v/>
      </c>
      <c r="F42" s="7">
        <f>IF(TRIM(C42)="","",IFERROR(DATE(LEFT(C42,4),MID(C42,6,2),MID(C42,9,2))+TIME(MID(C42,12,2),MID(C42,15,2),0),"Check date"))</f>
        <v/>
      </c>
      <c r="G42" s="8">
        <f>IF(A42="","",IF(ISNUMBER(D42),IF(TEXT(D42,"yyyymmdd")=A42&amp;"","OK","Check date"),"Check date"))</f>
        <v/>
      </c>
      <c r="H42" s="8">
        <f>IF(TRIM(B42)="","",IF(ISNUMBER(E42),IF(TEXT(E42,"yyyymmdd")=B42&amp;"","OK","Check date"),"Check date"))</f>
        <v/>
      </c>
      <c r="I42" s="8">
        <f>IF(TRIM(C42)="","",IF(ISNUMBER(F42),IF(TEXT(F42,"yyyy-mm-dd")&amp;"T"&amp;TEXT(F42,"hh:mm")=LEFT(C42,16),"OK","Check date"),"Check date"))</f>
        <v/>
      </c>
    </row>
    <row r="43">
      <c r="A43" s="4" t="n"/>
      <c r="B43" s="5" t="n"/>
      <c r="C43" s="5" t="n"/>
      <c r="D43" s="6">
        <f>IF(A43="","",IF(ISNUMBER(A43),IFERROR(DATE(INT(A43/10000),MOD(INT(A43/100),100),MOD(A43,100)),"Check date"),"Check date"))</f>
        <v/>
      </c>
      <c r="E43" s="6">
        <f>IF(TRIM(B43)="","",IFERROR(DATE(LEFT(B43,4),MID(B43,5,2),RIGHT(B43,2)),"Check date"))</f>
        <v/>
      </c>
      <c r="F43" s="7">
        <f>IF(TRIM(C43)="","",IFERROR(DATE(LEFT(C43,4),MID(C43,6,2),MID(C43,9,2))+TIME(MID(C43,12,2),MID(C43,15,2),0),"Check date"))</f>
        <v/>
      </c>
      <c r="G43" s="8">
        <f>IF(A43="","",IF(ISNUMBER(D43),IF(TEXT(D43,"yyyymmdd")=A43&amp;"","OK","Check date"),"Check date"))</f>
        <v/>
      </c>
      <c r="H43" s="8">
        <f>IF(TRIM(B43)="","",IF(ISNUMBER(E43),IF(TEXT(E43,"yyyymmdd")=B43&amp;"","OK","Check date"),"Check date"))</f>
        <v/>
      </c>
      <c r="I43" s="8">
        <f>IF(TRIM(C43)="","",IF(ISNUMBER(F43),IF(TEXT(F43,"yyyy-mm-dd")&amp;"T"&amp;TEXT(F43,"hh:mm")=LEFT(C43,16),"OK","Check date"),"Check date"))</f>
        <v/>
      </c>
    </row>
    <row r="44">
      <c r="A44" s="4" t="n"/>
      <c r="B44" s="5" t="n"/>
      <c r="C44" s="5" t="n"/>
      <c r="D44" s="6">
        <f>IF(A44="","",IF(ISNUMBER(A44),IFERROR(DATE(INT(A44/10000),MOD(INT(A44/100),100),MOD(A44,100)),"Check date"),"Check date"))</f>
        <v/>
      </c>
      <c r="E44" s="6">
        <f>IF(TRIM(B44)="","",IFERROR(DATE(LEFT(B44,4),MID(B44,5,2),RIGHT(B44,2)),"Check date"))</f>
        <v/>
      </c>
      <c r="F44" s="7">
        <f>IF(TRIM(C44)="","",IFERROR(DATE(LEFT(C44,4),MID(C44,6,2),MID(C44,9,2))+TIME(MID(C44,12,2),MID(C44,15,2),0),"Check date"))</f>
        <v/>
      </c>
      <c r="G44" s="8">
        <f>IF(A44="","",IF(ISNUMBER(D44),IF(TEXT(D44,"yyyymmdd")=A44&amp;"","OK","Check date"),"Check date"))</f>
        <v/>
      </c>
      <c r="H44" s="8">
        <f>IF(TRIM(B44)="","",IF(ISNUMBER(E44),IF(TEXT(E44,"yyyymmdd")=B44&amp;"","OK","Check date"),"Check date"))</f>
        <v/>
      </c>
      <c r="I44" s="8">
        <f>IF(TRIM(C44)="","",IF(ISNUMBER(F44),IF(TEXT(F44,"yyyy-mm-dd")&amp;"T"&amp;TEXT(F44,"hh:mm")=LEFT(C44,16),"OK","Check date"),"Check date"))</f>
        <v/>
      </c>
    </row>
    <row r="45">
      <c r="A45" s="4" t="n"/>
      <c r="B45" s="5" t="n"/>
      <c r="C45" s="5" t="n"/>
      <c r="D45" s="6">
        <f>IF(A45="","",IF(ISNUMBER(A45),IFERROR(DATE(INT(A45/10000),MOD(INT(A45/100),100),MOD(A45,100)),"Check date"),"Check date"))</f>
        <v/>
      </c>
      <c r="E45" s="6">
        <f>IF(TRIM(B45)="","",IFERROR(DATE(LEFT(B45,4),MID(B45,5,2),RIGHT(B45,2)),"Check date"))</f>
        <v/>
      </c>
      <c r="F45" s="7">
        <f>IF(TRIM(C45)="","",IFERROR(DATE(LEFT(C45,4),MID(C45,6,2),MID(C45,9,2))+TIME(MID(C45,12,2),MID(C45,15,2),0),"Check date"))</f>
        <v/>
      </c>
      <c r="G45" s="8">
        <f>IF(A45="","",IF(ISNUMBER(D45),IF(TEXT(D45,"yyyymmdd")=A45&amp;"","OK","Check date"),"Check date"))</f>
        <v/>
      </c>
      <c r="H45" s="8">
        <f>IF(TRIM(B45)="","",IF(ISNUMBER(E45),IF(TEXT(E45,"yyyymmdd")=B45&amp;"","OK","Check date"),"Check date"))</f>
        <v/>
      </c>
      <c r="I45" s="8">
        <f>IF(TRIM(C45)="","",IF(ISNUMBER(F45),IF(TEXT(F45,"yyyy-mm-dd")&amp;"T"&amp;TEXT(F45,"hh:mm")=LEFT(C45,16),"OK","Check date"),"Check date"))</f>
        <v/>
      </c>
    </row>
    <row r="46">
      <c r="A46" s="4" t="n"/>
      <c r="B46" s="5" t="n"/>
      <c r="C46" s="5" t="n"/>
      <c r="D46" s="6">
        <f>IF(A46="","",IF(ISNUMBER(A46),IFERROR(DATE(INT(A46/10000),MOD(INT(A46/100),100),MOD(A46,100)),"Check date"),"Check date"))</f>
        <v/>
      </c>
      <c r="E46" s="6">
        <f>IF(TRIM(B46)="","",IFERROR(DATE(LEFT(B46,4),MID(B46,5,2),RIGHT(B46,2)),"Check date"))</f>
        <v/>
      </c>
      <c r="F46" s="7">
        <f>IF(TRIM(C46)="","",IFERROR(DATE(LEFT(C46,4),MID(C46,6,2),MID(C46,9,2))+TIME(MID(C46,12,2),MID(C46,15,2),0),"Check date"))</f>
        <v/>
      </c>
      <c r="G46" s="8">
        <f>IF(A46="","",IF(ISNUMBER(D46),IF(TEXT(D46,"yyyymmdd")=A46&amp;"","OK","Check date"),"Check date"))</f>
        <v/>
      </c>
      <c r="H46" s="8">
        <f>IF(TRIM(B46)="","",IF(ISNUMBER(E46),IF(TEXT(E46,"yyyymmdd")=B46&amp;"","OK","Check date"),"Check date"))</f>
        <v/>
      </c>
      <c r="I46" s="8">
        <f>IF(TRIM(C46)="","",IF(ISNUMBER(F46),IF(TEXT(F46,"yyyy-mm-dd")&amp;"T"&amp;TEXT(F46,"hh:mm")=LEFT(C46,16),"OK","Check date"),"Check date"))</f>
        <v/>
      </c>
    </row>
    <row r="47">
      <c r="A47" s="4" t="n"/>
      <c r="B47" s="5" t="n"/>
      <c r="C47" s="5" t="n"/>
      <c r="D47" s="6">
        <f>IF(A47="","",IF(ISNUMBER(A47),IFERROR(DATE(INT(A47/10000),MOD(INT(A47/100),100),MOD(A47,100)),"Check date"),"Check date"))</f>
        <v/>
      </c>
      <c r="E47" s="6">
        <f>IF(TRIM(B47)="","",IFERROR(DATE(LEFT(B47,4),MID(B47,5,2),RIGHT(B47,2)),"Check date"))</f>
        <v/>
      </c>
      <c r="F47" s="7">
        <f>IF(TRIM(C47)="","",IFERROR(DATE(LEFT(C47,4),MID(C47,6,2),MID(C47,9,2))+TIME(MID(C47,12,2),MID(C47,15,2),0),"Check date"))</f>
        <v/>
      </c>
      <c r="G47" s="8">
        <f>IF(A47="","",IF(ISNUMBER(D47),IF(TEXT(D47,"yyyymmdd")=A47&amp;"","OK","Check date"),"Check date"))</f>
        <v/>
      </c>
      <c r="H47" s="8">
        <f>IF(TRIM(B47)="","",IF(ISNUMBER(E47),IF(TEXT(E47,"yyyymmdd")=B47&amp;"","OK","Check date"),"Check date"))</f>
        <v/>
      </c>
      <c r="I47" s="8">
        <f>IF(TRIM(C47)="","",IF(ISNUMBER(F47),IF(TEXT(F47,"yyyy-mm-dd")&amp;"T"&amp;TEXT(F47,"hh:mm")=LEFT(C47,16),"OK","Check date"),"Check date"))</f>
        <v/>
      </c>
    </row>
    <row r="48">
      <c r="A48" s="4" t="n"/>
      <c r="B48" s="5" t="n"/>
      <c r="C48" s="5" t="n"/>
      <c r="D48" s="6">
        <f>IF(A48="","",IF(ISNUMBER(A48),IFERROR(DATE(INT(A48/10000),MOD(INT(A48/100),100),MOD(A48,100)),"Check date"),"Check date"))</f>
        <v/>
      </c>
      <c r="E48" s="6">
        <f>IF(TRIM(B48)="","",IFERROR(DATE(LEFT(B48,4),MID(B48,5,2),RIGHT(B48,2)),"Check date"))</f>
        <v/>
      </c>
      <c r="F48" s="7">
        <f>IF(TRIM(C48)="","",IFERROR(DATE(LEFT(C48,4),MID(C48,6,2),MID(C48,9,2))+TIME(MID(C48,12,2),MID(C48,15,2),0),"Check date"))</f>
        <v/>
      </c>
      <c r="G48" s="8">
        <f>IF(A48="","",IF(ISNUMBER(D48),IF(TEXT(D48,"yyyymmdd")=A48&amp;"","OK","Check date"),"Check date"))</f>
        <v/>
      </c>
      <c r="H48" s="8">
        <f>IF(TRIM(B48)="","",IF(ISNUMBER(E48),IF(TEXT(E48,"yyyymmdd")=B48&amp;"","OK","Check date"),"Check date"))</f>
        <v/>
      </c>
      <c r="I48" s="8">
        <f>IF(TRIM(C48)="","",IF(ISNUMBER(F48),IF(TEXT(F48,"yyyy-mm-dd")&amp;"T"&amp;TEXT(F48,"hh:mm")=LEFT(C48,16),"OK","Check date"),"Check date"))</f>
        <v/>
      </c>
    </row>
    <row r="49">
      <c r="A49" s="4" t="n"/>
      <c r="B49" s="5" t="n"/>
      <c r="C49" s="5" t="n"/>
      <c r="D49" s="6">
        <f>IF(A49="","",IF(ISNUMBER(A49),IFERROR(DATE(INT(A49/10000),MOD(INT(A49/100),100),MOD(A49,100)),"Check date"),"Check date"))</f>
        <v/>
      </c>
      <c r="E49" s="6">
        <f>IF(TRIM(B49)="","",IFERROR(DATE(LEFT(B49,4),MID(B49,5,2),RIGHT(B49,2)),"Check date"))</f>
        <v/>
      </c>
      <c r="F49" s="7">
        <f>IF(TRIM(C49)="","",IFERROR(DATE(LEFT(C49,4),MID(C49,6,2),MID(C49,9,2))+TIME(MID(C49,12,2),MID(C49,15,2),0),"Check date"))</f>
        <v/>
      </c>
      <c r="G49" s="8">
        <f>IF(A49="","",IF(ISNUMBER(D49),IF(TEXT(D49,"yyyymmdd")=A49&amp;"","OK","Check date"),"Check date"))</f>
        <v/>
      </c>
      <c r="H49" s="8">
        <f>IF(TRIM(B49)="","",IF(ISNUMBER(E49),IF(TEXT(E49,"yyyymmdd")=B49&amp;"","OK","Check date"),"Check date"))</f>
        <v/>
      </c>
      <c r="I49" s="8">
        <f>IF(TRIM(C49)="","",IF(ISNUMBER(F49),IF(TEXT(F49,"yyyy-mm-dd")&amp;"T"&amp;TEXT(F49,"hh:mm")=LEFT(C49,16),"OK","Check date"),"Check date"))</f>
        <v/>
      </c>
    </row>
    <row r="50">
      <c r="A50" s="4" t="n"/>
      <c r="B50" s="5" t="n"/>
      <c r="C50" s="5" t="n"/>
      <c r="D50" s="6">
        <f>IF(A50="","",IF(ISNUMBER(A50),IFERROR(DATE(INT(A50/10000),MOD(INT(A50/100),100),MOD(A50,100)),"Check date"),"Check date"))</f>
        <v/>
      </c>
      <c r="E50" s="6">
        <f>IF(TRIM(B50)="","",IFERROR(DATE(LEFT(B50,4),MID(B50,5,2),RIGHT(B50,2)),"Check date"))</f>
        <v/>
      </c>
      <c r="F50" s="7">
        <f>IF(TRIM(C50)="","",IFERROR(DATE(LEFT(C50,4),MID(C50,6,2),MID(C50,9,2))+TIME(MID(C50,12,2),MID(C50,15,2),0),"Check date"))</f>
        <v/>
      </c>
      <c r="G50" s="8">
        <f>IF(A50="","",IF(ISNUMBER(D50),IF(TEXT(D50,"yyyymmdd")=A50&amp;"","OK","Check date"),"Check date"))</f>
        <v/>
      </c>
      <c r="H50" s="8">
        <f>IF(TRIM(B50)="","",IF(ISNUMBER(E50),IF(TEXT(E50,"yyyymmdd")=B50&amp;"","OK","Check date"),"Check date"))</f>
        <v/>
      </c>
      <c r="I50" s="8">
        <f>IF(TRIM(C50)="","",IF(ISNUMBER(F50),IF(TEXT(F50,"yyyy-mm-dd")&amp;"T"&amp;TEXT(F50,"hh:mm")=LEFT(C50,16),"OK","Check date"),"Check date"))</f>
        <v/>
      </c>
    </row>
    <row r="51">
      <c r="A51" s="4" t="n"/>
      <c r="B51" s="5" t="n"/>
      <c r="C51" s="5" t="n"/>
      <c r="D51" s="6">
        <f>IF(A51="","",IF(ISNUMBER(A51),IFERROR(DATE(INT(A51/10000),MOD(INT(A51/100),100),MOD(A51,100)),"Check date"),"Check date"))</f>
        <v/>
      </c>
      <c r="E51" s="6">
        <f>IF(TRIM(B51)="","",IFERROR(DATE(LEFT(B51,4),MID(B51,5,2),RIGHT(B51,2)),"Check date"))</f>
        <v/>
      </c>
      <c r="F51" s="7">
        <f>IF(TRIM(C51)="","",IFERROR(DATE(LEFT(C51,4),MID(C51,6,2),MID(C51,9,2))+TIME(MID(C51,12,2),MID(C51,15,2),0),"Check date"))</f>
        <v/>
      </c>
      <c r="G51" s="8">
        <f>IF(A51="","",IF(ISNUMBER(D51),IF(TEXT(D51,"yyyymmdd")=A51&amp;"","OK","Check date"),"Check date"))</f>
        <v/>
      </c>
      <c r="H51" s="8">
        <f>IF(TRIM(B51)="","",IF(ISNUMBER(E51),IF(TEXT(E51,"yyyymmdd")=B51&amp;"","OK","Check date"),"Check date"))</f>
        <v/>
      </c>
      <c r="I51" s="8">
        <f>IF(TRIM(C51)="","",IF(ISNUMBER(F51),IF(TEXT(F51,"yyyy-mm-dd")&amp;"T"&amp;TEXT(F51,"hh:mm")=LEFT(C51,16),"OK","Check date"),"Check date"))</f>
        <v/>
      </c>
    </row>
    <row r="52">
      <c r="A52" s="4" t="n"/>
      <c r="B52" s="5" t="n"/>
      <c r="C52" s="5" t="n"/>
      <c r="D52" s="6">
        <f>IF(A52="","",IF(ISNUMBER(A52),IFERROR(DATE(INT(A52/10000),MOD(INT(A52/100),100),MOD(A52,100)),"Check date"),"Check date"))</f>
        <v/>
      </c>
      <c r="E52" s="6">
        <f>IF(TRIM(B52)="","",IFERROR(DATE(LEFT(B52,4),MID(B52,5,2),RIGHT(B52,2)),"Check date"))</f>
        <v/>
      </c>
      <c r="F52" s="7">
        <f>IF(TRIM(C52)="","",IFERROR(DATE(LEFT(C52,4),MID(C52,6,2),MID(C52,9,2))+TIME(MID(C52,12,2),MID(C52,15,2),0),"Check date"))</f>
        <v/>
      </c>
      <c r="G52" s="8">
        <f>IF(A52="","",IF(ISNUMBER(D52),IF(TEXT(D52,"yyyymmdd")=A52&amp;"","OK","Check date"),"Check date"))</f>
        <v/>
      </c>
      <c r="H52" s="8">
        <f>IF(TRIM(B52)="","",IF(ISNUMBER(E52),IF(TEXT(E52,"yyyymmdd")=B52&amp;"","OK","Check date"),"Check date"))</f>
        <v/>
      </c>
      <c r="I52" s="8">
        <f>IF(TRIM(C52)="","",IF(ISNUMBER(F52),IF(TEXT(F52,"yyyy-mm-dd")&amp;"T"&amp;TEXT(F52,"hh:mm")=LEFT(C52,16),"OK","Check date"),"Check date"))</f>
        <v/>
      </c>
    </row>
    <row r="53">
      <c r="A53" s="4" t="n"/>
      <c r="B53" s="5" t="n"/>
      <c r="C53" s="5" t="n"/>
      <c r="D53" s="6">
        <f>IF(A53="","",IF(ISNUMBER(A53),IFERROR(DATE(INT(A53/10000),MOD(INT(A53/100),100),MOD(A53,100)),"Check date"),"Check date"))</f>
        <v/>
      </c>
      <c r="E53" s="6">
        <f>IF(TRIM(B53)="","",IFERROR(DATE(LEFT(B53,4),MID(B53,5,2),RIGHT(B53,2)),"Check date"))</f>
        <v/>
      </c>
      <c r="F53" s="7">
        <f>IF(TRIM(C53)="","",IFERROR(DATE(LEFT(C53,4),MID(C53,6,2),MID(C53,9,2))+TIME(MID(C53,12,2),MID(C53,15,2),0),"Check date"))</f>
        <v/>
      </c>
      <c r="G53" s="8">
        <f>IF(A53="","",IF(ISNUMBER(D53),IF(TEXT(D53,"yyyymmdd")=A53&amp;"","OK","Check date"),"Check date"))</f>
        <v/>
      </c>
      <c r="H53" s="8">
        <f>IF(TRIM(B53)="","",IF(ISNUMBER(E53),IF(TEXT(E53,"yyyymmdd")=B53&amp;"","OK","Check date"),"Check date"))</f>
        <v/>
      </c>
      <c r="I53" s="8">
        <f>IF(TRIM(C53)="","",IF(ISNUMBER(F53),IF(TEXT(F53,"yyyy-mm-dd")&amp;"T"&amp;TEXT(F53,"hh:mm")=LEFT(C53,16),"OK","Check date"),"Check date"))</f>
        <v/>
      </c>
    </row>
    <row r="54">
      <c r="A54" s="4" t="n"/>
      <c r="B54" s="5" t="n"/>
      <c r="C54" s="5" t="n"/>
      <c r="D54" s="6">
        <f>IF(A54="","",IF(ISNUMBER(A54),IFERROR(DATE(INT(A54/10000),MOD(INT(A54/100),100),MOD(A54,100)),"Check date"),"Check date"))</f>
        <v/>
      </c>
      <c r="E54" s="6">
        <f>IF(TRIM(B54)="","",IFERROR(DATE(LEFT(B54,4),MID(B54,5,2),RIGHT(B54,2)),"Check date"))</f>
        <v/>
      </c>
      <c r="F54" s="7">
        <f>IF(TRIM(C54)="","",IFERROR(DATE(LEFT(C54,4),MID(C54,6,2),MID(C54,9,2))+TIME(MID(C54,12,2),MID(C54,15,2),0),"Check date"))</f>
        <v/>
      </c>
      <c r="G54" s="8">
        <f>IF(A54="","",IF(ISNUMBER(D54),IF(TEXT(D54,"yyyymmdd")=A54&amp;"","OK","Check date"),"Check date"))</f>
        <v/>
      </c>
      <c r="H54" s="8">
        <f>IF(TRIM(B54)="","",IF(ISNUMBER(E54),IF(TEXT(E54,"yyyymmdd")=B54&amp;"","OK","Check date"),"Check date"))</f>
        <v/>
      </c>
      <c r="I54" s="8">
        <f>IF(TRIM(C54)="","",IF(ISNUMBER(F54),IF(TEXT(F54,"yyyy-mm-dd")&amp;"T"&amp;TEXT(F54,"hh:mm")=LEFT(C54,16),"OK","Check date"),"Check date"))</f>
        <v/>
      </c>
    </row>
    <row r="55">
      <c r="A55" s="4" t="n"/>
      <c r="B55" s="5" t="n"/>
      <c r="C55" s="5" t="n"/>
      <c r="D55" s="6">
        <f>IF(A55="","",IF(ISNUMBER(A55),IFERROR(DATE(INT(A55/10000),MOD(INT(A55/100),100),MOD(A55,100)),"Check date"),"Check date"))</f>
        <v/>
      </c>
      <c r="E55" s="6">
        <f>IF(TRIM(B55)="","",IFERROR(DATE(LEFT(B55,4),MID(B55,5,2),RIGHT(B55,2)),"Check date"))</f>
        <v/>
      </c>
      <c r="F55" s="7">
        <f>IF(TRIM(C55)="","",IFERROR(DATE(LEFT(C55,4),MID(C55,6,2),MID(C55,9,2))+TIME(MID(C55,12,2),MID(C55,15,2),0),"Check date"))</f>
        <v/>
      </c>
      <c r="G55" s="8">
        <f>IF(A55="","",IF(ISNUMBER(D55),IF(TEXT(D55,"yyyymmdd")=A55&amp;"","OK","Check date"),"Check date"))</f>
        <v/>
      </c>
      <c r="H55" s="8">
        <f>IF(TRIM(B55)="","",IF(ISNUMBER(E55),IF(TEXT(E55,"yyyymmdd")=B55&amp;"","OK","Check date"),"Check date"))</f>
        <v/>
      </c>
      <c r="I55" s="8">
        <f>IF(TRIM(C55)="","",IF(ISNUMBER(F55),IF(TEXT(F55,"yyyy-mm-dd")&amp;"T"&amp;TEXT(F55,"hh:mm")=LEFT(C55,16),"OK","Check date"),"Check date"))</f>
        <v/>
      </c>
    </row>
    <row r="56">
      <c r="A56" s="4" t="n"/>
      <c r="B56" s="5" t="n"/>
      <c r="C56" s="5" t="n"/>
      <c r="D56" s="6">
        <f>IF(A56="","",IF(ISNUMBER(A56),IFERROR(DATE(INT(A56/10000),MOD(INT(A56/100),100),MOD(A56,100)),"Check date"),"Check date"))</f>
        <v/>
      </c>
      <c r="E56" s="6">
        <f>IF(TRIM(B56)="","",IFERROR(DATE(LEFT(B56,4),MID(B56,5,2),RIGHT(B56,2)),"Check date"))</f>
        <v/>
      </c>
      <c r="F56" s="7">
        <f>IF(TRIM(C56)="","",IFERROR(DATE(LEFT(C56,4),MID(C56,6,2),MID(C56,9,2))+TIME(MID(C56,12,2),MID(C56,15,2),0),"Check date"))</f>
        <v/>
      </c>
      <c r="G56" s="8">
        <f>IF(A56="","",IF(ISNUMBER(D56),IF(TEXT(D56,"yyyymmdd")=A56&amp;"","OK","Check date"),"Check date"))</f>
        <v/>
      </c>
      <c r="H56" s="8">
        <f>IF(TRIM(B56)="","",IF(ISNUMBER(E56),IF(TEXT(E56,"yyyymmdd")=B56&amp;"","OK","Check date"),"Check date"))</f>
        <v/>
      </c>
      <c r="I56" s="8">
        <f>IF(TRIM(C56)="","",IF(ISNUMBER(F56),IF(TEXT(F56,"yyyy-mm-dd")&amp;"T"&amp;TEXT(F56,"hh:mm")=LEFT(C56,16),"OK","Check date"),"Check date"))</f>
        <v/>
      </c>
    </row>
    <row r="57">
      <c r="A57" s="4" t="n"/>
      <c r="B57" s="5" t="n"/>
      <c r="C57" s="5" t="n"/>
      <c r="D57" s="6">
        <f>IF(A57="","",IF(ISNUMBER(A57),IFERROR(DATE(INT(A57/10000),MOD(INT(A57/100),100),MOD(A57,100)),"Check date"),"Check date"))</f>
        <v/>
      </c>
      <c r="E57" s="6">
        <f>IF(TRIM(B57)="","",IFERROR(DATE(LEFT(B57,4),MID(B57,5,2),RIGHT(B57,2)),"Check date"))</f>
        <v/>
      </c>
      <c r="F57" s="7">
        <f>IF(TRIM(C57)="","",IFERROR(DATE(LEFT(C57,4),MID(C57,6,2),MID(C57,9,2))+TIME(MID(C57,12,2),MID(C57,15,2),0),"Check date"))</f>
        <v/>
      </c>
      <c r="G57" s="8">
        <f>IF(A57="","",IF(ISNUMBER(D57),IF(TEXT(D57,"yyyymmdd")=A57&amp;"","OK","Check date"),"Check date"))</f>
        <v/>
      </c>
      <c r="H57" s="8">
        <f>IF(TRIM(B57)="","",IF(ISNUMBER(E57),IF(TEXT(E57,"yyyymmdd")=B57&amp;"","OK","Check date"),"Check date"))</f>
        <v/>
      </c>
      <c r="I57" s="8">
        <f>IF(TRIM(C57)="","",IF(ISNUMBER(F57),IF(TEXT(F57,"yyyy-mm-dd")&amp;"T"&amp;TEXT(F57,"hh:mm")=LEFT(C57,16),"OK","Check date"),"Check date"))</f>
        <v/>
      </c>
    </row>
    <row r="58">
      <c r="A58" s="4" t="n"/>
      <c r="B58" s="5" t="n"/>
      <c r="C58" s="5" t="n"/>
      <c r="D58" s="6">
        <f>IF(A58="","",IF(ISNUMBER(A58),IFERROR(DATE(INT(A58/10000),MOD(INT(A58/100),100),MOD(A58,100)),"Check date"),"Check date"))</f>
        <v/>
      </c>
      <c r="E58" s="6">
        <f>IF(TRIM(B58)="","",IFERROR(DATE(LEFT(B58,4),MID(B58,5,2),RIGHT(B58,2)),"Check date"))</f>
        <v/>
      </c>
      <c r="F58" s="7">
        <f>IF(TRIM(C58)="","",IFERROR(DATE(LEFT(C58,4),MID(C58,6,2),MID(C58,9,2))+TIME(MID(C58,12,2),MID(C58,15,2),0),"Check date"))</f>
        <v/>
      </c>
      <c r="G58" s="8">
        <f>IF(A58="","",IF(ISNUMBER(D58),IF(TEXT(D58,"yyyymmdd")=A58&amp;"","OK","Check date"),"Check date"))</f>
        <v/>
      </c>
      <c r="H58" s="8">
        <f>IF(TRIM(B58)="","",IF(ISNUMBER(E58),IF(TEXT(E58,"yyyymmdd")=B58&amp;"","OK","Check date"),"Check date"))</f>
        <v/>
      </c>
      <c r="I58" s="8">
        <f>IF(TRIM(C58)="","",IF(ISNUMBER(F58),IF(TEXT(F58,"yyyy-mm-dd")&amp;"T"&amp;TEXT(F58,"hh:mm")=LEFT(C58,16),"OK","Check date"),"Check date"))</f>
        <v/>
      </c>
    </row>
    <row r="59">
      <c r="A59" s="4" t="n"/>
      <c r="B59" s="5" t="n"/>
      <c r="C59" s="5" t="n"/>
      <c r="D59" s="6">
        <f>IF(A59="","",IF(ISNUMBER(A59),IFERROR(DATE(INT(A59/10000),MOD(INT(A59/100),100),MOD(A59,100)),"Check date"),"Check date"))</f>
        <v/>
      </c>
      <c r="E59" s="6">
        <f>IF(TRIM(B59)="","",IFERROR(DATE(LEFT(B59,4),MID(B59,5,2),RIGHT(B59,2)),"Check date"))</f>
        <v/>
      </c>
      <c r="F59" s="7">
        <f>IF(TRIM(C59)="","",IFERROR(DATE(LEFT(C59,4),MID(C59,6,2),MID(C59,9,2))+TIME(MID(C59,12,2),MID(C59,15,2),0),"Check date"))</f>
        <v/>
      </c>
      <c r="G59" s="8">
        <f>IF(A59="","",IF(ISNUMBER(D59),IF(TEXT(D59,"yyyymmdd")=A59&amp;"","OK","Check date"),"Check date"))</f>
        <v/>
      </c>
      <c r="H59" s="8">
        <f>IF(TRIM(B59)="","",IF(ISNUMBER(E59),IF(TEXT(E59,"yyyymmdd")=B59&amp;"","OK","Check date"),"Check date"))</f>
        <v/>
      </c>
      <c r="I59" s="8">
        <f>IF(TRIM(C59)="","",IF(ISNUMBER(F59),IF(TEXT(F59,"yyyy-mm-dd")&amp;"T"&amp;TEXT(F59,"hh:mm")=LEFT(C59,16),"OK","Check date"),"Check date"))</f>
        <v/>
      </c>
    </row>
    <row r="60">
      <c r="A60" s="4" t="n"/>
      <c r="B60" s="5" t="n"/>
      <c r="C60" s="5" t="n"/>
      <c r="D60" s="6">
        <f>IF(A60="","",IF(ISNUMBER(A60),IFERROR(DATE(INT(A60/10000),MOD(INT(A60/100),100),MOD(A60,100)),"Check date"),"Check date"))</f>
        <v/>
      </c>
      <c r="E60" s="6">
        <f>IF(TRIM(B60)="","",IFERROR(DATE(LEFT(B60,4),MID(B60,5,2),RIGHT(B60,2)),"Check date"))</f>
        <v/>
      </c>
      <c r="F60" s="7">
        <f>IF(TRIM(C60)="","",IFERROR(DATE(LEFT(C60,4),MID(C60,6,2),MID(C60,9,2))+TIME(MID(C60,12,2),MID(C60,15,2),0),"Check date"))</f>
        <v/>
      </c>
      <c r="G60" s="8">
        <f>IF(A60="","",IF(ISNUMBER(D60),IF(TEXT(D60,"yyyymmdd")=A60&amp;"","OK","Check date"),"Check date"))</f>
        <v/>
      </c>
      <c r="H60" s="8">
        <f>IF(TRIM(B60)="","",IF(ISNUMBER(E60),IF(TEXT(E60,"yyyymmdd")=B60&amp;"","OK","Check date"),"Check date"))</f>
        <v/>
      </c>
      <c r="I60" s="8">
        <f>IF(TRIM(C60)="","",IF(ISNUMBER(F60),IF(TEXT(F60,"yyyy-mm-dd")&amp;"T"&amp;TEXT(F60,"hh:mm")=LEFT(C60,16),"OK","Check date"),"Check date"))</f>
        <v/>
      </c>
    </row>
    <row r="61">
      <c r="A61" s="4" t="n"/>
      <c r="B61" s="5" t="n"/>
      <c r="C61" s="5" t="n"/>
      <c r="D61" s="6">
        <f>IF(A61="","",IF(ISNUMBER(A61),IFERROR(DATE(INT(A61/10000),MOD(INT(A61/100),100),MOD(A61,100)),"Check date"),"Check date"))</f>
        <v/>
      </c>
      <c r="E61" s="6">
        <f>IF(TRIM(B61)="","",IFERROR(DATE(LEFT(B61,4),MID(B61,5,2),RIGHT(B61,2)),"Check date"))</f>
        <v/>
      </c>
      <c r="F61" s="7">
        <f>IF(TRIM(C61)="","",IFERROR(DATE(LEFT(C61,4),MID(C61,6,2),MID(C61,9,2))+TIME(MID(C61,12,2),MID(C61,15,2),0),"Check date"))</f>
        <v/>
      </c>
      <c r="G61" s="8">
        <f>IF(A61="","",IF(ISNUMBER(D61),IF(TEXT(D61,"yyyymmdd")=A61&amp;"","OK","Check date"),"Check date"))</f>
        <v/>
      </c>
      <c r="H61" s="8">
        <f>IF(TRIM(B61)="","",IF(ISNUMBER(E61),IF(TEXT(E61,"yyyymmdd")=B61&amp;"","OK","Check date"),"Check date"))</f>
        <v/>
      </c>
      <c r="I61" s="8">
        <f>IF(TRIM(C61)="","",IF(ISNUMBER(F61),IF(TEXT(F61,"yyyy-mm-dd")&amp;"T"&amp;TEXT(F61,"hh:mm")=LEFT(C61,16),"OK","Check date"),"Check date"))</f>
        <v/>
      </c>
    </row>
    <row r="62">
      <c r="A62" s="4" t="n"/>
      <c r="B62" s="5" t="n"/>
      <c r="C62" s="5" t="n"/>
      <c r="D62" s="6">
        <f>IF(A62="","",IF(ISNUMBER(A62),IFERROR(DATE(INT(A62/10000),MOD(INT(A62/100),100),MOD(A62,100)),"Check date"),"Check date"))</f>
        <v/>
      </c>
      <c r="E62" s="6">
        <f>IF(TRIM(B62)="","",IFERROR(DATE(LEFT(B62,4),MID(B62,5,2),RIGHT(B62,2)),"Check date"))</f>
        <v/>
      </c>
      <c r="F62" s="7">
        <f>IF(TRIM(C62)="","",IFERROR(DATE(LEFT(C62,4),MID(C62,6,2),MID(C62,9,2))+TIME(MID(C62,12,2),MID(C62,15,2),0),"Check date"))</f>
        <v/>
      </c>
      <c r="G62" s="8">
        <f>IF(A62="","",IF(ISNUMBER(D62),IF(TEXT(D62,"yyyymmdd")=A62&amp;"","OK","Check date"),"Check date"))</f>
        <v/>
      </c>
      <c r="H62" s="8">
        <f>IF(TRIM(B62)="","",IF(ISNUMBER(E62),IF(TEXT(E62,"yyyymmdd")=B62&amp;"","OK","Check date"),"Check date"))</f>
        <v/>
      </c>
      <c r="I62" s="8">
        <f>IF(TRIM(C62)="","",IF(ISNUMBER(F62),IF(TEXT(F62,"yyyy-mm-dd")&amp;"T"&amp;TEXT(F62,"hh:mm")=LEFT(C62,16),"OK","Check date"),"Check date"))</f>
        <v/>
      </c>
    </row>
    <row r="63">
      <c r="A63" s="4" t="n"/>
      <c r="B63" s="5" t="n"/>
      <c r="C63" s="5" t="n"/>
      <c r="D63" s="6">
        <f>IF(A63="","",IF(ISNUMBER(A63),IFERROR(DATE(INT(A63/10000),MOD(INT(A63/100),100),MOD(A63,100)),"Check date"),"Check date"))</f>
        <v/>
      </c>
      <c r="E63" s="6">
        <f>IF(TRIM(B63)="","",IFERROR(DATE(LEFT(B63,4),MID(B63,5,2),RIGHT(B63,2)),"Check date"))</f>
        <v/>
      </c>
      <c r="F63" s="7">
        <f>IF(TRIM(C63)="","",IFERROR(DATE(LEFT(C63,4),MID(C63,6,2),MID(C63,9,2))+TIME(MID(C63,12,2),MID(C63,15,2),0),"Check date"))</f>
        <v/>
      </c>
      <c r="G63" s="8">
        <f>IF(A63="","",IF(ISNUMBER(D63),IF(TEXT(D63,"yyyymmdd")=A63&amp;"","OK","Check date"),"Check date"))</f>
        <v/>
      </c>
      <c r="H63" s="8">
        <f>IF(TRIM(B63)="","",IF(ISNUMBER(E63),IF(TEXT(E63,"yyyymmdd")=B63&amp;"","OK","Check date"),"Check date"))</f>
        <v/>
      </c>
      <c r="I63" s="8">
        <f>IF(TRIM(C63)="","",IF(ISNUMBER(F63),IF(TEXT(F63,"yyyy-mm-dd")&amp;"T"&amp;TEXT(F63,"hh:mm")=LEFT(C63,16),"OK","Check date"),"Check date"))</f>
        <v/>
      </c>
    </row>
    <row r="64">
      <c r="A64" s="4" t="n"/>
      <c r="B64" s="5" t="n"/>
      <c r="C64" s="5" t="n"/>
      <c r="D64" s="6">
        <f>IF(A64="","",IF(ISNUMBER(A64),IFERROR(DATE(INT(A64/10000),MOD(INT(A64/100),100),MOD(A64,100)),"Check date"),"Check date"))</f>
        <v/>
      </c>
      <c r="E64" s="6">
        <f>IF(TRIM(B64)="","",IFERROR(DATE(LEFT(B64,4),MID(B64,5,2),RIGHT(B64,2)),"Check date"))</f>
        <v/>
      </c>
      <c r="F64" s="7">
        <f>IF(TRIM(C64)="","",IFERROR(DATE(LEFT(C64,4),MID(C64,6,2),MID(C64,9,2))+TIME(MID(C64,12,2),MID(C64,15,2),0),"Check date"))</f>
        <v/>
      </c>
      <c r="G64" s="8">
        <f>IF(A64="","",IF(ISNUMBER(D64),IF(TEXT(D64,"yyyymmdd")=A64&amp;"","OK","Check date"),"Check date"))</f>
        <v/>
      </c>
      <c r="H64" s="8">
        <f>IF(TRIM(B64)="","",IF(ISNUMBER(E64),IF(TEXT(E64,"yyyymmdd")=B64&amp;"","OK","Check date"),"Check date"))</f>
        <v/>
      </c>
      <c r="I64" s="8">
        <f>IF(TRIM(C64)="","",IF(ISNUMBER(F64),IF(TEXT(F64,"yyyy-mm-dd")&amp;"T"&amp;TEXT(F64,"hh:mm")=LEFT(C64,16),"OK","Check date"),"Check date"))</f>
        <v/>
      </c>
    </row>
    <row r="65">
      <c r="A65" s="4" t="n"/>
      <c r="B65" s="5" t="n"/>
      <c r="C65" s="5" t="n"/>
      <c r="D65" s="6">
        <f>IF(A65="","",IF(ISNUMBER(A65),IFERROR(DATE(INT(A65/10000),MOD(INT(A65/100),100),MOD(A65,100)),"Check date"),"Check date"))</f>
        <v/>
      </c>
      <c r="E65" s="6">
        <f>IF(TRIM(B65)="","",IFERROR(DATE(LEFT(B65,4),MID(B65,5,2),RIGHT(B65,2)),"Check date"))</f>
        <v/>
      </c>
      <c r="F65" s="7">
        <f>IF(TRIM(C65)="","",IFERROR(DATE(LEFT(C65,4),MID(C65,6,2),MID(C65,9,2))+TIME(MID(C65,12,2),MID(C65,15,2),0),"Check date"))</f>
        <v/>
      </c>
      <c r="G65" s="8">
        <f>IF(A65="","",IF(ISNUMBER(D65),IF(TEXT(D65,"yyyymmdd")=A65&amp;"","OK","Check date"),"Check date"))</f>
        <v/>
      </c>
      <c r="H65" s="8">
        <f>IF(TRIM(B65)="","",IF(ISNUMBER(E65),IF(TEXT(E65,"yyyymmdd")=B65&amp;"","OK","Check date"),"Check date"))</f>
        <v/>
      </c>
      <c r="I65" s="8">
        <f>IF(TRIM(C65)="","",IF(ISNUMBER(F65),IF(TEXT(F65,"yyyy-mm-dd")&amp;"T"&amp;TEXT(F65,"hh:mm")=LEFT(C65,16),"OK","Check date"),"Check date"))</f>
        <v/>
      </c>
    </row>
    <row r="66">
      <c r="A66" s="4" t="n"/>
      <c r="B66" s="5" t="n"/>
      <c r="C66" s="5" t="n"/>
      <c r="D66" s="6">
        <f>IF(A66="","",IF(ISNUMBER(A66),IFERROR(DATE(INT(A66/10000),MOD(INT(A66/100),100),MOD(A66,100)),"Check date"),"Check date"))</f>
        <v/>
      </c>
      <c r="E66" s="6">
        <f>IF(TRIM(B66)="","",IFERROR(DATE(LEFT(B66,4),MID(B66,5,2),RIGHT(B66,2)),"Check date"))</f>
        <v/>
      </c>
      <c r="F66" s="7">
        <f>IF(TRIM(C66)="","",IFERROR(DATE(LEFT(C66,4),MID(C66,6,2),MID(C66,9,2))+TIME(MID(C66,12,2),MID(C66,15,2),0),"Check date"))</f>
        <v/>
      </c>
      <c r="G66" s="8">
        <f>IF(A66="","",IF(ISNUMBER(D66),IF(TEXT(D66,"yyyymmdd")=A66&amp;"","OK","Check date"),"Check date"))</f>
        <v/>
      </c>
      <c r="H66" s="8">
        <f>IF(TRIM(B66)="","",IF(ISNUMBER(E66),IF(TEXT(E66,"yyyymmdd")=B66&amp;"","OK","Check date"),"Check date"))</f>
        <v/>
      </c>
      <c r="I66" s="8">
        <f>IF(TRIM(C66)="","",IF(ISNUMBER(F66),IF(TEXT(F66,"yyyy-mm-dd")&amp;"T"&amp;TEXT(F66,"hh:mm")=LEFT(C66,16),"OK","Check date"),"Check date"))</f>
        <v/>
      </c>
    </row>
    <row r="67">
      <c r="A67" s="4" t="n"/>
      <c r="B67" s="5" t="n"/>
      <c r="C67" s="5" t="n"/>
      <c r="D67" s="6">
        <f>IF(A67="","",IF(ISNUMBER(A67),IFERROR(DATE(INT(A67/10000),MOD(INT(A67/100),100),MOD(A67,100)),"Check date"),"Check date"))</f>
        <v/>
      </c>
      <c r="E67" s="6">
        <f>IF(TRIM(B67)="","",IFERROR(DATE(LEFT(B67,4),MID(B67,5,2),RIGHT(B67,2)),"Check date"))</f>
        <v/>
      </c>
      <c r="F67" s="7">
        <f>IF(TRIM(C67)="","",IFERROR(DATE(LEFT(C67,4),MID(C67,6,2),MID(C67,9,2))+TIME(MID(C67,12,2),MID(C67,15,2),0),"Check date"))</f>
        <v/>
      </c>
      <c r="G67" s="8">
        <f>IF(A67="","",IF(ISNUMBER(D67),IF(TEXT(D67,"yyyymmdd")=A67&amp;"","OK","Check date"),"Check date"))</f>
        <v/>
      </c>
      <c r="H67" s="8">
        <f>IF(TRIM(B67)="","",IF(ISNUMBER(E67),IF(TEXT(E67,"yyyymmdd")=B67&amp;"","OK","Check date"),"Check date"))</f>
        <v/>
      </c>
      <c r="I67" s="8">
        <f>IF(TRIM(C67)="","",IF(ISNUMBER(F67),IF(TEXT(F67,"yyyy-mm-dd")&amp;"T"&amp;TEXT(F67,"hh:mm")=LEFT(C67,16),"OK","Check date"),"Check date"))</f>
        <v/>
      </c>
    </row>
    <row r="68">
      <c r="A68" s="4" t="n"/>
      <c r="B68" s="5" t="n"/>
      <c r="C68" s="5" t="n"/>
      <c r="D68" s="6">
        <f>IF(A68="","",IF(ISNUMBER(A68),IFERROR(DATE(INT(A68/10000),MOD(INT(A68/100),100),MOD(A68,100)),"Check date"),"Check date"))</f>
        <v/>
      </c>
      <c r="E68" s="6">
        <f>IF(TRIM(B68)="","",IFERROR(DATE(LEFT(B68,4),MID(B68,5,2),RIGHT(B68,2)),"Check date"))</f>
        <v/>
      </c>
      <c r="F68" s="7">
        <f>IF(TRIM(C68)="","",IFERROR(DATE(LEFT(C68,4),MID(C68,6,2),MID(C68,9,2))+TIME(MID(C68,12,2),MID(C68,15,2),0),"Check date"))</f>
        <v/>
      </c>
      <c r="G68" s="8">
        <f>IF(A68="","",IF(ISNUMBER(D68),IF(TEXT(D68,"yyyymmdd")=A68&amp;"","OK","Check date"),"Check date"))</f>
        <v/>
      </c>
      <c r="H68" s="8">
        <f>IF(TRIM(B68)="","",IF(ISNUMBER(E68),IF(TEXT(E68,"yyyymmdd")=B68&amp;"","OK","Check date"),"Check date"))</f>
        <v/>
      </c>
      <c r="I68" s="8">
        <f>IF(TRIM(C68)="","",IF(ISNUMBER(F68),IF(TEXT(F68,"yyyy-mm-dd")&amp;"T"&amp;TEXT(F68,"hh:mm")=LEFT(C68,16),"OK","Check date"),"Check date"))</f>
        <v/>
      </c>
    </row>
    <row r="69">
      <c r="A69" s="4" t="n"/>
      <c r="B69" s="5" t="n"/>
      <c r="C69" s="5" t="n"/>
      <c r="D69" s="6">
        <f>IF(A69="","",IF(ISNUMBER(A69),IFERROR(DATE(INT(A69/10000),MOD(INT(A69/100),100),MOD(A69,100)),"Check date"),"Check date"))</f>
        <v/>
      </c>
      <c r="E69" s="6">
        <f>IF(TRIM(B69)="","",IFERROR(DATE(LEFT(B69,4),MID(B69,5,2),RIGHT(B69,2)),"Check date"))</f>
        <v/>
      </c>
      <c r="F69" s="7">
        <f>IF(TRIM(C69)="","",IFERROR(DATE(LEFT(C69,4),MID(C69,6,2),MID(C69,9,2))+TIME(MID(C69,12,2),MID(C69,15,2),0),"Check date"))</f>
        <v/>
      </c>
      <c r="G69" s="8">
        <f>IF(A69="","",IF(ISNUMBER(D69),IF(TEXT(D69,"yyyymmdd")=A69&amp;"","OK","Check date"),"Check date"))</f>
        <v/>
      </c>
      <c r="H69" s="8">
        <f>IF(TRIM(B69)="","",IF(ISNUMBER(E69),IF(TEXT(E69,"yyyymmdd")=B69&amp;"","OK","Check date"),"Check date"))</f>
        <v/>
      </c>
      <c r="I69" s="8">
        <f>IF(TRIM(C69)="","",IF(ISNUMBER(F69),IF(TEXT(F69,"yyyy-mm-dd")&amp;"T"&amp;TEXT(F69,"hh:mm")=LEFT(C69,16),"OK","Check date"),"Check date"))</f>
        <v/>
      </c>
    </row>
    <row r="70">
      <c r="A70" s="4" t="n"/>
      <c r="B70" s="5" t="n"/>
      <c r="C70" s="5" t="n"/>
      <c r="D70" s="6">
        <f>IF(A70="","",IF(ISNUMBER(A70),IFERROR(DATE(INT(A70/10000),MOD(INT(A70/100),100),MOD(A70,100)),"Check date"),"Check date"))</f>
        <v/>
      </c>
      <c r="E70" s="6">
        <f>IF(TRIM(B70)="","",IFERROR(DATE(LEFT(B70,4),MID(B70,5,2),RIGHT(B70,2)),"Check date"))</f>
        <v/>
      </c>
      <c r="F70" s="7">
        <f>IF(TRIM(C70)="","",IFERROR(DATE(LEFT(C70,4),MID(C70,6,2),MID(C70,9,2))+TIME(MID(C70,12,2),MID(C70,15,2),0),"Check date"))</f>
        <v/>
      </c>
      <c r="G70" s="8">
        <f>IF(A70="","",IF(ISNUMBER(D70),IF(TEXT(D70,"yyyymmdd")=A70&amp;"","OK","Check date"),"Check date"))</f>
        <v/>
      </c>
      <c r="H70" s="8">
        <f>IF(TRIM(B70)="","",IF(ISNUMBER(E70),IF(TEXT(E70,"yyyymmdd")=B70&amp;"","OK","Check date"),"Check date"))</f>
        <v/>
      </c>
      <c r="I70" s="8">
        <f>IF(TRIM(C70)="","",IF(ISNUMBER(F70),IF(TEXT(F70,"yyyy-mm-dd")&amp;"T"&amp;TEXT(F70,"hh:mm")=LEFT(C70,16),"OK","Check date"),"Check date"))</f>
        <v/>
      </c>
    </row>
    <row r="71">
      <c r="A71" s="4" t="n"/>
      <c r="B71" s="5" t="n"/>
      <c r="C71" s="5" t="n"/>
      <c r="D71" s="6">
        <f>IF(A71="","",IF(ISNUMBER(A71),IFERROR(DATE(INT(A71/10000),MOD(INT(A71/100),100),MOD(A71,100)),"Check date"),"Check date"))</f>
        <v/>
      </c>
      <c r="E71" s="6">
        <f>IF(TRIM(B71)="","",IFERROR(DATE(LEFT(B71,4),MID(B71,5,2),RIGHT(B71,2)),"Check date"))</f>
        <v/>
      </c>
      <c r="F71" s="7">
        <f>IF(TRIM(C71)="","",IFERROR(DATE(LEFT(C71,4),MID(C71,6,2),MID(C71,9,2))+TIME(MID(C71,12,2),MID(C71,15,2),0),"Check date"))</f>
        <v/>
      </c>
      <c r="G71" s="8">
        <f>IF(A71="","",IF(ISNUMBER(D71),IF(TEXT(D71,"yyyymmdd")=A71&amp;"","OK","Check date"),"Check date"))</f>
        <v/>
      </c>
      <c r="H71" s="8">
        <f>IF(TRIM(B71)="","",IF(ISNUMBER(E71),IF(TEXT(E71,"yyyymmdd")=B71&amp;"","OK","Check date"),"Check date"))</f>
        <v/>
      </c>
      <c r="I71" s="8">
        <f>IF(TRIM(C71)="","",IF(ISNUMBER(F71),IF(TEXT(F71,"yyyy-mm-dd")&amp;"T"&amp;TEXT(F71,"hh:mm")=LEFT(C71,16),"OK","Check date"),"Check date"))</f>
        <v/>
      </c>
    </row>
    <row r="72">
      <c r="A72" s="4" t="n"/>
      <c r="B72" s="5" t="n"/>
      <c r="C72" s="5" t="n"/>
      <c r="D72" s="6">
        <f>IF(A72="","",IF(ISNUMBER(A72),IFERROR(DATE(INT(A72/10000),MOD(INT(A72/100),100),MOD(A72,100)),"Check date"),"Check date"))</f>
        <v/>
      </c>
      <c r="E72" s="6">
        <f>IF(TRIM(B72)="","",IFERROR(DATE(LEFT(B72,4),MID(B72,5,2),RIGHT(B72,2)),"Check date"))</f>
        <v/>
      </c>
      <c r="F72" s="7">
        <f>IF(TRIM(C72)="","",IFERROR(DATE(LEFT(C72,4),MID(C72,6,2),MID(C72,9,2))+TIME(MID(C72,12,2),MID(C72,15,2),0),"Check date"))</f>
        <v/>
      </c>
      <c r="G72" s="8">
        <f>IF(A72="","",IF(ISNUMBER(D72),IF(TEXT(D72,"yyyymmdd")=A72&amp;"","OK","Check date"),"Check date"))</f>
        <v/>
      </c>
      <c r="H72" s="8">
        <f>IF(TRIM(B72)="","",IF(ISNUMBER(E72),IF(TEXT(E72,"yyyymmdd")=B72&amp;"","OK","Check date"),"Check date"))</f>
        <v/>
      </c>
      <c r="I72" s="8">
        <f>IF(TRIM(C72)="","",IF(ISNUMBER(F72),IF(TEXT(F72,"yyyy-mm-dd")&amp;"T"&amp;TEXT(F72,"hh:mm")=LEFT(C72,16),"OK","Check date"),"Check date"))</f>
        <v/>
      </c>
    </row>
    <row r="73">
      <c r="A73" s="4" t="n"/>
      <c r="B73" s="5" t="n"/>
      <c r="C73" s="5" t="n"/>
      <c r="D73" s="6">
        <f>IF(A73="","",IF(ISNUMBER(A73),IFERROR(DATE(INT(A73/10000),MOD(INT(A73/100),100),MOD(A73,100)),"Check date"),"Check date"))</f>
        <v/>
      </c>
      <c r="E73" s="6">
        <f>IF(TRIM(B73)="","",IFERROR(DATE(LEFT(B73,4),MID(B73,5,2),RIGHT(B73,2)),"Check date"))</f>
        <v/>
      </c>
      <c r="F73" s="7">
        <f>IF(TRIM(C73)="","",IFERROR(DATE(LEFT(C73,4),MID(C73,6,2),MID(C73,9,2))+TIME(MID(C73,12,2),MID(C73,15,2),0),"Check date"))</f>
        <v/>
      </c>
      <c r="G73" s="8">
        <f>IF(A73="","",IF(ISNUMBER(D73),IF(TEXT(D73,"yyyymmdd")=A73&amp;"","OK","Check date"),"Check date"))</f>
        <v/>
      </c>
      <c r="H73" s="8">
        <f>IF(TRIM(B73)="","",IF(ISNUMBER(E73),IF(TEXT(E73,"yyyymmdd")=B73&amp;"","OK","Check date"),"Check date"))</f>
        <v/>
      </c>
      <c r="I73" s="8">
        <f>IF(TRIM(C73)="","",IF(ISNUMBER(F73),IF(TEXT(F73,"yyyy-mm-dd")&amp;"T"&amp;TEXT(F73,"hh:mm")=LEFT(C73,16),"OK","Check date"),"Check date"))</f>
        <v/>
      </c>
    </row>
    <row r="74">
      <c r="A74" s="4" t="n"/>
      <c r="B74" s="5" t="n"/>
      <c r="C74" s="5" t="n"/>
      <c r="D74" s="6">
        <f>IF(A74="","",IF(ISNUMBER(A74),IFERROR(DATE(INT(A74/10000),MOD(INT(A74/100),100),MOD(A74,100)),"Check date"),"Check date"))</f>
        <v/>
      </c>
      <c r="E74" s="6">
        <f>IF(TRIM(B74)="","",IFERROR(DATE(LEFT(B74,4),MID(B74,5,2),RIGHT(B74,2)),"Check date"))</f>
        <v/>
      </c>
      <c r="F74" s="7">
        <f>IF(TRIM(C74)="","",IFERROR(DATE(LEFT(C74,4),MID(C74,6,2),MID(C74,9,2))+TIME(MID(C74,12,2),MID(C74,15,2),0),"Check date"))</f>
        <v/>
      </c>
      <c r="G74" s="8">
        <f>IF(A74="","",IF(ISNUMBER(D74),IF(TEXT(D74,"yyyymmdd")=A74&amp;"","OK","Check date"),"Check date"))</f>
        <v/>
      </c>
      <c r="H74" s="8">
        <f>IF(TRIM(B74)="","",IF(ISNUMBER(E74),IF(TEXT(E74,"yyyymmdd")=B74&amp;"","OK","Check date"),"Check date"))</f>
        <v/>
      </c>
      <c r="I74" s="8">
        <f>IF(TRIM(C74)="","",IF(ISNUMBER(F74),IF(TEXT(F74,"yyyy-mm-dd")&amp;"T"&amp;TEXT(F74,"hh:mm")=LEFT(C74,16),"OK","Check date"),"Check date"))</f>
        <v/>
      </c>
    </row>
    <row r="75">
      <c r="A75" s="4" t="n"/>
      <c r="B75" s="5" t="n"/>
      <c r="C75" s="5" t="n"/>
      <c r="D75" s="6">
        <f>IF(A75="","",IF(ISNUMBER(A75),IFERROR(DATE(INT(A75/10000),MOD(INT(A75/100),100),MOD(A75,100)),"Check date"),"Check date"))</f>
        <v/>
      </c>
      <c r="E75" s="6">
        <f>IF(TRIM(B75)="","",IFERROR(DATE(LEFT(B75,4),MID(B75,5,2),RIGHT(B75,2)),"Check date"))</f>
        <v/>
      </c>
      <c r="F75" s="7">
        <f>IF(TRIM(C75)="","",IFERROR(DATE(LEFT(C75,4),MID(C75,6,2),MID(C75,9,2))+TIME(MID(C75,12,2),MID(C75,15,2),0),"Check date"))</f>
        <v/>
      </c>
      <c r="G75" s="8">
        <f>IF(A75="","",IF(ISNUMBER(D75),IF(TEXT(D75,"yyyymmdd")=A75&amp;"","OK","Check date"),"Check date"))</f>
        <v/>
      </c>
      <c r="H75" s="8">
        <f>IF(TRIM(B75)="","",IF(ISNUMBER(E75),IF(TEXT(E75,"yyyymmdd")=B75&amp;"","OK","Check date"),"Check date"))</f>
        <v/>
      </c>
      <c r="I75" s="8">
        <f>IF(TRIM(C75)="","",IF(ISNUMBER(F75),IF(TEXT(F75,"yyyy-mm-dd")&amp;"T"&amp;TEXT(F75,"hh:mm")=LEFT(C75,16),"OK","Check date"),"Check date"))</f>
        <v/>
      </c>
    </row>
    <row r="76">
      <c r="A76" s="4" t="n"/>
      <c r="B76" s="5" t="n"/>
      <c r="C76" s="5" t="n"/>
      <c r="D76" s="6">
        <f>IF(A76="","",IF(ISNUMBER(A76),IFERROR(DATE(INT(A76/10000),MOD(INT(A76/100),100),MOD(A76,100)),"Check date"),"Check date"))</f>
        <v/>
      </c>
      <c r="E76" s="6">
        <f>IF(TRIM(B76)="","",IFERROR(DATE(LEFT(B76,4),MID(B76,5,2),RIGHT(B76,2)),"Check date"))</f>
        <v/>
      </c>
      <c r="F76" s="7">
        <f>IF(TRIM(C76)="","",IFERROR(DATE(LEFT(C76,4),MID(C76,6,2),MID(C76,9,2))+TIME(MID(C76,12,2),MID(C76,15,2),0),"Check date"))</f>
        <v/>
      </c>
      <c r="G76" s="8">
        <f>IF(A76="","",IF(ISNUMBER(D76),IF(TEXT(D76,"yyyymmdd")=A76&amp;"","OK","Check date"),"Check date"))</f>
        <v/>
      </c>
      <c r="H76" s="8">
        <f>IF(TRIM(B76)="","",IF(ISNUMBER(E76),IF(TEXT(E76,"yyyymmdd")=B76&amp;"","OK","Check date"),"Check date"))</f>
        <v/>
      </c>
      <c r="I76" s="8">
        <f>IF(TRIM(C76)="","",IF(ISNUMBER(F76),IF(TEXT(F76,"yyyy-mm-dd")&amp;"T"&amp;TEXT(F76,"hh:mm")=LEFT(C76,16),"OK","Check date"),"Check date"))</f>
        <v/>
      </c>
    </row>
    <row r="77">
      <c r="A77" s="4" t="n"/>
      <c r="B77" s="5" t="n"/>
      <c r="C77" s="5" t="n"/>
      <c r="D77" s="6">
        <f>IF(A77="","",IF(ISNUMBER(A77),IFERROR(DATE(INT(A77/10000),MOD(INT(A77/100),100),MOD(A77,100)),"Check date"),"Check date"))</f>
        <v/>
      </c>
      <c r="E77" s="6">
        <f>IF(TRIM(B77)="","",IFERROR(DATE(LEFT(B77,4),MID(B77,5,2),RIGHT(B77,2)),"Check date"))</f>
        <v/>
      </c>
      <c r="F77" s="7">
        <f>IF(TRIM(C77)="","",IFERROR(DATE(LEFT(C77,4),MID(C77,6,2),MID(C77,9,2))+TIME(MID(C77,12,2),MID(C77,15,2),0),"Check date"))</f>
        <v/>
      </c>
      <c r="G77" s="8">
        <f>IF(A77="","",IF(ISNUMBER(D77),IF(TEXT(D77,"yyyymmdd")=A77&amp;"","OK","Check date"),"Check date"))</f>
        <v/>
      </c>
      <c r="H77" s="8">
        <f>IF(TRIM(B77)="","",IF(ISNUMBER(E77),IF(TEXT(E77,"yyyymmdd")=B77&amp;"","OK","Check date"),"Check date"))</f>
        <v/>
      </c>
      <c r="I77" s="8">
        <f>IF(TRIM(C77)="","",IF(ISNUMBER(F77),IF(TEXT(F77,"yyyy-mm-dd")&amp;"T"&amp;TEXT(F77,"hh:mm")=LEFT(C77,16),"OK","Check date"),"Check date"))</f>
        <v/>
      </c>
    </row>
    <row r="78">
      <c r="A78" s="4" t="n"/>
      <c r="B78" s="5" t="n"/>
      <c r="C78" s="5" t="n"/>
      <c r="D78" s="6">
        <f>IF(A78="","",IF(ISNUMBER(A78),IFERROR(DATE(INT(A78/10000),MOD(INT(A78/100),100),MOD(A78,100)),"Check date"),"Check date"))</f>
        <v/>
      </c>
      <c r="E78" s="6">
        <f>IF(TRIM(B78)="","",IFERROR(DATE(LEFT(B78,4),MID(B78,5,2),RIGHT(B78,2)),"Check date"))</f>
        <v/>
      </c>
      <c r="F78" s="7">
        <f>IF(TRIM(C78)="","",IFERROR(DATE(LEFT(C78,4),MID(C78,6,2),MID(C78,9,2))+TIME(MID(C78,12,2),MID(C78,15,2),0),"Check date"))</f>
        <v/>
      </c>
      <c r="G78" s="8">
        <f>IF(A78="","",IF(ISNUMBER(D78),IF(TEXT(D78,"yyyymmdd")=A78&amp;"","OK","Check date"),"Check date"))</f>
        <v/>
      </c>
      <c r="H78" s="8">
        <f>IF(TRIM(B78)="","",IF(ISNUMBER(E78),IF(TEXT(E78,"yyyymmdd")=B78&amp;"","OK","Check date"),"Check date"))</f>
        <v/>
      </c>
      <c r="I78" s="8">
        <f>IF(TRIM(C78)="","",IF(ISNUMBER(F78),IF(TEXT(F78,"yyyy-mm-dd")&amp;"T"&amp;TEXT(F78,"hh:mm")=LEFT(C78,16),"OK","Check date"),"Check date"))</f>
        <v/>
      </c>
    </row>
    <row r="79">
      <c r="A79" s="4" t="n"/>
      <c r="B79" s="5" t="n"/>
      <c r="C79" s="5" t="n"/>
      <c r="D79" s="6">
        <f>IF(A79="","",IF(ISNUMBER(A79),IFERROR(DATE(INT(A79/10000),MOD(INT(A79/100),100),MOD(A79,100)),"Check date"),"Check date"))</f>
        <v/>
      </c>
      <c r="E79" s="6">
        <f>IF(TRIM(B79)="","",IFERROR(DATE(LEFT(B79,4),MID(B79,5,2),RIGHT(B79,2)),"Check date"))</f>
        <v/>
      </c>
      <c r="F79" s="7">
        <f>IF(TRIM(C79)="","",IFERROR(DATE(LEFT(C79,4),MID(C79,6,2),MID(C79,9,2))+TIME(MID(C79,12,2),MID(C79,15,2),0),"Check date"))</f>
        <v/>
      </c>
      <c r="G79" s="8">
        <f>IF(A79="","",IF(ISNUMBER(D79),IF(TEXT(D79,"yyyymmdd")=A79&amp;"","OK","Check date"),"Check date"))</f>
        <v/>
      </c>
      <c r="H79" s="8">
        <f>IF(TRIM(B79)="","",IF(ISNUMBER(E79),IF(TEXT(E79,"yyyymmdd")=B79&amp;"","OK","Check date"),"Check date"))</f>
        <v/>
      </c>
      <c r="I79" s="8">
        <f>IF(TRIM(C79)="","",IF(ISNUMBER(F79),IF(TEXT(F79,"yyyy-mm-dd")&amp;"T"&amp;TEXT(F79,"hh:mm")=LEFT(C79,16),"OK","Check date"),"Check date"))</f>
        <v/>
      </c>
    </row>
    <row r="80">
      <c r="A80" s="4" t="n"/>
      <c r="B80" s="5" t="n"/>
      <c r="C80" s="5" t="n"/>
      <c r="D80" s="6">
        <f>IF(A80="","",IF(ISNUMBER(A80),IFERROR(DATE(INT(A80/10000),MOD(INT(A80/100),100),MOD(A80,100)),"Check date"),"Check date"))</f>
        <v/>
      </c>
      <c r="E80" s="6">
        <f>IF(TRIM(B80)="","",IFERROR(DATE(LEFT(B80,4),MID(B80,5,2),RIGHT(B80,2)),"Check date"))</f>
        <v/>
      </c>
      <c r="F80" s="7">
        <f>IF(TRIM(C80)="","",IFERROR(DATE(LEFT(C80,4),MID(C80,6,2),MID(C80,9,2))+TIME(MID(C80,12,2),MID(C80,15,2),0),"Check date"))</f>
        <v/>
      </c>
      <c r="G80" s="8">
        <f>IF(A80="","",IF(ISNUMBER(D80),IF(TEXT(D80,"yyyymmdd")=A80&amp;"","OK","Check date"),"Check date"))</f>
        <v/>
      </c>
      <c r="H80" s="8">
        <f>IF(TRIM(B80)="","",IF(ISNUMBER(E80),IF(TEXT(E80,"yyyymmdd")=B80&amp;"","OK","Check date"),"Check date"))</f>
        <v/>
      </c>
      <c r="I80" s="8">
        <f>IF(TRIM(C80)="","",IF(ISNUMBER(F80),IF(TEXT(F80,"yyyy-mm-dd")&amp;"T"&amp;TEXT(F80,"hh:mm")=LEFT(C80,16),"OK","Check date"),"Check date"))</f>
        <v/>
      </c>
    </row>
    <row r="81">
      <c r="A81" s="4" t="n"/>
      <c r="B81" s="5" t="n"/>
      <c r="C81" s="5" t="n"/>
      <c r="D81" s="6">
        <f>IF(A81="","",IF(ISNUMBER(A81),IFERROR(DATE(INT(A81/10000),MOD(INT(A81/100),100),MOD(A81,100)),"Check date"),"Check date"))</f>
        <v/>
      </c>
      <c r="E81" s="6">
        <f>IF(TRIM(B81)="","",IFERROR(DATE(LEFT(B81,4),MID(B81,5,2),RIGHT(B81,2)),"Check date"))</f>
        <v/>
      </c>
      <c r="F81" s="7">
        <f>IF(TRIM(C81)="","",IFERROR(DATE(LEFT(C81,4),MID(C81,6,2),MID(C81,9,2))+TIME(MID(C81,12,2),MID(C81,15,2),0),"Check date"))</f>
        <v/>
      </c>
      <c r="G81" s="8">
        <f>IF(A81="","",IF(ISNUMBER(D81),IF(TEXT(D81,"yyyymmdd")=A81&amp;"","OK","Check date"),"Check date"))</f>
        <v/>
      </c>
      <c r="H81" s="8">
        <f>IF(TRIM(B81)="","",IF(ISNUMBER(E81),IF(TEXT(E81,"yyyymmdd")=B81&amp;"","OK","Check date"),"Check date"))</f>
        <v/>
      </c>
      <c r="I81" s="8">
        <f>IF(TRIM(C81)="","",IF(ISNUMBER(F81),IF(TEXT(F81,"yyyy-mm-dd")&amp;"T"&amp;TEXT(F81,"hh:mm")=LEFT(C81,16),"OK","Check date"),"Check date"))</f>
        <v/>
      </c>
    </row>
    <row r="82">
      <c r="A82" s="4" t="n"/>
      <c r="B82" s="5" t="n"/>
      <c r="C82" s="5" t="n"/>
      <c r="D82" s="6">
        <f>IF(A82="","",IF(ISNUMBER(A82),IFERROR(DATE(INT(A82/10000),MOD(INT(A82/100),100),MOD(A82,100)),"Check date"),"Check date"))</f>
        <v/>
      </c>
      <c r="E82" s="6">
        <f>IF(TRIM(B82)="","",IFERROR(DATE(LEFT(B82,4),MID(B82,5,2),RIGHT(B82,2)),"Check date"))</f>
        <v/>
      </c>
      <c r="F82" s="7">
        <f>IF(TRIM(C82)="","",IFERROR(DATE(LEFT(C82,4),MID(C82,6,2),MID(C82,9,2))+TIME(MID(C82,12,2),MID(C82,15,2),0),"Check date"))</f>
        <v/>
      </c>
      <c r="G82" s="8">
        <f>IF(A82="","",IF(ISNUMBER(D82),IF(TEXT(D82,"yyyymmdd")=A82&amp;"","OK","Check date"),"Check date"))</f>
        <v/>
      </c>
      <c r="H82" s="8">
        <f>IF(TRIM(B82)="","",IF(ISNUMBER(E82),IF(TEXT(E82,"yyyymmdd")=B82&amp;"","OK","Check date"),"Check date"))</f>
        <v/>
      </c>
      <c r="I82" s="8">
        <f>IF(TRIM(C82)="","",IF(ISNUMBER(F82),IF(TEXT(F82,"yyyy-mm-dd")&amp;"T"&amp;TEXT(F82,"hh:mm")=LEFT(C82,16),"OK","Check date"),"Check date"))</f>
        <v/>
      </c>
    </row>
    <row r="83">
      <c r="A83" s="4" t="n"/>
      <c r="B83" s="5" t="n"/>
      <c r="C83" s="5" t="n"/>
      <c r="D83" s="6">
        <f>IF(A83="","",IF(ISNUMBER(A83),IFERROR(DATE(INT(A83/10000),MOD(INT(A83/100),100),MOD(A83,100)),"Check date"),"Check date"))</f>
        <v/>
      </c>
      <c r="E83" s="6">
        <f>IF(TRIM(B83)="","",IFERROR(DATE(LEFT(B83,4),MID(B83,5,2),RIGHT(B83,2)),"Check date"))</f>
        <v/>
      </c>
      <c r="F83" s="7">
        <f>IF(TRIM(C83)="","",IFERROR(DATE(LEFT(C83,4),MID(C83,6,2),MID(C83,9,2))+TIME(MID(C83,12,2),MID(C83,15,2),0),"Check date"))</f>
        <v/>
      </c>
      <c r="G83" s="8">
        <f>IF(A83="","",IF(ISNUMBER(D83),IF(TEXT(D83,"yyyymmdd")=A83&amp;"","OK","Check date"),"Check date"))</f>
        <v/>
      </c>
      <c r="H83" s="8">
        <f>IF(TRIM(B83)="","",IF(ISNUMBER(E83),IF(TEXT(E83,"yyyymmdd")=B83&amp;"","OK","Check date"),"Check date"))</f>
        <v/>
      </c>
      <c r="I83" s="8">
        <f>IF(TRIM(C83)="","",IF(ISNUMBER(F83),IF(TEXT(F83,"yyyy-mm-dd")&amp;"T"&amp;TEXT(F83,"hh:mm")=LEFT(C83,16),"OK","Check date"),"Check date"))</f>
        <v/>
      </c>
    </row>
    <row r="84">
      <c r="A84" s="4" t="n"/>
      <c r="B84" s="5" t="n"/>
      <c r="C84" s="5" t="n"/>
      <c r="D84" s="6">
        <f>IF(A84="","",IF(ISNUMBER(A84),IFERROR(DATE(INT(A84/10000),MOD(INT(A84/100),100),MOD(A84,100)),"Check date"),"Check date"))</f>
        <v/>
      </c>
      <c r="E84" s="6">
        <f>IF(TRIM(B84)="","",IFERROR(DATE(LEFT(B84,4),MID(B84,5,2),RIGHT(B84,2)),"Check date"))</f>
        <v/>
      </c>
      <c r="F84" s="7">
        <f>IF(TRIM(C84)="","",IFERROR(DATE(LEFT(C84,4),MID(C84,6,2),MID(C84,9,2))+TIME(MID(C84,12,2),MID(C84,15,2),0),"Check date"))</f>
        <v/>
      </c>
      <c r="G84" s="8">
        <f>IF(A84="","",IF(ISNUMBER(D84),IF(TEXT(D84,"yyyymmdd")=A84&amp;"","OK","Check date"),"Check date"))</f>
        <v/>
      </c>
      <c r="H84" s="8">
        <f>IF(TRIM(B84)="","",IF(ISNUMBER(E84),IF(TEXT(E84,"yyyymmdd")=B84&amp;"","OK","Check date"),"Check date"))</f>
        <v/>
      </c>
      <c r="I84" s="8">
        <f>IF(TRIM(C84)="","",IF(ISNUMBER(F84),IF(TEXT(F84,"yyyy-mm-dd")&amp;"T"&amp;TEXT(F84,"hh:mm")=LEFT(C84,16),"OK","Check date"),"Check date"))</f>
        <v/>
      </c>
    </row>
    <row r="85">
      <c r="A85" s="4" t="n"/>
      <c r="B85" s="5" t="n"/>
      <c r="C85" s="5" t="n"/>
      <c r="D85" s="6">
        <f>IF(A85="","",IF(ISNUMBER(A85),IFERROR(DATE(INT(A85/10000),MOD(INT(A85/100),100),MOD(A85,100)),"Check date"),"Check date"))</f>
        <v/>
      </c>
      <c r="E85" s="6">
        <f>IF(TRIM(B85)="","",IFERROR(DATE(LEFT(B85,4),MID(B85,5,2),RIGHT(B85,2)),"Check date"))</f>
        <v/>
      </c>
      <c r="F85" s="7">
        <f>IF(TRIM(C85)="","",IFERROR(DATE(LEFT(C85,4),MID(C85,6,2),MID(C85,9,2))+TIME(MID(C85,12,2),MID(C85,15,2),0),"Check date"))</f>
        <v/>
      </c>
      <c r="G85" s="8">
        <f>IF(A85="","",IF(ISNUMBER(D85),IF(TEXT(D85,"yyyymmdd")=A85&amp;"","OK","Check date"),"Check date"))</f>
        <v/>
      </c>
      <c r="H85" s="8">
        <f>IF(TRIM(B85)="","",IF(ISNUMBER(E85),IF(TEXT(E85,"yyyymmdd")=B85&amp;"","OK","Check date"),"Check date"))</f>
        <v/>
      </c>
      <c r="I85" s="8">
        <f>IF(TRIM(C85)="","",IF(ISNUMBER(F85),IF(TEXT(F85,"yyyy-mm-dd")&amp;"T"&amp;TEXT(F85,"hh:mm")=LEFT(C85,16),"OK","Check date"),"Check date"))</f>
        <v/>
      </c>
    </row>
    <row r="86">
      <c r="A86" s="4" t="n"/>
      <c r="B86" s="5" t="n"/>
      <c r="C86" s="5" t="n"/>
      <c r="D86" s="6">
        <f>IF(A86="","",IF(ISNUMBER(A86),IFERROR(DATE(INT(A86/10000),MOD(INT(A86/100),100),MOD(A86,100)),"Check date"),"Check date"))</f>
        <v/>
      </c>
      <c r="E86" s="6">
        <f>IF(TRIM(B86)="","",IFERROR(DATE(LEFT(B86,4),MID(B86,5,2),RIGHT(B86,2)),"Check date"))</f>
        <v/>
      </c>
      <c r="F86" s="7">
        <f>IF(TRIM(C86)="","",IFERROR(DATE(LEFT(C86,4),MID(C86,6,2),MID(C86,9,2))+TIME(MID(C86,12,2),MID(C86,15,2),0),"Check date"))</f>
        <v/>
      </c>
      <c r="G86" s="8">
        <f>IF(A86="","",IF(ISNUMBER(D86),IF(TEXT(D86,"yyyymmdd")=A86&amp;"","OK","Check date"),"Check date"))</f>
        <v/>
      </c>
      <c r="H86" s="8">
        <f>IF(TRIM(B86)="","",IF(ISNUMBER(E86),IF(TEXT(E86,"yyyymmdd")=B86&amp;"","OK","Check date"),"Check date"))</f>
        <v/>
      </c>
      <c r="I86" s="8">
        <f>IF(TRIM(C86)="","",IF(ISNUMBER(F86),IF(TEXT(F86,"yyyy-mm-dd")&amp;"T"&amp;TEXT(F86,"hh:mm")=LEFT(C86,16),"OK","Check date"),"Check date"))</f>
        <v/>
      </c>
    </row>
    <row r="87">
      <c r="A87" s="4" t="n"/>
      <c r="B87" s="5" t="n"/>
      <c r="C87" s="5" t="n"/>
      <c r="D87" s="6">
        <f>IF(A87="","",IF(ISNUMBER(A87),IFERROR(DATE(INT(A87/10000),MOD(INT(A87/100),100),MOD(A87,100)),"Check date"),"Check date"))</f>
        <v/>
      </c>
      <c r="E87" s="6">
        <f>IF(TRIM(B87)="","",IFERROR(DATE(LEFT(B87,4),MID(B87,5,2),RIGHT(B87,2)),"Check date"))</f>
        <v/>
      </c>
      <c r="F87" s="7">
        <f>IF(TRIM(C87)="","",IFERROR(DATE(LEFT(C87,4),MID(C87,6,2),MID(C87,9,2))+TIME(MID(C87,12,2),MID(C87,15,2),0),"Check date"))</f>
        <v/>
      </c>
      <c r="G87" s="8">
        <f>IF(A87="","",IF(ISNUMBER(D87),IF(TEXT(D87,"yyyymmdd")=A87&amp;"","OK","Check date"),"Check date"))</f>
        <v/>
      </c>
      <c r="H87" s="8">
        <f>IF(TRIM(B87)="","",IF(ISNUMBER(E87),IF(TEXT(E87,"yyyymmdd")=B87&amp;"","OK","Check date"),"Check date"))</f>
        <v/>
      </c>
      <c r="I87" s="8">
        <f>IF(TRIM(C87)="","",IF(ISNUMBER(F87),IF(TEXT(F87,"yyyy-mm-dd")&amp;"T"&amp;TEXT(F87,"hh:mm")=LEFT(C87,16),"OK","Check date"),"Check date"))</f>
        <v/>
      </c>
    </row>
    <row r="88">
      <c r="A88" s="4" t="n"/>
      <c r="B88" s="5" t="n"/>
      <c r="C88" s="5" t="n"/>
      <c r="D88" s="6">
        <f>IF(A88="","",IF(ISNUMBER(A88),IFERROR(DATE(INT(A88/10000),MOD(INT(A88/100),100),MOD(A88,100)),"Check date"),"Check date"))</f>
        <v/>
      </c>
      <c r="E88" s="6">
        <f>IF(TRIM(B88)="","",IFERROR(DATE(LEFT(B88,4),MID(B88,5,2),RIGHT(B88,2)),"Check date"))</f>
        <v/>
      </c>
      <c r="F88" s="7">
        <f>IF(TRIM(C88)="","",IFERROR(DATE(LEFT(C88,4),MID(C88,6,2),MID(C88,9,2))+TIME(MID(C88,12,2),MID(C88,15,2),0),"Check date"))</f>
        <v/>
      </c>
      <c r="G88" s="8">
        <f>IF(A88="","",IF(ISNUMBER(D88),IF(TEXT(D88,"yyyymmdd")=A88&amp;"","OK","Check date"),"Check date"))</f>
        <v/>
      </c>
      <c r="H88" s="8">
        <f>IF(TRIM(B88)="","",IF(ISNUMBER(E88),IF(TEXT(E88,"yyyymmdd")=B88&amp;"","OK","Check date"),"Check date"))</f>
        <v/>
      </c>
      <c r="I88" s="8">
        <f>IF(TRIM(C88)="","",IF(ISNUMBER(F88),IF(TEXT(F88,"yyyy-mm-dd")&amp;"T"&amp;TEXT(F88,"hh:mm")=LEFT(C88,16),"OK","Check date"),"Check date"))</f>
        <v/>
      </c>
    </row>
    <row r="89">
      <c r="A89" s="4" t="n"/>
      <c r="B89" s="5" t="n"/>
      <c r="C89" s="5" t="n"/>
      <c r="D89" s="6">
        <f>IF(A89="","",IF(ISNUMBER(A89),IFERROR(DATE(INT(A89/10000),MOD(INT(A89/100),100),MOD(A89,100)),"Check date"),"Check date"))</f>
        <v/>
      </c>
      <c r="E89" s="6">
        <f>IF(TRIM(B89)="","",IFERROR(DATE(LEFT(B89,4),MID(B89,5,2),RIGHT(B89,2)),"Check date"))</f>
        <v/>
      </c>
      <c r="F89" s="7">
        <f>IF(TRIM(C89)="","",IFERROR(DATE(LEFT(C89,4),MID(C89,6,2),MID(C89,9,2))+TIME(MID(C89,12,2),MID(C89,15,2),0),"Check date"))</f>
        <v/>
      </c>
      <c r="G89" s="8">
        <f>IF(A89="","",IF(ISNUMBER(D89),IF(TEXT(D89,"yyyymmdd")=A89&amp;"","OK","Check date"),"Check date"))</f>
        <v/>
      </c>
      <c r="H89" s="8">
        <f>IF(TRIM(B89)="","",IF(ISNUMBER(E89),IF(TEXT(E89,"yyyymmdd")=B89&amp;"","OK","Check date"),"Check date"))</f>
        <v/>
      </c>
      <c r="I89" s="8">
        <f>IF(TRIM(C89)="","",IF(ISNUMBER(F89),IF(TEXT(F89,"yyyy-mm-dd")&amp;"T"&amp;TEXT(F89,"hh:mm")=LEFT(C89,16),"OK","Check date"),"Check date"))</f>
        <v/>
      </c>
    </row>
    <row r="90">
      <c r="A90" s="4" t="n"/>
      <c r="B90" s="5" t="n"/>
      <c r="C90" s="5" t="n"/>
      <c r="D90" s="6">
        <f>IF(A90="","",IF(ISNUMBER(A90),IFERROR(DATE(INT(A90/10000),MOD(INT(A90/100),100),MOD(A90,100)),"Check date"),"Check date"))</f>
        <v/>
      </c>
      <c r="E90" s="6">
        <f>IF(TRIM(B90)="","",IFERROR(DATE(LEFT(B90,4),MID(B90,5,2),RIGHT(B90,2)),"Check date"))</f>
        <v/>
      </c>
      <c r="F90" s="7">
        <f>IF(TRIM(C90)="","",IFERROR(DATE(LEFT(C90,4),MID(C90,6,2),MID(C90,9,2))+TIME(MID(C90,12,2),MID(C90,15,2),0),"Check date"))</f>
        <v/>
      </c>
      <c r="G90" s="8">
        <f>IF(A90="","",IF(ISNUMBER(D90),IF(TEXT(D90,"yyyymmdd")=A90&amp;"","OK","Check date"),"Check date"))</f>
        <v/>
      </c>
      <c r="H90" s="8">
        <f>IF(TRIM(B90)="","",IF(ISNUMBER(E90),IF(TEXT(E90,"yyyymmdd")=B90&amp;"","OK","Check date"),"Check date"))</f>
        <v/>
      </c>
      <c r="I90" s="8">
        <f>IF(TRIM(C90)="","",IF(ISNUMBER(F90),IF(TEXT(F90,"yyyy-mm-dd")&amp;"T"&amp;TEXT(F90,"hh:mm")=LEFT(C90,16),"OK","Check date"),"Check date"))</f>
        <v/>
      </c>
    </row>
    <row r="91">
      <c r="A91" s="4" t="n"/>
      <c r="B91" s="5" t="n"/>
      <c r="C91" s="5" t="n"/>
      <c r="D91" s="6">
        <f>IF(A91="","",IF(ISNUMBER(A91),IFERROR(DATE(INT(A91/10000),MOD(INT(A91/100),100),MOD(A91,100)),"Check date"),"Check date"))</f>
        <v/>
      </c>
      <c r="E91" s="6">
        <f>IF(TRIM(B91)="","",IFERROR(DATE(LEFT(B91,4),MID(B91,5,2),RIGHT(B91,2)),"Check date"))</f>
        <v/>
      </c>
      <c r="F91" s="7">
        <f>IF(TRIM(C91)="","",IFERROR(DATE(LEFT(C91,4),MID(C91,6,2),MID(C91,9,2))+TIME(MID(C91,12,2),MID(C91,15,2),0),"Check date"))</f>
        <v/>
      </c>
      <c r="G91" s="8">
        <f>IF(A91="","",IF(ISNUMBER(D91),IF(TEXT(D91,"yyyymmdd")=A91&amp;"","OK","Check date"),"Check date"))</f>
        <v/>
      </c>
      <c r="H91" s="8">
        <f>IF(TRIM(B91)="","",IF(ISNUMBER(E91),IF(TEXT(E91,"yyyymmdd")=B91&amp;"","OK","Check date"),"Check date"))</f>
        <v/>
      </c>
      <c r="I91" s="8">
        <f>IF(TRIM(C91)="","",IF(ISNUMBER(F91),IF(TEXT(F91,"yyyy-mm-dd")&amp;"T"&amp;TEXT(F91,"hh:mm")=LEFT(C91,16),"OK","Check date"),"Check date"))</f>
        <v/>
      </c>
    </row>
    <row r="92">
      <c r="A92" s="4" t="n"/>
      <c r="B92" s="5" t="n"/>
      <c r="C92" s="5" t="n"/>
      <c r="D92" s="6">
        <f>IF(A92="","",IF(ISNUMBER(A92),IFERROR(DATE(INT(A92/10000),MOD(INT(A92/100),100),MOD(A92,100)),"Check date"),"Check date"))</f>
        <v/>
      </c>
      <c r="E92" s="6">
        <f>IF(TRIM(B92)="","",IFERROR(DATE(LEFT(B92,4),MID(B92,5,2),RIGHT(B92,2)),"Check date"))</f>
        <v/>
      </c>
      <c r="F92" s="7">
        <f>IF(TRIM(C92)="","",IFERROR(DATE(LEFT(C92,4),MID(C92,6,2),MID(C92,9,2))+TIME(MID(C92,12,2),MID(C92,15,2),0),"Check date"))</f>
        <v/>
      </c>
      <c r="G92" s="8">
        <f>IF(A92="","",IF(ISNUMBER(D92),IF(TEXT(D92,"yyyymmdd")=A92&amp;"","OK","Check date"),"Check date"))</f>
        <v/>
      </c>
      <c r="H92" s="8">
        <f>IF(TRIM(B92)="","",IF(ISNUMBER(E92),IF(TEXT(E92,"yyyymmdd")=B92&amp;"","OK","Check date"),"Check date"))</f>
        <v/>
      </c>
      <c r="I92" s="8">
        <f>IF(TRIM(C92)="","",IF(ISNUMBER(F92),IF(TEXT(F92,"yyyy-mm-dd")&amp;"T"&amp;TEXT(F92,"hh:mm")=LEFT(C92,16),"OK","Check date"),"Check date"))</f>
        <v/>
      </c>
    </row>
    <row r="93">
      <c r="A93" s="4" t="n"/>
      <c r="B93" s="5" t="n"/>
      <c r="C93" s="5" t="n"/>
      <c r="D93" s="6">
        <f>IF(A93="","",IF(ISNUMBER(A93),IFERROR(DATE(INT(A93/10000),MOD(INT(A93/100),100),MOD(A93,100)),"Check date"),"Check date"))</f>
        <v/>
      </c>
      <c r="E93" s="6">
        <f>IF(TRIM(B93)="","",IFERROR(DATE(LEFT(B93,4),MID(B93,5,2),RIGHT(B93,2)),"Check date"))</f>
        <v/>
      </c>
      <c r="F93" s="7">
        <f>IF(TRIM(C93)="","",IFERROR(DATE(LEFT(C93,4),MID(C93,6,2),MID(C93,9,2))+TIME(MID(C93,12,2),MID(C93,15,2),0),"Check date"))</f>
        <v/>
      </c>
      <c r="G93" s="8">
        <f>IF(A93="","",IF(ISNUMBER(D93),IF(TEXT(D93,"yyyymmdd")=A93&amp;"","OK","Check date"),"Check date"))</f>
        <v/>
      </c>
      <c r="H93" s="8">
        <f>IF(TRIM(B93)="","",IF(ISNUMBER(E93),IF(TEXT(E93,"yyyymmdd")=B93&amp;"","OK","Check date"),"Check date"))</f>
        <v/>
      </c>
      <c r="I93" s="8">
        <f>IF(TRIM(C93)="","",IF(ISNUMBER(F93),IF(TEXT(F93,"yyyy-mm-dd")&amp;"T"&amp;TEXT(F93,"hh:mm")=LEFT(C93,16),"OK","Check date"),"Check date"))</f>
        <v/>
      </c>
    </row>
    <row r="94">
      <c r="A94" s="4" t="n"/>
      <c r="B94" s="5" t="n"/>
      <c r="C94" s="5" t="n"/>
      <c r="D94" s="6">
        <f>IF(A94="","",IF(ISNUMBER(A94),IFERROR(DATE(INT(A94/10000),MOD(INT(A94/100),100),MOD(A94,100)),"Check date"),"Check date"))</f>
        <v/>
      </c>
      <c r="E94" s="6">
        <f>IF(TRIM(B94)="","",IFERROR(DATE(LEFT(B94,4),MID(B94,5,2),RIGHT(B94,2)),"Check date"))</f>
        <v/>
      </c>
      <c r="F94" s="7">
        <f>IF(TRIM(C94)="","",IFERROR(DATE(LEFT(C94,4),MID(C94,6,2),MID(C94,9,2))+TIME(MID(C94,12,2),MID(C94,15,2),0),"Check date"))</f>
        <v/>
      </c>
      <c r="G94" s="8">
        <f>IF(A94="","",IF(ISNUMBER(D94),IF(TEXT(D94,"yyyymmdd")=A94&amp;"","OK","Check date"),"Check date"))</f>
        <v/>
      </c>
      <c r="H94" s="8">
        <f>IF(TRIM(B94)="","",IF(ISNUMBER(E94),IF(TEXT(E94,"yyyymmdd")=B94&amp;"","OK","Check date"),"Check date"))</f>
        <v/>
      </c>
      <c r="I94" s="8">
        <f>IF(TRIM(C94)="","",IF(ISNUMBER(F94),IF(TEXT(F94,"yyyy-mm-dd")&amp;"T"&amp;TEXT(F94,"hh:mm")=LEFT(C94,16),"OK","Check date"),"Check date"))</f>
        <v/>
      </c>
    </row>
    <row r="95">
      <c r="A95" s="4" t="n"/>
      <c r="B95" s="5" t="n"/>
      <c r="C95" s="5" t="n"/>
      <c r="D95" s="6">
        <f>IF(A95="","",IF(ISNUMBER(A95),IFERROR(DATE(INT(A95/10000),MOD(INT(A95/100),100),MOD(A95,100)),"Check date"),"Check date"))</f>
        <v/>
      </c>
      <c r="E95" s="6">
        <f>IF(TRIM(B95)="","",IFERROR(DATE(LEFT(B95,4),MID(B95,5,2),RIGHT(B95,2)),"Check date"))</f>
        <v/>
      </c>
      <c r="F95" s="7">
        <f>IF(TRIM(C95)="","",IFERROR(DATE(LEFT(C95,4),MID(C95,6,2),MID(C95,9,2))+TIME(MID(C95,12,2),MID(C95,15,2),0),"Check date"))</f>
        <v/>
      </c>
      <c r="G95" s="8">
        <f>IF(A95="","",IF(ISNUMBER(D95),IF(TEXT(D95,"yyyymmdd")=A95&amp;"","OK","Check date"),"Check date"))</f>
        <v/>
      </c>
      <c r="H95" s="8">
        <f>IF(TRIM(B95)="","",IF(ISNUMBER(E95),IF(TEXT(E95,"yyyymmdd")=B95&amp;"","OK","Check date"),"Check date"))</f>
        <v/>
      </c>
      <c r="I95" s="8">
        <f>IF(TRIM(C95)="","",IF(ISNUMBER(F95),IF(TEXT(F95,"yyyy-mm-dd")&amp;"T"&amp;TEXT(F95,"hh:mm")=LEFT(C95,16),"OK","Check date"),"Check date"))</f>
        <v/>
      </c>
    </row>
    <row r="96">
      <c r="A96" s="4" t="n"/>
      <c r="B96" s="5" t="n"/>
      <c r="C96" s="5" t="n"/>
      <c r="D96" s="6">
        <f>IF(A96="","",IF(ISNUMBER(A96),IFERROR(DATE(INT(A96/10000),MOD(INT(A96/100),100),MOD(A96,100)),"Check date"),"Check date"))</f>
        <v/>
      </c>
      <c r="E96" s="6">
        <f>IF(TRIM(B96)="","",IFERROR(DATE(LEFT(B96,4),MID(B96,5,2),RIGHT(B96,2)),"Check date"))</f>
        <v/>
      </c>
      <c r="F96" s="7">
        <f>IF(TRIM(C96)="","",IFERROR(DATE(LEFT(C96,4),MID(C96,6,2),MID(C96,9,2))+TIME(MID(C96,12,2),MID(C96,15,2),0),"Check date"))</f>
        <v/>
      </c>
      <c r="G96" s="8">
        <f>IF(A96="","",IF(ISNUMBER(D96),IF(TEXT(D96,"yyyymmdd")=A96&amp;"","OK","Check date"),"Check date"))</f>
        <v/>
      </c>
      <c r="H96" s="8">
        <f>IF(TRIM(B96)="","",IF(ISNUMBER(E96),IF(TEXT(E96,"yyyymmdd")=B96&amp;"","OK","Check date"),"Check date"))</f>
        <v/>
      </c>
      <c r="I96" s="8">
        <f>IF(TRIM(C96)="","",IF(ISNUMBER(F96),IF(TEXT(F96,"yyyy-mm-dd")&amp;"T"&amp;TEXT(F96,"hh:mm")=LEFT(C96,16),"OK","Check date"),"Check date"))</f>
        <v/>
      </c>
    </row>
    <row r="97">
      <c r="A97" s="4" t="n"/>
      <c r="B97" s="5" t="n"/>
      <c r="C97" s="5" t="n"/>
      <c r="D97" s="6">
        <f>IF(A97="","",IF(ISNUMBER(A97),IFERROR(DATE(INT(A97/10000),MOD(INT(A97/100),100),MOD(A97,100)),"Check date"),"Check date"))</f>
        <v/>
      </c>
      <c r="E97" s="6">
        <f>IF(TRIM(B97)="","",IFERROR(DATE(LEFT(B97,4),MID(B97,5,2),RIGHT(B97,2)),"Check date"))</f>
        <v/>
      </c>
      <c r="F97" s="7">
        <f>IF(TRIM(C97)="","",IFERROR(DATE(LEFT(C97,4),MID(C97,6,2),MID(C97,9,2))+TIME(MID(C97,12,2),MID(C97,15,2),0),"Check date"))</f>
        <v/>
      </c>
      <c r="G97" s="8">
        <f>IF(A97="","",IF(ISNUMBER(D97),IF(TEXT(D97,"yyyymmdd")=A97&amp;"","OK","Check date"),"Check date"))</f>
        <v/>
      </c>
      <c r="H97" s="8">
        <f>IF(TRIM(B97)="","",IF(ISNUMBER(E97),IF(TEXT(E97,"yyyymmdd")=B97&amp;"","OK","Check date"),"Check date"))</f>
        <v/>
      </c>
      <c r="I97" s="8">
        <f>IF(TRIM(C97)="","",IF(ISNUMBER(F97),IF(TEXT(F97,"yyyy-mm-dd")&amp;"T"&amp;TEXT(F97,"hh:mm")=LEFT(C97,16),"OK","Check date"),"Check date"))</f>
        <v/>
      </c>
    </row>
    <row r="98">
      <c r="A98" s="4" t="n"/>
      <c r="B98" s="5" t="n"/>
      <c r="C98" s="5" t="n"/>
      <c r="D98" s="6">
        <f>IF(A98="","",IF(ISNUMBER(A98),IFERROR(DATE(INT(A98/10000),MOD(INT(A98/100),100),MOD(A98,100)),"Check date"),"Check date"))</f>
        <v/>
      </c>
      <c r="E98" s="6">
        <f>IF(TRIM(B98)="","",IFERROR(DATE(LEFT(B98,4),MID(B98,5,2),RIGHT(B98,2)),"Check date"))</f>
        <v/>
      </c>
      <c r="F98" s="7">
        <f>IF(TRIM(C98)="","",IFERROR(DATE(LEFT(C98,4),MID(C98,6,2),MID(C98,9,2))+TIME(MID(C98,12,2),MID(C98,15,2),0),"Check date"))</f>
        <v/>
      </c>
      <c r="G98" s="8">
        <f>IF(A98="","",IF(ISNUMBER(D98),IF(TEXT(D98,"yyyymmdd")=A98&amp;"","OK","Check date"),"Check date"))</f>
        <v/>
      </c>
      <c r="H98" s="8">
        <f>IF(TRIM(B98)="","",IF(ISNUMBER(E98),IF(TEXT(E98,"yyyymmdd")=B98&amp;"","OK","Check date"),"Check date"))</f>
        <v/>
      </c>
      <c r="I98" s="8">
        <f>IF(TRIM(C98)="","",IF(ISNUMBER(F98),IF(TEXT(F98,"yyyy-mm-dd")&amp;"T"&amp;TEXT(F98,"hh:mm")=LEFT(C98,16),"OK","Check date"),"Check date"))</f>
        <v/>
      </c>
    </row>
    <row r="99">
      <c r="A99" s="4" t="n"/>
      <c r="B99" s="5" t="n"/>
      <c r="C99" s="5" t="n"/>
      <c r="D99" s="6">
        <f>IF(A99="","",IF(ISNUMBER(A99),IFERROR(DATE(INT(A99/10000),MOD(INT(A99/100),100),MOD(A99,100)),"Check date"),"Check date"))</f>
        <v/>
      </c>
      <c r="E99" s="6">
        <f>IF(TRIM(B99)="","",IFERROR(DATE(LEFT(B99,4),MID(B99,5,2),RIGHT(B99,2)),"Check date"))</f>
        <v/>
      </c>
      <c r="F99" s="7">
        <f>IF(TRIM(C99)="","",IFERROR(DATE(LEFT(C99,4),MID(C99,6,2),MID(C99,9,2))+TIME(MID(C99,12,2),MID(C99,15,2),0),"Check date"))</f>
        <v/>
      </c>
      <c r="G99" s="8">
        <f>IF(A99="","",IF(ISNUMBER(D99),IF(TEXT(D99,"yyyymmdd")=A99&amp;"","OK","Check date"),"Check date"))</f>
        <v/>
      </c>
      <c r="H99" s="8">
        <f>IF(TRIM(B99)="","",IF(ISNUMBER(E99),IF(TEXT(E99,"yyyymmdd")=B99&amp;"","OK","Check date"),"Check date"))</f>
        <v/>
      </c>
      <c r="I99" s="8">
        <f>IF(TRIM(C99)="","",IF(ISNUMBER(F99),IF(TEXT(F99,"yyyy-mm-dd")&amp;"T"&amp;TEXT(F99,"hh:mm")=LEFT(C99,16),"OK","Check date"),"Check date"))</f>
        <v/>
      </c>
    </row>
    <row r="100">
      <c r="A100" s="4" t="n"/>
      <c r="B100" s="5" t="n"/>
      <c r="C100" s="5" t="n"/>
      <c r="D100" s="6">
        <f>IF(A100="","",IF(ISNUMBER(A100),IFERROR(DATE(INT(A100/10000),MOD(INT(A100/100),100),MOD(A100,100)),"Check date"),"Check date"))</f>
        <v/>
      </c>
      <c r="E100" s="6">
        <f>IF(TRIM(B100)="","",IFERROR(DATE(LEFT(B100,4),MID(B100,5,2),RIGHT(B100,2)),"Check date"))</f>
        <v/>
      </c>
      <c r="F100" s="7">
        <f>IF(TRIM(C100)="","",IFERROR(DATE(LEFT(C100,4),MID(C100,6,2),MID(C100,9,2))+TIME(MID(C100,12,2),MID(C100,15,2),0),"Check date"))</f>
        <v/>
      </c>
      <c r="G100" s="8">
        <f>IF(A100="","",IF(ISNUMBER(D100),IF(TEXT(D100,"yyyymmdd")=A100&amp;"","OK","Check date"),"Check date"))</f>
        <v/>
      </c>
      <c r="H100" s="8">
        <f>IF(TRIM(B100)="","",IF(ISNUMBER(E100),IF(TEXT(E100,"yyyymmdd")=B100&amp;"","OK","Check date"),"Check date"))</f>
        <v/>
      </c>
      <c r="I100" s="8">
        <f>IF(TRIM(C100)="","",IF(ISNUMBER(F100),IF(TEXT(F100,"yyyy-mm-dd")&amp;"T"&amp;TEXT(F100,"hh:mm")=LEFT(C100,16),"OK","Check date"),"Check date"))</f>
        <v/>
      </c>
    </row>
    <row r="101">
      <c r="A101" s="4" t="n"/>
      <c r="B101" s="5" t="n"/>
      <c r="C101" s="5" t="n"/>
      <c r="D101" s="6">
        <f>IF(A101="","",IF(ISNUMBER(A101),IFERROR(DATE(INT(A101/10000),MOD(INT(A101/100),100),MOD(A101,100)),"Check date"),"Check date"))</f>
        <v/>
      </c>
      <c r="E101" s="6">
        <f>IF(TRIM(B101)="","",IFERROR(DATE(LEFT(B101,4),MID(B101,5,2),RIGHT(B101,2)),"Check date"))</f>
        <v/>
      </c>
      <c r="F101" s="7">
        <f>IF(TRIM(C101)="","",IFERROR(DATE(LEFT(C101,4),MID(C101,6,2),MID(C101,9,2))+TIME(MID(C101,12,2),MID(C101,15,2),0),"Check date"))</f>
        <v/>
      </c>
      <c r="G101" s="8">
        <f>IF(A101="","",IF(ISNUMBER(D101),IF(TEXT(D101,"yyyymmdd")=A101&amp;"","OK","Check date"),"Check date"))</f>
        <v/>
      </c>
      <c r="H101" s="8">
        <f>IF(TRIM(B101)="","",IF(ISNUMBER(E101),IF(TEXT(E101,"yyyymmdd")=B101&amp;"","OK","Check date"),"Check date"))</f>
        <v/>
      </c>
      <c r="I101" s="8">
        <f>IF(TRIM(C101)="","",IF(ISNUMBER(F101),IF(TEXT(F101,"yyyy-mm-dd")&amp;"T"&amp;TEXT(F101,"hh:mm")=LEFT(C101,16),"OK","Check date"),"Check date"))</f>
        <v/>
      </c>
    </row>
  </sheetData>
  <conditionalFormatting sqref="D2:I101">
    <cfRule type="expression" priority="1" dxfId="0">
      <formula>D2="Check date"</formula>
    </cfRule>
  </conditionalFormatting>
  <conditionalFormatting sqref="L4">
    <cfRule type="expression" priority="2" dxfId="0">
      <formula>AND(L4&lt;&gt;"OK",L4&lt;&gt;"")</formula>
    </cfRule>
  </conditionalFormatting>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H15"/>
  <sheetViews>
    <sheetView workbookViewId="0">
      <selection activeCell="A1" sqref="A1"/>
    </sheetView>
  </sheetViews>
  <sheetFormatPr baseColWidth="8" defaultRowHeight="15"/>
  <cols>
    <col width="14" customWidth="1" min="1" max="1"/>
    <col width="16" customWidth="1" min="2" max="2"/>
    <col width="16" customWidth="1" min="3" max="3"/>
    <col width="20" customWidth="1" min="4" max="4"/>
    <col width="18" customWidth="1" min="5" max="5"/>
    <col width="3" customWidth="1" min="6" max="6"/>
    <col width="38" customWidth="1" min="7" max="7"/>
    <col width="12" customWidth="1" min="8" max="8"/>
  </cols>
  <sheetData>
    <row r="1" ht="46" customHeight="1">
      <c r="A1" s="1" t="inlineStr">
        <is>
          <t>Month</t>
        </is>
      </c>
      <c r="B1" s="1" t="inlineStr">
        <is>
          <t>Dates from numbers</t>
        </is>
      </c>
      <c r="C1" s="1" t="inlineStr">
        <is>
          <t>Dates from text</t>
        </is>
      </c>
      <c r="D1" s="1" t="inlineStr">
        <is>
          <t>Dates and times from ISO text</t>
        </is>
      </c>
      <c r="E1" s="1" t="inlineStr">
        <is>
          <t>Month start (real date)</t>
        </is>
      </c>
      <c r="G1" s="2" t="inlineStr">
        <is>
          <t>Year to count (typed)</t>
        </is>
      </c>
      <c r="H1" s="4" t="n">
        <v>2026</v>
      </c>
    </row>
    <row r="2">
      <c r="A2" s="8">
        <f>IF(ISNUMBER(E2),TEXT(E2,"mmmm"),"")</f>
        <v/>
      </c>
      <c r="B2" s="8">
        <f>IF(ISNUMBER(E2),COUNTIFS(Convert!$D$2:$D$101,"&gt;="&amp;E2,Convert!$D$2:$D$101,"&lt;"&amp;DATE($H$1,2,1)),"")</f>
        <v/>
      </c>
      <c r="C2" s="8">
        <f>IF(ISNUMBER(E2),COUNTIFS(Convert!$E$2:$E$101,"&gt;="&amp;E2,Convert!$E$2:$E$101,"&lt;"&amp;DATE($H$1,2,1)),"")</f>
        <v/>
      </c>
      <c r="D2" s="8">
        <f>IF(ISNUMBER(E2),COUNTIFS(Convert!$F$2:$F$101,"&gt;="&amp;E2,Convert!$F$2:$F$101,"&lt;"&amp;DATE($H$1,2,1)),"")</f>
        <v/>
      </c>
      <c r="E2" s="6">
        <f>IF(ISNUMBER($H$1),DATE($H$1,1,1),"")</f>
        <v/>
      </c>
    </row>
    <row r="3">
      <c r="A3" s="8">
        <f>IF(ISNUMBER(E3),TEXT(E3,"mmmm"),"")</f>
        <v/>
      </c>
      <c r="B3" s="8">
        <f>IF(ISNUMBER(E3),COUNTIFS(Convert!$D$2:$D$101,"&gt;="&amp;E3,Convert!$D$2:$D$101,"&lt;"&amp;DATE($H$1,3,1)),"")</f>
        <v/>
      </c>
      <c r="C3" s="8">
        <f>IF(ISNUMBER(E3),COUNTIFS(Convert!$E$2:$E$101,"&gt;="&amp;E3,Convert!$E$2:$E$101,"&lt;"&amp;DATE($H$1,3,1)),"")</f>
        <v/>
      </c>
      <c r="D3" s="8">
        <f>IF(ISNUMBER(E3),COUNTIFS(Convert!$F$2:$F$101,"&gt;="&amp;E3,Convert!$F$2:$F$101,"&lt;"&amp;DATE($H$1,3,1)),"")</f>
        <v/>
      </c>
      <c r="E3" s="6">
        <f>IF(ISNUMBER($H$1),DATE($H$1,2,1),"")</f>
        <v/>
      </c>
    </row>
    <row r="4">
      <c r="A4" s="8">
        <f>IF(ISNUMBER(E4),TEXT(E4,"mmmm"),"")</f>
        <v/>
      </c>
      <c r="B4" s="8">
        <f>IF(ISNUMBER(E4),COUNTIFS(Convert!$D$2:$D$101,"&gt;="&amp;E4,Convert!$D$2:$D$101,"&lt;"&amp;DATE($H$1,4,1)),"")</f>
        <v/>
      </c>
      <c r="C4" s="8">
        <f>IF(ISNUMBER(E4),COUNTIFS(Convert!$E$2:$E$101,"&gt;="&amp;E4,Convert!$E$2:$E$101,"&lt;"&amp;DATE($H$1,4,1)),"")</f>
        <v/>
      </c>
      <c r="D4" s="8">
        <f>IF(ISNUMBER(E4),COUNTIFS(Convert!$F$2:$F$101,"&gt;="&amp;E4,Convert!$F$2:$F$101,"&lt;"&amp;DATE($H$1,4,1)),"")</f>
        <v/>
      </c>
      <c r="E4" s="6">
        <f>IF(ISNUMBER($H$1),DATE($H$1,3,1),"")</f>
        <v/>
      </c>
    </row>
    <row r="5">
      <c r="A5" s="8">
        <f>IF(ISNUMBER(E5),TEXT(E5,"mmmm"),"")</f>
        <v/>
      </c>
      <c r="B5" s="8">
        <f>IF(ISNUMBER(E5),COUNTIFS(Convert!$D$2:$D$101,"&gt;="&amp;E5,Convert!$D$2:$D$101,"&lt;"&amp;DATE($H$1,5,1)),"")</f>
        <v/>
      </c>
      <c r="C5" s="8">
        <f>IF(ISNUMBER(E5),COUNTIFS(Convert!$E$2:$E$101,"&gt;="&amp;E5,Convert!$E$2:$E$101,"&lt;"&amp;DATE($H$1,5,1)),"")</f>
        <v/>
      </c>
      <c r="D5" s="8">
        <f>IF(ISNUMBER(E5),COUNTIFS(Convert!$F$2:$F$101,"&gt;="&amp;E5,Convert!$F$2:$F$101,"&lt;"&amp;DATE($H$1,5,1)),"")</f>
        <v/>
      </c>
      <c r="E5" s="6">
        <f>IF(ISNUMBER($H$1),DATE($H$1,4,1),"")</f>
        <v/>
      </c>
    </row>
    <row r="6">
      <c r="A6" s="8">
        <f>IF(ISNUMBER(E6),TEXT(E6,"mmmm"),"")</f>
        <v/>
      </c>
      <c r="B6" s="8">
        <f>IF(ISNUMBER(E6),COUNTIFS(Convert!$D$2:$D$101,"&gt;="&amp;E6,Convert!$D$2:$D$101,"&lt;"&amp;DATE($H$1,6,1)),"")</f>
        <v/>
      </c>
      <c r="C6" s="8">
        <f>IF(ISNUMBER(E6),COUNTIFS(Convert!$E$2:$E$101,"&gt;="&amp;E6,Convert!$E$2:$E$101,"&lt;"&amp;DATE($H$1,6,1)),"")</f>
        <v/>
      </c>
      <c r="D6" s="8">
        <f>IF(ISNUMBER(E6),COUNTIFS(Convert!$F$2:$F$101,"&gt;="&amp;E6,Convert!$F$2:$F$101,"&lt;"&amp;DATE($H$1,6,1)),"")</f>
        <v/>
      </c>
      <c r="E6" s="6">
        <f>IF(ISNUMBER($H$1),DATE($H$1,5,1),"")</f>
        <v/>
      </c>
    </row>
    <row r="7">
      <c r="A7" s="8">
        <f>IF(ISNUMBER(E7),TEXT(E7,"mmmm"),"")</f>
        <v/>
      </c>
      <c r="B7" s="8">
        <f>IF(ISNUMBER(E7),COUNTIFS(Convert!$D$2:$D$101,"&gt;="&amp;E7,Convert!$D$2:$D$101,"&lt;"&amp;DATE($H$1,7,1)),"")</f>
        <v/>
      </c>
      <c r="C7" s="8">
        <f>IF(ISNUMBER(E7),COUNTIFS(Convert!$E$2:$E$101,"&gt;="&amp;E7,Convert!$E$2:$E$101,"&lt;"&amp;DATE($H$1,7,1)),"")</f>
        <v/>
      </c>
      <c r="D7" s="8">
        <f>IF(ISNUMBER(E7),COUNTIFS(Convert!$F$2:$F$101,"&gt;="&amp;E7,Convert!$F$2:$F$101,"&lt;"&amp;DATE($H$1,7,1)),"")</f>
        <v/>
      </c>
      <c r="E7" s="6">
        <f>IF(ISNUMBER($H$1),DATE($H$1,6,1),"")</f>
        <v/>
      </c>
    </row>
    <row r="8">
      <c r="A8" s="8">
        <f>IF(ISNUMBER(E8),TEXT(E8,"mmmm"),"")</f>
        <v/>
      </c>
      <c r="B8" s="8">
        <f>IF(ISNUMBER(E8),COUNTIFS(Convert!$D$2:$D$101,"&gt;="&amp;E8,Convert!$D$2:$D$101,"&lt;"&amp;DATE($H$1,8,1)),"")</f>
        <v/>
      </c>
      <c r="C8" s="8">
        <f>IF(ISNUMBER(E8),COUNTIFS(Convert!$E$2:$E$101,"&gt;="&amp;E8,Convert!$E$2:$E$101,"&lt;"&amp;DATE($H$1,8,1)),"")</f>
        <v/>
      </c>
      <c r="D8" s="8">
        <f>IF(ISNUMBER(E8),COUNTIFS(Convert!$F$2:$F$101,"&gt;="&amp;E8,Convert!$F$2:$F$101,"&lt;"&amp;DATE($H$1,8,1)),"")</f>
        <v/>
      </c>
      <c r="E8" s="6">
        <f>IF(ISNUMBER($H$1),DATE($H$1,7,1),"")</f>
        <v/>
      </c>
    </row>
    <row r="9">
      <c r="A9" s="8">
        <f>IF(ISNUMBER(E9),TEXT(E9,"mmmm"),"")</f>
        <v/>
      </c>
      <c r="B9" s="8">
        <f>IF(ISNUMBER(E9),COUNTIFS(Convert!$D$2:$D$101,"&gt;="&amp;E9,Convert!$D$2:$D$101,"&lt;"&amp;DATE($H$1,9,1)),"")</f>
        <v/>
      </c>
      <c r="C9" s="8">
        <f>IF(ISNUMBER(E9),COUNTIFS(Convert!$E$2:$E$101,"&gt;="&amp;E9,Convert!$E$2:$E$101,"&lt;"&amp;DATE($H$1,9,1)),"")</f>
        <v/>
      </c>
      <c r="D9" s="8">
        <f>IF(ISNUMBER(E9),COUNTIFS(Convert!$F$2:$F$101,"&gt;="&amp;E9,Convert!$F$2:$F$101,"&lt;"&amp;DATE($H$1,9,1)),"")</f>
        <v/>
      </c>
      <c r="E9" s="6">
        <f>IF(ISNUMBER($H$1),DATE($H$1,8,1),"")</f>
        <v/>
      </c>
    </row>
    <row r="10">
      <c r="A10" s="8">
        <f>IF(ISNUMBER(E10),TEXT(E10,"mmmm"),"")</f>
        <v/>
      </c>
      <c r="B10" s="8">
        <f>IF(ISNUMBER(E10),COUNTIFS(Convert!$D$2:$D$101,"&gt;="&amp;E10,Convert!$D$2:$D$101,"&lt;"&amp;DATE($H$1,10,1)),"")</f>
        <v/>
      </c>
      <c r="C10" s="8">
        <f>IF(ISNUMBER(E10),COUNTIFS(Convert!$E$2:$E$101,"&gt;="&amp;E10,Convert!$E$2:$E$101,"&lt;"&amp;DATE($H$1,10,1)),"")</f>
        <v/>
      </c>
      <c r="D10" s="8">
        <f>IF(ISNUMBER(E10),COUNTIFS(Convert!$F$2:$F$101,"&gt;="&amp;E10,Convert!$F$2:$F$101,"&lt;"&amp;DATE($H$1,10,1)),"")</f>
        <v/>
      </c>
      <c r="E10" s="6">
        <f>IF(ISNUMBER($H$1),DATE($H$1,9,1),"")</f>
        <v/>
      </c>
    </row>
    <row r="11">
      <c r="A11" s="8">
        <f>IF(ISNUMBER(E11),TEXT(E11,"mmmm"),"")</f>
        <v/>
      </c>
      <c r="B11" s="8">
        <f>IF(ISNUMBER(E11),COUNTIFS(Convert!$D$2:$D$101,"&gt;="&amp;E11,Convert!$D$2:$D$101,"&lt;"&amp;DATE($H$1,11,1)),"")</f>
        <v/>
      </c>
      <c r="C11" s="8">
        <f>IF(ISNUMBER(E11),COUNTIFS(Convert!$E$2:$E$101,"&gt;="&amp;E11,Convert!$E$2:$E$101,"&lt;"&amp;DATE($H$1,11,1)),"")</f>
        <v/>
      </c>
      <c r="D11" s="8">
        <f>IF(ISNUMBER(E11),COUNTIFS(Convert!$F$2:$F$101,"&gt;="&amp;E11,Convert!$F$2:$F$101,"&lt;"&amp;DATE($H$1,11,1)),"")</f>
        <v/>
      </c>
      <c r="E11" s="6">
        <f>IF(ISNUMBER($H$1),DATE($H$1,10,1),"")</f>
        <v/>
      </c>
    </row>
    <row r="12">
      <c r="A12" s="8">
        <f>IF(ISNUMBER(E12),TEXT(E12,"mmmm"),"")</f>
        <v/>
      </c>
      <c r="B12" s="8">
        <f>IF(ISNUMBER(E12),COUNTIFS(Convert!$D$2:$D$101,"&gt;="&amp;E12,Convert!$D$2:$D$101,"&lt;"&amp;DATE($H$1,12,1)),"")</f>
        <v/>
      </c>
      <c r="C12" s="8">
        <f>IF(ISNUMBER(E12),COUNTIFS(Convert!$E$2:$E$101,"&gt;="&amp;E12,Convert!$E$2:$E$101,"&lt;"&amp;DATE($H$1,12,1)),"")</f>
        <v/>
      </c>
      <c r="D12" s="8">
        <f>IF(ISNUMBER(E12),COUNTIFS(Convert!$F$2:$F$101,"&gt;="&amp;E12,Convert!$F$2:$F$101,"&lt;"&amp;DATE($H$1,12,1)),"")</f>
        <v/>
      </c>
      <c r="E12" s="6">
        <f>IF(ISNUMBER($H$1),DATE($H$1,11,1),"")</f>
        <v/>
      </c>
    </row>
    <row r="13">
      <c r="A13" s="8">
        <f>IF(ISNUMBER(E13),TEXT(E13,"mmmm"),"")</f>
        <v/>
      </c>
      <c r="B13" s="8">
        <f>IF(ISNUMBER(E13),COUNTIFS(Convert!$D$2:$D$101,"&gt;="&amp;E13,Convert!$D$2:$D$101,"&lt;"&amp;DATE($H$1,13,1)),"")</f>
        <v/>
      </c>
      <c r="C13" s="8">
        <f>IF(ISNUMBER(E13),COUNTIFS(Convert!$E$2:$E$101,"&gt;="&amp;E13,Convert!$E$2:$E$101,"&lt;"&amp;DATE($H$1,13,1)),"")</f>
        <v/>
      </c>
      <c r="D13" s="8">
        <f>IF(ISNUMBER(E13),COUNTIFS(Convert!$F$2:$F$101,"&gt;="&amp;E13,Convert!$F$2:$F$101,"&lt;"&amp;DATE($H$1,13,1)),"")</f>
        <v/>
      </c>
      <c r="E13" s="6">
        <f>IF(ISNUMBER($H$1),DATE($H$1,12,1),"")</f>
        <v/>
      </c>
    </row>
    <row r="14">
      <c r="A14" s="10" t="inlineStr">
        <is>
          <t>Total in the year</t>
        </is>
      </c>
      <c r="B14" s="10">
        <f>SUM(B2:B13)</f>
        <v/>
      </c>
      <c r="C14" s="10">
        <f>SUM(C2:C13)</f>
        <v/>
      </c>
      <c r="D14" s="10">
        <f>SUM(D2:D13)</f>
        <v/>
      </c>
    </row>
    <row r="15">
      <c r="A15" s="10" t="inlineStr">
        <is>
          <t>Real dates in other years</t>
        </is>
      </c>
      <c r="B15" s="10">
        <f>COUNT(Convert!D2:D101)-B14</f>
        <v/>
      </c>
      <c r="C15" s="10">
        <f>COUNT(Convert!E2:E101)-C14</f>
        <v/>
      </c>
      <c r="D15" s="10">
        <f>COUNT(Convert!F2:F101)-D14</f>
        <v/>
      </c>
    </row>
  </sheetData>
  <pageMargins left="0.75" right="0.75" top="1" bottom="1" header="0.5" footer="0.5"/>
  <pageSetup orientation="portrait" paperSize="1" fitToHeight="0" fitToWidth="1"/>
</worksheet>
</file>

<file path=xl/worksheets/sheet3.xml><?xml version="1.0" encoding="utf-8"?>
<worksheet xmlns="http://schemas.openxmlformats.org/spreadsheetml/2006/main">
  <sheetPr>
    <outlinePr summaryBelow="1" summaryRight="1"/>
    <pageSetUpPr fitToPage="1"/>
  </sheetPr>
  <dimension ref="A1:A15"/>
  <sheetViews>
    <sheetView workbookViewId="0">
      <selection activeCell="A1" sqref="A1"/>
    </sheetView>
  </sheetViews>
  <sheetFormatPr baseColWidth="8" defaultRowHeight="15"/>
  <cols>
    <col width="100" customWidth="1" min="1" max="1"/>
  </cols>
  <sheetData>
    <row r="1">
      <c r="A1" s="11" t="inlineStr">
        <is>
          <t>Tidy Tabs: Convert YYYYMMDD Numbers, Text and ISO Timestamps to Real Dates</t>
        </is>
      </c>
    </row>
    <row r="2">
      <c r="A2" s="12" t="inlineStr"/>
    </row>
    <row r="3">
      <c r="A3" s="12" t="inlineStr">
        <is>
          <t>1. Convert tab, rows 2 to 101: paste or type your values in the yellow cells. Column A is for numbers like 20261021, column B for text like "20261021" (the cells are formatted as Text), column C for ISO text like 2026-10-21T14:35:00. Use the column that matches how your export arrives; the three columns do not need to match each other.</t>
        </is>
      </c>
    </row>
    <row r="4">
      <c r="A4" s="12" t="inlineStr">
        <is>
          <t>2. From a number, D2: =DATE(INT(A2/10000),MOD(INT(A2/100),100),MOD(A2,100)). INT(A2/10000) is the year, MOD(INT(A2/100),100) the month and MOD(A2,100) the day.</t>
        </is>
      </c>
    </row>
    <row r="5">
      <c r="A5" s="12" t="inlineStr">
        <is>
          <t>3. From text, E2: =DATE(LEFT(B2,4),MID(B2,5,2),RIGHT(B2,2)). LEFT, MID and RIGHT cut out the year, month and day. LibreOffice Calc 24.2 accepted these text pieces inside DATE without VALUE, and the same formula with VALUE(LEFT(B2,4)), VALUE(MID(B2,5,2)) and VALUE(RIGHT(B2,2)) gave the same date there. A value with a trailing space ("20261021 ") gave 10/01/2026 without the check, because RIGHT(B2,2) is "1 ", so the check column matters; clean the text first with TRIM.</t>
        </is>
      </c>
    </row>
    <row r="6">
      <c r="A6" s="12" t="inlineStr">
        <is>
          <t>4. From ISO text, F2: =DATE(LEFT(C2,4),MID(C2,6,2),MID(C2,9,2))+TIME(MID(C2,12,2),MID(C2,15,2),0). The date comes from characters 1 to 10 and the time from 12 to 16. Seconds are not read. A time zone suffix such as Z or -05:00 is ignored and no time zone conversion is done.</t>
        </is>
      </c>
    </row>
    <row r="7">
      <c r="A7" s="12" t="inlineStr">
        <is>
          <t>5. Results are real dates, formatted MM/DD/YYYY and MM/DD/YYYY h:mm AM/PM, so you can sort them and total them by month (By month tab).</t>
        </is>
      </c>
    </row>
    <row r="8">
      <c r="A8" s="12" t="inlineStr">
        <is>
          <t>6. Month 13 or February 30 does not make DATE fail: it rolls over to the next month or year. Without a check, 20261341 becomes 02/10/2027 and 20260230 becomes 03/02/2026 (LibreOffice Calc 24.2 results). Columns G, H and I rebuild the digits from the result and compare them with what you typed. A mismatch shows Check date in red. A 6-digit value such as 261021, a value with a space, a date with no time in ISO text, and anything that cannot be read also show Check date.</t>
        </is>
      </c>
    </row>
    <row r="9">
      <c r="A9" s="12" t="inlineStr">
        <is>
          <t>7. Leap day: 20240229 is OK; 20230229 shows Check date.</t>
        </is>
      </c>
    </row>
    <row r="10">
      <c r="A10" s="12" t="inlineStr">
        <is>
          <t>8. L4 shows OK when every typed value converted and matched. CHECK means at least one value shows Check date.</t>
        </is>
      </c>
    </row>
    <row r="11">
      <c r="A11" s="12" t="inlineStr">
        <is>
          <t>9. By month tab: counts the converted dates in each month of the year typed in H1. Row 15 counts real dates that fall in other years.</t>
        </is>
      </c>
    </row>
    <row r="12">
      <c r="A12" s="12" t="inlineStr">
        <is>
          <t>10. Blank cells stay blank. Fix a flagged value at its source: do not type over the gray cells.</t>
        </is>
      </c>
    </row>
    <row r="13">
      <c r="A13" s="12" t="inlineStr"/>
    </row>
    <row r="14">
      <c r="A14" s="12" t="inlineStr">
        <is>
          <t>Values are fictional. Checked in LibreOffice Calc only; not opened in Excel or Google Sheets.</t>
        </is>
      </c>
    </row>
    <row r="15">
      <c r="A15" s="12"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2026-10-21T07:37:13Z</dcterms:created>
  <dcterms:modified xmlns:dcterms="http://purl.org/dc/terms/" xmlns:xsi="http://www.w3.org/2001/XMLSchema-instance" xsi:type="dcterms:W3CDTF">2026-10-21T07:37:13Z</dcterms:modified>
</cp:coreProperties>
</file>